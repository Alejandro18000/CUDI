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ergi\Downloads\bienestar-animal\"/>
    </mc:Choice>
  </mc:AlternateContent>
  <xr:revisionPtr revIDLastSave="0" documentId="13_ncr:1_{90112D6A-0DED-4006-B249-609B5BEE42E5}" xr6:coauthVersionLast="47" xr6:coauthVersionMax="47" xr10:uidLastSave="{00000000-0000-0000-0000-000000000000}"/>
  <bookViews>
    <workbookView xWindow="-110" yWindow="-110" windowWidth="25820" windowHeight="15500" xr2:uid="{00000000-000D-0000-FFFF-FFFF00000000}"/>
  </bookViews>
  <sheets>
    <sheet name="0_GUIA_INTRO" sheetId="1" r:id="rId1"/>
    <sheet name="1_PANEL_CONTROL" sheetId="2" r:id="rId2"/>
    <sheet name="2_AJUSTES_MACRO" sheetId="3" r:id="rId3"/>
    <sheet name="3_HIPOTESIS_NEGOCIO" sheetId="4" r:id="rId4"/>
    <sheet name="4_PROY_DEMANDA" sheetId="5" r:id="rId5"/>
    <sheet name="5_DETALLE_INGRESOS" sheetId="6" r:id="rId6"/>
    <sheet name="6_COSTES_COGS" sheetId="7" r:id="rId7"/>
    <sheet name="7_EQUIPO_RRHH" sheetId="8" r:id="rId8"/>
    <sheet name="8_COSTES_OPEX" sheetId="9" r:id="rId9"/>
    <sheet name="9_FLUJO_CAJA" sheetId="10" r:id="rId10"/>
    <sheet name="10_PL_PERDIDAS_GANANCIAS" sheetId="11" r:id="rId11"/>
    <sheet name="11_BALANCE_CONSOLIDADO" sheetId="12" r:id="rId12"/>
    <sheet name="12_ANALISIS_ESCENARIOS" sheetId="13" r:id="rId13"/>
    <sheet name="13_CAP_TABLE_FINANCIACION" sheetId="14" r:id="rId14"/>
    <sheet name="14_UNIT_ECONOMICS_CAC_LTV" sheetId="15" r:id="rId15"/>
    <sheet name="15_DASHBOARD_KPI" sheetId="16" r:id="rId16"/>
    <sheet name="16_PLAN_CONTROL_GESTION" sheetId="17" r:id="rId17"/>
    <sheet name="17_ANALISIS_GRAFICO"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8" l="1"/>
  <c r="F2" i="18"/>
  <c r="B3" i="17"/>
  <c r="F2" i="17"/>
  <c r="C57" i="16"/>
  <c r="E52" i="16"/>
  <c r="C36" i="16"/>
  <c r="B5" i="16"/>
  <c r="C3" i="16"/>
  <c r="C29" i="15"/>
  <c r="C18" i="15"/>
  <c r="B4" i="15"/>
  <c r="F2" i="15"/>
  <c r="E12" i="14"/>
  <c r="D11" i="14"/>
  <c r="E10" i="14"/>
  <c r="E9" i="14"/>
  <c r="D9" i="14"/>
  <c r="C4" i="14"/>
  <c r="E12" i="13"/>
  <c r="D12" i="13"/>
  <c r="C12" i="13"/>
  <c r="E11" i="13"/>
  <c r="D11" i="13"/>
  <c r="C11" i="13"/>
  <c r="E10" i="13"/>
  <c r="D10" i="13"/>
  <c r="C10" i="13"/>
  <c r="E9" i="13"/>
  <c r="D9" i="13"/>
  <c r="C9" i="13"/>
  <c r="E8" i="13"/>
  <c r="D8" i="13"/>
  <c r="C8" i="13"/>
  <c r="E7" i="13"/>
  <c r="D7" i="13"/>
  <c r="C7" i="13"/>
  <c r="E6" i="13"/>
  <c r="D6" i="13"/>
  <c r="C6" i="13"/>
  <c r="F2" i="13"/>
  <c r="F54" i="12"/>
  <c r="G54" i="12" s="1"/>
  <c r="E54" i="12"/>
  <c r="D54" i="12"/>
  <c r="D51" i="12"/>
  <c r="F2" i="12"/>
  <c r="W32" i="11"/>
  <c r="V32" i="11"/>
  <c r="U32" i="11"/>
  <c r="T32" i="11"/>
  <c r="S32" i="11"/>
  <c r="R32" i="11"/>
  <c r="Q32" i="11"/>
  <c r="P32" i="11"/>
  <c r="O32" i="11"/>
  <c r="N32" i="11"/>
  <c r="M32" i="11"/>
  <c r="L32" i="11"/>
  <c r="K32" i="11"/>
  <c r="J32" i="11"/>
  <c r="I32" i="11"/>
  <c r="H32" i="11"/>
  <c r="G32" i="11"/>
  <c r="F32" i="11"/>
  <c r="E32" i="11"/>
  <c r="D32" i="11"/>
  <c r="D32" i="12" s="1"/>
  <c r="CI31" i="11"/>
  <c r="CH31" i="11"/>
  <c r="CG31" i="11"/>
  <c r="CF31" i="11"/>
  <c r="CE31" i="11"/>
  <c r="CD31" i="11"/>
  <c r="CC31" i="11"/>
  <c r="CB31" i="11"/>
  <c r="CA31" i="11"/>
  <c r="BZ31" i="11"/>
  <c r="BY31" i="11"/>
  <c r="BX31" i="11"/>
  <c r="BW31" i="11"/>
  <c r="BV31" i="11"/>
  <c r="BU31" i="11"/>
  <c r="BT31" i="11"/>
  <c r="BS31" i="11"/>
  <c r="BR31" i="11"/>
  <c r="BQ31" i="11"/>
  <c r="BP31" i="11"/>
  <c r="BO31" i="11"/>
  <c r="BN31" i="11"/>
  <c r="BM31" i="11"/>
  <c r="BL31" i="11"/>
  <c r="BK31" i="11"/>
  <c r="BJ31" i="11"/>
  <c r="BI31" i="11"/>
  <c r="BH31" i="11"/>
  <c r="BG31" i="11"/>
  <c r="BF31" i="11"/>
  <c r="BE31" i="11"/>
  <c r="BD31" i="11"/>
  <c r="BC31" i="11"/>
  <c r="BB31" i="11"/>
  <c r="BA31" i="11"/>
  <c r="AZ31" i="11"/>
  <c r="AY31" i="11"/>
  <c r="AX31" i="11"/>
  <c r="AW31" i="11"/>
  <c r="AV31" i="11"/>
  <c r="AU31" i="11"/>
  <c r="AT31" i="11"/>
  <c r="AS31" i="11"/>
  <c r="AR31" i="11"/>
  <c r="AQ31" i="11"/>
  <c r="AP31" i="11"/>
  <c r="AO31" i="11"/>
  <c r="AN31" i="11"/>
  <c r="AM31" i="11"/>
  <c r="AL31" i="11"/>
  <c r="AK31" i="11"/>
  <c r="AJ31" i="11"/>
  <c r="AI31" i="11"/>
  <c r="AH31" i="11"/>
  <c r="AG31" i="11"/>
  <c r="AF31" i="11"/>
  <c r="AE31" i="11"/>
  <c r="AD31" i="11"/>
  <c r="AC31" i="11"/>
  <c r="AB31" i="11"/>
  <c r="F31" i="12" s="1"/>
  <c r="AA31" i="11"/>
  <c r="Z31" i="11"/>
  <c r="Y31" i="11"/>
  <c r="X31" i="11"/>
  <c r="W31" i="11"/>
  <c r="V31" i="11"/>
  <c r="U31" i="11"/>
  <c r="T31" i="11"/>
  <c r="S31" i="11"/>
  <c r="R31" i="11"/>
  <c r="Q31" i="11"/>
  <c r="P31" i="11"/>
  <c r="E31" i="12" s="1"/>
  <c r="O31" i="11"/>
  <c r="N31" i="11"/>
  <c r="M31" i="11"/>
  <c r="L31" i="11"/>
  <c r="K31" i="11"/>
  <c r="J31" i="11"/>
  <c r="I31" i="11"/>
  <c r="H31" i="11"/>
  <c r="G31" i="11"/>
  <c r="F31" i="11"/>
  <c r="E31" i="11"/>
  <c r="D31" i="11"/>
  <c r="D31" i="12" s="1"/>
  <c r="G31" i="12" s="1"/>
  <c r="CI30" i="11"/>
  <c r="CH30" i="11"/>
  <c r="CG30" i="11"/>
  <c r="CF30" i="11"/>
  <c r="CE30" i="11"/>
  <c r="CD30" i="11"/>
  <c r="CC30" i="11"/>
  <c r="CB30" i="11"/>
  <c r="CA30" i="11"/>
  <c r="BZ30" i="11"/>
  <c r="BY30" i="11"/>
  <c r="BX30" i="11"/>
  <c r="BW30" i="11"/>
  <c r="BV30" i="11"/>
  <c r="BU30" i="11"/>
  <c r="BT30" i="11"/>
  <c r="BS30" i="11"/>
  <c r="BR30" i="11"/>
  <c r="BQ30" i="11"/>
  <c r="BP30" i="11"/>
  <c r="BO30" i="11"/>
  <c r="BN30" i="11"/>
  <c r="BM30" i="11"/>
  <c r="BL30" i="11"/>
  <c r="BK30" i="11"/>
  <c r="BJ30" i="11"/>
  <c r="BI30" i="11"/>
  <c r="BH30" i="11"/>
  <c r="BG30" i="11"/>
  <c r="BF30" i="11"/>
  <c r="BE30" i="11"/>
  <c r="BD30" i="11"/>
  <c r="BC30" i="11"/>
  <c r="BB30" i="11"/>
  <c r="BA30" i="11"/>
  <c r="AZ30" i="11"/>
  <c r="AY30" i="11"/>
  <c r="AX30" i="11"/>
  <c r="AW30" i="11"/>
  <c r="AV30" i="11"/>
  <c r="AU30" i="11"/>
  <c r="AT30" i="11"/>
  <c r="AS30" i="11"/>
  <c r="AR30" i="11"/>
  <c r="AQ30" i="11"/>
  <c r="AP30" i="11"/>
  <c r="AO30" i="11"/>
  <c r="AN30" i="11"/>
  <c r="AM30" i="11"/>
  <c r="AL30" i="11"/>
  <c r="AK30" i="11"/>
  <c r="AJ30" i="11"/>
  <c r="AI30" i="11"/>
  <c r="AH30" i="11"/>
  <c r="AG30" i="11"/>
  <c r="AF30" i="11"/>
  <c r="AE30" i="11"/>
  <c r="AD30" i="11"/>
  <c r="AC30" i="11"/>
  <c r="AB30" i="11"/>
  <c r="F30" i="12" s="1"/>
  <c r="AA30" i="11"/>
  <c r="Z30" i="11"/>
  <c r="Y30" i="11"/>
  <c r="X30" i="11"/>
  <c r="W30" i="11"/>
  <c r="V30" i="11"/>
  <c r="U30" i="11"/>
  <c r="T30" i="11"/>
  <c r="S30" i="11"/>
  <c r="R30" i="11"/>
  <c r="Q30" i="11"/>
  <c r="P30" i="11"/>
  <c r="E30" i="12" s="1"/>
  <c r="O30" i="11"/>
  <c r="N30" i="11"/>
  <c r="M30" i="11"/>
  <c r="L30" i="11"/>
  <c r="K30" i="11"/>
  <c r="J30" i="11"/>
  <c r="I30" i="11"/>
  <c r="H30" i="11"/>
  <c r="G30" i="11"/>
  <c r="F30" i="11"/>
  <c r="E30" i="11"/>
  <c r="D30" i="11"/>
  <c r="D30" i="12" s="1"/>
  <c r="G30" i="12" s="1"/>
  <c r="CI28" i="11"/>
  <c r="CH28" i="11"/>
  <c r="CG28" i="11"/>
  <c r="CF28" i="11"/>
  <c r="CE28" i="11"/>
  <c r="CD28" i="11"/>
  <c r="CC28" i="11"/>
  <c r="CB28" i="11"/>
  <c r="CA28" i="11"/>
  <c r="BZ28" i="11"/>
  <c r="BY28" i="11"/>
  <c r="BX28" i="11"/>
  <c r="BW28" i="11"/>
  <c r="BV28" i="11"/>
  <c r="BU28" i="11"/>
  <c r="BT28" i="11"/>
  <c r="BS28" i="11"/>
  <c r="BR28" i="11"/>
  <c r="BQ28" i="11"/>
  <c r="BP28" i="11"/>
  <c r="BO28" i="11"/>
  <c r="BN28" i="11"/>
  <c r="BM28" i="11"/>
  <c r="BL28"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F28" i="12" s="1"/>
  <c r="AA28" i="11"/>
  <c r="Z28" i="11"/>
  <c r="Y28" i="11"/>
  <c r="X28" i="11"/>
  <c r="W28" i="11"/>
  <c r="V28" i="11"/>
  <c r="U28" i="11"/>
  <c r="T28" i="11"/>
  <c r="S28" i="11"/>
  <c r="R28" i="11"/>
  <c r="Q28" i="11"/>
  <c r="P28" i="11"/>
  <c r="E28" i="12" s="1"/>
  <c r="O28" i="11"/>
  <c r="N28" i="11"/>
  <c r="M28" i="11"/>
  <c r="L28" i="11"/>
  <c r="K28" i="11"/>
  <c r="J28" i="11"/>
  <c r="I28" i="11"/>
  <c r="H28" i="11"/>
  <c r="G28" i="11"/>
  <c r="F28" i="11"/>
  <c r="E28" i="11"/>
  <c r="D28" i="11"/>
  <c r="D28" i="12" s="1"/>
  <c r="G28" i="12" s="1"/>
  <c r="CI27" i="11"/>
  <c r="CH27" i="11"/>
  <c r="CG27" i="11"/>
  <c r="CF27" i="11"/>
  <c r="CE27" i="11"/>
  <c r="CD27" i="11"/>
  <c r="CC27" i="11"/>
  <c r="CB27" i="11"/>
  <c r="CA27" i="11"/>
  <c r="BZ27" i="11"/>
  <c r="BY27" i="11"/>
  <c r="BX27" i="11"/>
  <c r="BW27" i="11"/>
  <c r="BV27" i="11"/>
  <c r="BU27" i="11"/>
  <c r="BT27" i="11"/>
  <c r="BS27" i="11"/>
  <c r="BR27" i="11"/>
  <c r="BQ27" i="11"/>
  <c r="BP27" i="11"/>
  <c r="BO27" i="11"/>
  <c r="BN27" i="11"/>
  <c r="BM27" i="11"/>
  <c r="BL27" i="11"/>
  <c r="BK27" i="11"/>
  <c r="BJ27" i="11"/>
  <c r="BI27" i="11"/>
  <c r="BH27" i="11"/>
  <c r="BG27" i="11"/>
  <c r="BF27" i="11"/>
  <c r="BE27" i="11"/>
  <c r="BD27" i="11"/>
  <c r="BC27" i="11"/>
  <c r="BB27" i="11"/>
  <c r="BA27" i="11"/>
  <c r="AZ27" i="11"/>
  <c r="AY27" i="11"/>
  <c r="AX27" i="11"/>
  <c r="AW27" i="11"/>
  <c r="AV27" i="11"/>
  <c r="AU27" i="11"/>
  <c r="AT27" i="11"/>
  <c r="AS27" i="11"/>
  <c r="AR27" i="11"/>
  <c r="AQ27" i="11"/>
  <c r="AP27" i="11"/>
  <c r="AO27" i="11"/>
  <c r="AN27" i="11"/>
  <c r="AM27" i="11"/>
  <c r="AL27" i="11"/>
  <c r="AK27" i="11"/>
  <c r="AJ27" i="11"/>
  <c r="AI27" i="11"/>
  <c r="AH27" i="11"/>
  <c r="AG27" i="11"/>
  <c r="AF27" i="11"/>
  <c r="AE27" i="11"/>
  <c r="AD27" i="11"/>
  <c r="AC27" i="11"/>
  <c r="AB27" i="11"/>
  <c r="F27" i="12" s="1"/>
  <c r="AA27" i="11"/>
  <c r="Z27" i="11"/>
  <c r="Y27" i="11"/>
  <c r="X27" i="11"/>
  <c r="W27" i="11"/>
  <c r="V27" i="11"/>
  <c r="U27" i="11"/>
  <c r="T27" i="11"/>
  <c r="S27" i="11"/>
  <c r="R27" i="11"/>
  <c r="Q27" i="11"/>
  <c r="P27" i="11"/>
  <c r="E27" i="12" s="1"/>
  <c r="O27" i="11"/>
  <c r="N27" i="11"/>
  <c r="M27" i="11"/>
  <c r="L27" i="11"/>
  <c r="K27" i="11"/>
  <c r="J27" i="11"/>
  <c r="I27" i="11"/>
  <c r="H27" i="11"/>
  <c r="G27" i="11"/>
  <c r="F27" i="11"/>
  <c r="E27" i="11"/>
  <c r="D27" i="11"/>
  <c r="D27" i="12" s="1"/>
  <c r="G27" i="12" s="1"/>
  <c r="B5" i="11"/>
  <c r="CI33" i="10"/>
  <c r="CH33" i="10"/>
  <c r="CG33" i="10"/>
  <c r="CF33" i="10"/>
  <c r="CE33" i="10"/>
  <c r="CD33" i="10"/>
  <c r="CC33" i="10"/>
  <c r="CB33" i="10"/>
  <c r="CA33" i="10"/>
  <c r="BZ33" i="10"/>
  <c r="BY33" i="10"/>
  <c r="BX33" i="10"/>
  <c r="BW33" i="10"/>
  <c r="BV33" i="10"/>
  <c r="BU33" i="10"/>
  <c r="BT33" i="10"/>
  <c r="BS33" i="10"/>
  <c r="BR33" i="10"/>
  <c r="BQ33" i="10"/>
  <c r="BP33" i="10"/>
  <c r="BO33" i="10"/>
  <c r="BN33" i="10"/>
  <c r="BM33" i="10"/>
  <c r="BL33" i="10"/>
  <c r="BK33" i="10"/>
  <c r="BJ33" i="10"/>
  <c r="BI33" i="10"/>
  <c r="BH33" i="10"/>
  <c r="BG33" i="10"/>
  <c r="BF33" i="10"/>
  <c r="BE33" i="10"/>
  <c r="BD33" i="10"/>
  <c r="BC33" i="10"/>
  <c r="BB33" i="10"/>
  <c r="BA33" i="10"/>
  <c r="AZ33" i="10"/>
  <c r="AY33" i="10"/>
  <c r="AX33" i="10"/>
  <c r="AW33" i="10"/>
  <c r="AV33" i="10"/>
  <c r="AU33" i="10"/>
  <c r="AT33" i="10"/>
  <c r="AS33" i="10"/>
  <c r="AR33" i="10"/>
  <c r="AQ33" i="10"/>
  <c r="AP33" i="10"/>
  <c r="AO33" i="10"/>
  <c r="AN33" i="10"/>
  <c r="AM33" i="10"/>
  <c r="AL33" i="10"/>
  <c r="AK33" i="10"/>
  <c r="AJ33" i="10"/>
  <c r="AI33" i="10"/>
  <c r="AH33" i="10"/>
  <c r="AG33" i="10"/>
  <c r="AF33" i="10"/>
  <c r="AE33" i="10"/>
  <c r="AD33" i="10"/>
  <c r="AC33" i="10"/>
  <c r="AB33" i="10"/>
  <c r="F15" i="12" s="1"/>
  <c r="AA33" i="10"/>
  <c r="Z33" i="10"/>
  <c r="Y33" i="10"/>
  <c r="X33" i="10"/>
  <c r="W33" i="10"/>
  <c r="V33" i="10"/>
  <c r="U33" i="10"/>
  <c r="T33" i="10"/>
  <c r="S33" i="10"/>
  <c r="R33" i="10"/>
  <c r="Q33" i="10"/>
  <c r="P33" i="10"/>
  <c r="O33" i="10"/>
  <c r="N33" i="10"/>
  <c r="M33" i="10"/>
  <c r="L33" i="10"/>
  <c r="K33" i="10"/>
  <c r="J33" i="10"/>
  <c r="I33" i="10"/>
  <c r="H33" i="10"/>
  <c r="G33" i="10"/>
  <c r="F33" i="10"/>
  <c r="E33" i="10"/>
  <c r="CI32" i="10"/>
  <c r="CH32" i="10"/>
  <c r="CG32" i="10"/>
  <c r="CF32" i="10"/>
  <c r="CE32" i="10"/>
  <c r="CD32" i="10"/>
  <c r="CC32" i="10"/>
  <c r="CB32" i="10"/>
  <c r="CA32" i="10"/>
  <c r="BZ32" i="10"/>
  <c r="BY32" i="10"/>
  <c r="BX32" i="10"/>
  <c r="BW32" i="10"/>
  <c r="BV32" i="10"/>
  <c r="BU32" i="10"/>
  <c r="BT32" i="10"/>
  <c r="BS32" i="10"/>
  <c r="BR32" i="10"/>
  <c r="BQ32" i="10"/>
  <c r="BP32" i="10"/>
  <c r="BO32" i="10"/>
  <c r="BN32" i="10"/>
  <c r="BM32" i="10"/>
  <c r="BL32" i="10"/>
  <c r="BK32" i="10"/>
  <c r="BJ32" i="10"/>
  <c r="BI32" i="10"/>
  <c r="BH32" i="10"/>
  <c r="BG32" i="10"/>
  <c r="BF32" i="10"/>
  <c r="BE32" i="10"/>
  <c r="BD32" i="10"/>
  <c r="BC32" i="10"/>
  <c r="BB32" i="10"/>
  <c r="BA32" i="10"/>
  <c r="AZ32" i="10"/>
  <c r="AY32" i="10"/>
  <c r="AX32" i="10"/>
  <c r="AW32" i="10"/>
  <c r="AV32" i="10"/>
  <c r="AU32" i="10"/>
  <c r="AT32" i="10"/>
  <c r="AS32" i="10"/>
  <c r="AR32" i="10"/>
  <c r="AQ32" i="10"/>
  <c r="AP32" i="10"/>
  <c r="AO32" i="10"/>
  <c r="AN32" i="10"/>
  <c r="AM32" i="10"/>
  <c r="AL32" i="10"/>
  <c r="AK32" i="10"/>
  <c r="AJ32" i="10"/>
  <c r="AI32" i="10"/>
  <c r="AH32" i="10"/>
  <c r="AG32" i="10"/>
  <c r="AF32" i="10"/>
  <c r="AE32" i="10"/>
  <c r="AD32" i="10"/>
  <c r="AC32" i="10"/>
  <c r="AB32" i="10"/>
  <c r="F14" i="12" s="1"/>
  <c r="AA32" i="10"/>
  <c r="Z32" i="10"/>
  <c r="Y32" i="10"/>
  <c r="X32" i="10"/>
  <c r="W32" i="10"/>
  <c r="V32" i="10"/>
  <c r="U32" i="10"/>
  <c r="T32" i="10"/>
  <c r="S32" i="10"/>
  <c r="R32" i="10"/>
  <c r="Q32" i="10"/>
  <c r="P32" i="10"/>
  <c r="E14" i="12" s="1"/>
  <c r="O32" i="10"/>
  <c r="N32" i="10"/>
  <c r="M32" i="10"/>
  <c r="L32" i="10"/>
  <c r="K32" i="10"/>
  <c r="J32" i="10"/>
  <c r="I32" i="10"/>
  <c r="H32" i="10"/>
  <c r="G32" i="10"/>
  <c r="F32" i="10"/>
  <c r="E32" i="10"/>
  <c r="CI31" i="10"/>
  <c r="CH31" i="10"/>
  <c r="CG31" i="10"/>
  <c r="CF31" i="10"/>
  <c r="CE31" i="10"/>
  <c r="CD31" i="10"/>
  <c r="CC31" i="10"/>
  <c r="CB31" i="10"/>
  <c r="CA31" i="10"/>
  <c r="BZ31" i="10"/>
  <c r="BY31" i="10"/>
  <c r="BX31" i="10"/>
  <c r="BW31" i="10"/>
  <c r="BV31" i="10"/>
  <c r="BU31" i="10"/>
  <c r="BT31" i="10"/>
  <c r="BS31" i="10"/>
  <c r="BR31" i="10"/>
  <c r="BQ31" i="10"/>
  <c r="BP31" i="10"/>
  <c r="BO31" i="10"/>
  <c r="BN31" i="10"/>
  <c r="BM31" i="10"/>
  <c r="BL31" i="10"/>
  <c r="BK31" i="10"/>
  <c r="BJ31" i="10"/>
  <c r="BI31" i="10"/>
  <c r="BH31" i="10"/>
  <c r="BG31" i="10"/>
  <c r="BF31" i="10"/>
  <c r="BE31" i="10"/>
  <c r="BD31" i="10"/>
  <c r="BC31" i="10"/>
  <c r="BB31" i="10"/>
  <c r="BA31" i="10"/>
  <c r="AZ31" i="10"/>
  <c r="AY31" i="10"/>
  <c r="AX31" i="10"/>
  <c r="AW31" i="10"/>
  <c r="AV31" i="10"/>
  <c r="AU31" i="10"/>
  <c r="AT31" i="10"/>
  <c r="AS31" i="10"/>
  <c r="AR31" i="10"/>
  <c r="AQ31" i="10"/>
  <c r="AP31" i="10"/>
  <c r="AO31" i="10"/>
  <c r="AN31" i="10"/>
  <c r="AM31" i="10"/>
  <c r="AL31" i="10"/>
  <c r="AK31" i="10"/>
  <c r="AJ31" i="10"/>
  <c r="AI31" i="10"/>
  <c r="AH31" i="10"/>
  <c r="AG31" i="10"/>
  <c r="AF31" i="10"/>
  <c r="AE31" i="10"/>
  <c r="AD31" i="10"/>
  <c r="AC31" i="10"/>
  <c r="AB31" i="10"/>
  <c r="F42" i="12" s="1"/>
  <c r="AA31" i="10"/>
  <c r="Z31" i="10"/>
  <c r="Y31" i="10"/>
  <c r="X31" i="10"/>
  <c r="W31" i="10"/>
  <c r="V31" i="10"/>
  <c r="U31" i="10"/>
  <c r="T31" i="10"/>
  <c r="S31" i="10"/>
  <c r="R31" i="10"/>
  <c r="Q31" i="10"/>
  <c r="P31" i="10"/>
  <c r="E42" i="12" s="1"/>
  <c r="O31" i="10"/>
  <c r="N31" i="10"/>
  <c r="M31" i="10"/>
  <c r="L31" i="10"/>
  <c r="K31" i="10"/>
  <c r="J31" i="10"/>
  <c r="I31" i="10"/>
  <c r="H31" i="10"/>
  <c r="G31" i="10"/>
  <c r="F31" i="10"/>
  <c r="E31" i="10"/>
  <c r="D31" i="10"/>
  <c r="D42" i="12" s="1"/>
  <c r="G42" i="12" s="1"/>
  <c r="CI15" i="10"/>
  <c r="CH15" i="10"/>
  <c r="CG15" i="10"/>
  <c r="CF15" i="10"/>
  <c r="CE15" i="10"/>
  <c r="CD15" i="10"/>
  <c r="CC15" i="10"/>
  <c r="CB15" i="10"/>
  <c r="CA15" i="10"/>
  <c r="BZ15" i="10"/>
  <c r="BY15" i="10"/>
  <c r="BX15" i="10"/>
  <c r="BW15" i="10"/>
  <c r="BV15" i="10"/>
  <c r="BU15" i="10"/>
  <c r="BT15" i="10"/>
  <c r="BS15" i="10"/>
  <c r="BR15" i="10"/>
  <c r="BQ15" i="10"/>
  <c r="BP15" i="10"/>
  <c r="BO15" i="10"/>
  <c r="BN15" i="10"/>
  <c r="BM15" i="10"/>
  <c r="BL15" i="10"/>
  <c r="BK15" i="10"/>
  <c r="BJ15" i="10"/>
  <c r="BI15" i="10"/>
  <c r="BH15" i="10"/>
  <c r="BG15" i="10"/>
  <c r="BF15" i="10"/>
  <c r="BE15" i="10"/>
  <c r="BD15" i="10"/>
  <c r="BC15" i="10"/>
  <c r="BB15" i="10"/>
  <c r="BA15" i="10"/>
  <c r="AZ15" i="10"/>
  <c r="AY15" i="10"/>
  <c r="AX15" i="10"/>
  <c r="AW15" i="10"/>
  <c r="AV15" i="10"/>
  <c r="AU15" i="10"/>
  <c r="AT15" i="10"/>
  <c r="AS15" i="10"/>
  <c r="AR15" i="10"/>
  <c r="AQ15" i="10"/>
  <c r="AP15" i="10"/>
  <c r="AO15" i="10"/>
  <c r="AN15" i="10"/>
  <c r="AM15" i="10"/>
  <c r="AL15" i="10"/>
  <c r="AK15" i="10"/>
  <c r="AJ15" i="10"/>
  <c r="AI15" i="10"/>
  <c r="AH15" i="10"/>
  <c r="AG15" i="10"/>
  <c r="AF15"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CI14" i="10"/>
  <c r="CH14" i="10"/>
  <c r="CG14" i="10"/>
  <c r="CF14" i="10"/>
  <c r="CE14" i="10"/>
  <c r="CD14" i="10"/>
  <c r="CC14" i="10"/>
  <c r="CB14" i="10"/>
  <c r="CA14" i="10"/>
  <c r="BZ14" i="10"/>
  <c r="BY14" i="10"/>
  <c r="BX14" i="10"/>
  <c r="BW14" i="10"/>
  <c r="BV14" i="10"/>
  <c r="BU14" i="10"/>
  <c r="BT14" i="10"/>
  <c r="BS14" i="10"/>
  <c r="BR14" i="10"/>
  <c r="BQ14" i="10"/>
  <c r="BP14" i="10"/>
  <c r="BO14" i="10"/>
  <c r="BN14" i="10"/>
  <c r="BM14" i="10"/>
  <c r="BL14" i="10"/>
  <c r="BK14" i="10"/>
  <c r="BJ14" i="10"/>
  <c r="BI14" i="10"/>
  <c r="BH14" i="10"/>
  <c r="BG14" i="10"/>
  <c r="BF14" i="10"/>
  <c r="BE14" i="10"/>
  <c r="BD14" i="10"/>
  <c r="BC14" i="10"/>
  <c r="BB14" i="10"/>
  <c r="BA14" i="10"/>
  <c r="AZ14" i="10"/>
  <c r="AY14" i="10"/>
  <c r="AX14" i="10"/>
  <c r="AW14" i="10"/>
  <c r="AV14" i="10"/>
  <c r="AU14" i="10"/>
  <c r="AT14" i="10"/>
  <c r="AS14" i="10"/>
  <c r="AR14" i="10"/>
  <c r="AQ14" i="10"/>
  <c r="AP14" i="10"/>
  <c r="AO14" i="10"/>
  <c r="AN14" i="10"/>
  <c r="AM14" i="10"/>
  <c r="AL14" i="10"/>
  <c r="AK14" i="10"/>
  <c r="AJ14" i="10"/>
  <c r="AI14" i="10"/>
  <c r="AH14" i="10"/>
  <c r="AG14" i="10"/>
  <c r="AF14" i="10"/>
  <c r="AE14" i="10"/>
  <c r="AD14" i="10"/>
  <c r="AC14" i="10"/>
  <c r="AB14" i="10"/>
  <c r="F41" i="12" s="1"/>
  <c r="AA14" i="10"/>
  <c r="Z14" i="10"/>
  <c r="Y14" i="10"/>
  <c r="X14" i="10"/>
  <c r="W14" i="10"/>
  <c r="V14" i="10"/>
  <c r="U14" i="10"/>
  <c r="T14" i="10"/>
  <c r="S14" i="10"/>
  <c r="R14" i="10"/>
  <c r="Q14" i="10"/>
  <c r="P14" i="10"/>
  <c r="E41" i="12" s="1"/>
  <c r="O14" i="10"/>
  <c r="N14" i="10"/>
  <c r="M14" i="10"/>
  <c r="L14" i="10"/>
  <c r="K14" i="10"/>
  <c r="J14" i="10"/>
  <c r="I14" i="10"/>
  <c r="H14" i="10"/>
  <c r="G14" i="10"/>
  <c r="F14" i="10"/>
  <c r="E14" i="10"/>
  <c r="D14" i="10"/>
  <c r="CI13" i="10"/>
  <c r="CH13" i="10"/>
  <c r="CG13" i="10"/>
  <c r="CF13" i="10"/>
  <c r="CE13" i="10"/>
  <c r="CD13" i="10"/>
  <c r="CC13" i="10"/>
  <c r="CB13" i="10"/>
  <c r="CA13" i="10"/>
  <c r="BZ13" i="10"/>
  <c r="BY13" i="10"/>
  <c r="BX13" i="10"/>
  <c r="BW13" i="10"/>
  <c r="BV13" i="10"/>
  <c r="BU13" i="10"/>
  <c r="BT13" i="10"/>
  <c r="BS13" i="10"/>
  <c r="BR13" i="10"/>
  <c r="BQ13" i="10"/>
  <c r="BP13" i="10"/>
  <c r="BO13" i="10"/>
  <c r="BN13" i="10"/>
  <c r="BM13" i="10"/>
  <c r="BL13" i="10"/>
  <c r="BK13" i="10"/>
  <c r="BJ13" i="10"/>
  <c r="BI13" i="10"/>
  <c r="BH13" i="10"/>
  <c r="BG13" i="10"/>
  <c r="BF13" i="10"/>
  <c r="BE13" i="10"/>
  <c r="BD13" i="10"/>
  <c r="BC13" i="10"/>
  <c r="BB13" i="10"/>
  <c r="BA13" i="10"/>
  <c r="AZ13" i="10"/>
  <c r="AY13" i="10"/>
  <c r="AX13" i="10"/>
  <c r="AW13" i="10"/>
  <c r="AV13" i="10"/>
  <c r="AU13" i="10"/>
  <c r="AT13" i="10"/>
  <c r="AS13" i="10"/>
  <c r="AR13" i="10"/>
  <c r="AQ13" i="10"/>
  <c r="AP13" i="10"/>
  <c r="AO13" i="10"/>
  <c r="AN13" i="10"/>
  <c r="AM13" i="10"/>
  <c r="AL13" i="10"/>
  <c r="AK13" i="10"/>
  <c r="AJ13" i="10"/>
  <c r="AI13" i="10"/>
  <c r="AH13" i="10"/>
  <c r="AG13"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I12" i="10"/>
  <c r="CH12" i="10"/>
  <c r="CG12" i="10"/>
  <c r="CF12" i="10"/>
  <c r="CE12" i="10"/>
  <c r="CD12" i="10"/>
  <c r="CC12" i="10"/>
  <c r="CB12" i="10"/>
  <c r="CA12" i="10"/>
  <c r="BZ12" i="10"/>
  <c r="BY12" i="10"/>
  <c r="BX12" i="10"/>
  <c r="BW12" i="10"/>
  <c r="BV12" i="10"/>
  <c r="BU12" i="10"/>
  <c r="BT12" i="10"/>
  <c r="BS12" i="10"/>
  <c r="BR12" i="10"/>
  <c r="BQ12" i="10"/>
  <c r="BP12" i="10"/>
  <c r="BO12" i="10"/>
  <c r="BN12" i="10"/>
  <c r="BM12" i="10"/>
  <c r="BL12" i="10"/>
  <c r="BK12" i="10"/>
  <c r="BJ12" i="10"/>
  <c r="BI12" i="10"/>
  <c r="BH12" i="10"/>
  <c r="BG12" i="10"/>
  <c r="BF12" i="10"/>
  <c r="BE12" i="10"/>
  <c r="BD12" i="10"/>
  <c r="BC12" i="10"/>
  <c r="BB12" i="10"/>
  <c r="BA12" i="10"/>
  <c r="AZ12" i="10"/>
  <c r="AY12" i="10"/>
  <c r="AX12" i="10"/>
  <c r="AW12" i="10"/>
  <c r="AV12" i="10"/>
  <c r="AU12" i="10"/>
  <c r="AT12" i="10"/>
  <c r="AS12" i="10"/>
  <c r="AR12" i="10"/>
  <c r="AQ12" i="10"/>
  <c r="AP12" i="10"/>
  <c r="AO12" i="10"/>
  <c r="AN12" i="10"/>
  <c r="AM12" i="10"/>
  <c r="AL12" i="10"/>
  <c r="AK12" i="10"/>
  <c r="AJ12" i="10"/>
  <c r="AI12" i="10"/>
  <c r="AH12" i="10"/>
  <c r="AG12" i="10"/>
  <c r="AF12" i="10"/>
  <c r="AE12" i="10"/>
  <c r="AD12" i="10"/>
  <c r="AC12" i="10"/>
  <c r="AB12" i="10"/>
  <c r="F40" i="12" s="1"/>
  <c r="AA12" i="10"/>
  <c r="Z12" i="10"/>
  <c r="Y12" i="10"/>
  <c r="X12" i="10"/>
  <c r="W12" i="10"/>
  <c r="V12" i="10"/>
  <c r="U12" i="10"/>
  <c r="T12" i="10"/>
  <c r="S12" i="10"/>
  <c r="R12" i="10"/>
  <c r="Q12" i="10"/>
  <c r="P12" i="10"/>
  <c r="E40" i="12" s="1"/>
  <c r="O12" i="10"/>
  <c r="N12" i="10"/>
  <c r="M12" i="10"/>
  <c r="L12" i="10"/>
  <c r="K12" i="10"/>
  <c r="J12" i="10"/>
  <c r="I12" i="10"/>
  <c r="H12" i="10"/>
  <c r="G12" i="10"/>
  <c r="F12" i="10"/>
  <c r="E12" i="10"/>
  <c r="D12" i="10"/>
  <c r="CI11" i="10"/>
  <c r="CH11" i="10"/>
  <c r="CG11" i="10"/>
  <c r="CF11" i="10"/>
  <c r="CE11" i="10"/>
  <c r="CD11" i="10"/>
  <c r="CC11" i="10"/>
  <c r="CB11" i="10"/>
  <c r="CA11" i="10"/>
  <c r="BZ11" i="10"/>
  <c r="BY11" i="10"/>
  <c r="BX11" i="10"/>
  <c r="BW11" i="10"/>
  <c r="BV11" i="10"/>
  <c r="BU11" i="10"/>
  <c r="BT11" i="10"/>
  <c r="BS11" i="10"/>
  <c r="BR11" i="10"/>
  <c r="BQ11" i="10"/>
  <c r="BP11" i="10"/>
  <c r="BO11" i="10"/>
  <c r="BN11" i="10"/>
  <c r="BM11" i="10"/>
  <c r="BL11" i="10"/>
  <c r="BK11" i="10"/>
  <c r="BJ11" i="10"/>
  <c r="BI11" i="10"/>
  <c r="BH11" i="10"/>
  <c r="BG11" i="10"/>
  <c r="BF11" i="10"/>
  <c r="BE11" i="10"/>
  <c r="BD11" i="10"/>
  <c r="BC11" i="10"/>
  <c r="BB11" i="10"/>
  <c r="BA11" i="10"/>
  <c r="AZ11" i="10"/>
  <c r="AY11" i="10"/>
  <c r="AX11" i="10"/>
  <c r="AW11" i="10"/>
  <c r="AV11" i="10"/>
  <c r="AU11" i="10"/>
  <c r="AT11" i="10"/>
  <c r="AS11" i="10"/>
  <c r="AR11" i="10"/>
  <c r="AQ11" i="10"/>
  <c r="AP11" i="10"/>
  <c r="AO11" i="10"/>
  <c r="AN11" i="10"/>
  <c r="AM11" i="10"/>
  <c r="AL11" i="10"/>
  <c r="AK11" i="10"/>
  <c r="AJ11" i="10"/>
  <c r="AI11" i="10"/>
  <c r="AH11" i="10"/>
  <c r="AG11" i="10"/>
  <c r="AF11" i="10"/>
  <c r="AE11" i="10"/>
  <c r="AD11" i="10"/>
  <c r="AC11" i="10"/>
  <c r="AB11" i="10"/>
  <c r="F39" i="12" s="1"/>
  <c r="AA11" i="10"/>
  <c r="Z11" i="10"/>
  <c r="Y11" i="10"/>
  <c r="X11" i="10"/>
  <c r="W11" i="10"/>
  <c r="V11" i="10"/>
  <c r="U11" i="10"/>
  <c r="T11" i="10"/>
  <c r="S11" i="10"/>
  <c r="R11" i="10"/>
  <c r="Q11" i="10"/>
  <c r="P11" i="10"/>
  <c r="E39" i="12" s="1"/>
  <c r="O11" i="10"/>
  <c r="N11" i="10"/>
  <c r="M11" i="10"/>
  <c r="L11" i="10"/>
  <c r="K11" i="10"/>
  <c r="J11" i="10"/>
  <c r="I11" i="10"/>
  <c r="H11" i="10"/>
  <c r="G11" i="10"/>
  <c r="F11" i="10"/>
  <c r="E11" i="10"/>
  <c r="D11" i="10"/>
  <c r="CI10" i="10"/>
  <c r="CH10" i="10"/>
  <c r="CG10" i="10"/>
  <c r="CF10" i="10"/>
  <c r="CE10" i="10"/>
  <c r="CD10" i="10"/>
  <c r="CC10" i="10"/>
  <c r="CB10" i="10"/>
  <c r="CA10" i="10"/>
  <c r="BZ10" i="10"/>
  <c r="BY10" i="10"/>
  <c r="BX10" i="10"/>
  <c r="BW10" i="10"/>
  <c r="BV10" i="10"/>
  <c r="BU10" i="10"/>
  <c r="BT10" i="10"/>
  <c r="BS10" i="10"/>
  <c r="BR10" i="10"/>
  <c r="BQ10" i="10"/>
  <c r="BP10" i="10"/>
  <c r="BO10" i="10"/>
  <c r="BN10" i="10"/>
  <c r="BM10" i="10"/>
  <c r="BL10" i="10"/>
  <c r="BK10" i="10"/>
  <c r="BJ10" i="10"/>
  <c r="BI10" i="10"/>
  <c r="BH10" i="10"/>
  <c r="BG10" i="10"/>
  <c r="BF10" i="10"/>
  <c r="BE10" i="10"/>
  <c r="BD10" i="10"/>
  <c r="BC10" i="10"/>
  <c r="BB10" i="10"/>
  <c r="BA10" i="10"/>
  <c r="AZ10" i="10"/>
  <c r="AY10" i="10"/>
  <c r="AX10" i="10"/>
  <c r="AW10" i="10"/>
  <c r="AV10" i="10"/>
  <c r="AU10" i="10"/>
  <c r="AT10" i="10"/>
  <c r="AS10" i="10"/>
  <c r="AR10" i="10"/>
  <c r="AQ10" i="10"/>
  <c r="AP10" i="10"/>
  <c r="AO10" i="10"/>
  <c r="AN10" i="10"/>
  <c r="AM10" i="10"/>
  <c r="AL10" i="10"/>
  <c r="AK10" i="10"/>
  <c r="AJ10" i="10"/>
  <c r="AI10" i="10"/>
  <c r="AH10" i="10"/>
  <c r="AG10" i="10"/>
  <c r="AF10"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D10" i="10"/>
  <c r="B5" i="10"/>
  <c r="CI45" i="9"/>
  <c r="CH45" i="9"/>
  <c r="CG45" i="9"/>
  <c r="CF45" i="9"/>
  <c r="CE45" i="9"/>
  <c r="CD45" i="9"/>
  <c r="CC45" i="9"/>
  <c r="CB45" i="9"/>
  <c r="CA45" i="9"/>
  <c r="BZ45" i="9"/>
  <c r="BY45" i="9"/>
  <c r="BX45" i="9"/>
  <c r="BW45" i="9"/>
  <c r="BV45" i="9"/>
  <c r="BU45" i="9"/>
  <c r="BT45" i="9"/>
  <c r="BS45" i="9"/>
  <c r="BR45" i="9"/>
  <c r="BQ45" i="9"/>
  <c r="BP45" i="9"/>
  <c r="BO45" i="9"/>
  <c r="BN45" i="9"/>
  <c r="BM45" i="9"/>
  <c r="BL45" i="9"/>
  <c r="BK45" i="9"/>
  <c r="BJ45" i="9"/>
  <c r="BI45" i="9"/>
  <c r="BH45" i="9"/>
  <c r="BG45" i="9"/>
  <c r="BF45" i="9"/>
  <c r="BE45" i="9"/>
  <c r="BD45" i="9"/>
  <c r="BC45" i="9"/>
  <c r="BB45" i="9"/>
  <c r="BA45" i="9"/>
  <c r="AZ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D45" i="9"/>
  <c r="CI44" i="9"/>
  <c r="CH44" i="9"/>
  <c r="CG44" i="9"/>
  <c r="CF44" i="9"/>
  <c r="CE44" i="9"/>
  <c r="CD44" i="9"/>
  <c r="CC44" i="9"/>
  <c r="CB44" i="9"/>
  <c r="CA44" i="9"/>
  <c r="BZ44" i="9"/>
  <c r="BY44" i="9"/>
  <c r="BX44" i="9"/>
  <c r="BW44" i="9"/>
  <c r="BV44" i="9"/>
  <c r="BU44" i="9"/>
  <c r="BT44" i="9"/>
  <c r="BS44" i="9"/>
  <c r="BR44" i="9"/>
  <c r="BQ44" i="9"/>
  <c r="BP44" i="9"/>
  <c r="BO44" i="9"/>
  <c r="BN44" i="9"/>
  <c r="BM44" i="9"/>
  <c r="BL44" i="9"/>
  <c r="BK44" i="9"/>
  <c r="BJ44" i="9"/>
  <c r="BI44" i="9"/>
  <c r="BH44" i="9"/>
  <c r="BG44" i="9"/>
  <c r="BF44" i="9"/>
  <c r="BE44" i="9"/>
  <c r="BD44" i="9"/>
  <c r="BC44" i="9"/>
  <c r="BB44" i="9"/>
  <c r="BA44" i="9"/>
  <c r="AZ4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c r="D44" i="9"/>
  <c r="CI43" i="9"/>
  <c r="CI35" i="11" s="1"/>
  <c r="CH43" i="9"/>
  <c r="CH35" i="11" s="1"/>
  <c r="CG43" i="9"/>
  <c r="CG35" i="11" s="1"/>
  <c r="CF43" i="9"/>
  <c r="CF35" i="11" s="1"/>
  <c r="CE43" i="9"/>
  <c r="CE35" i="11" s="1"/>
  <c r="CD43" i="9"/>
  <c r="CD35" i="11" s="1"/>
  <c r="CC43" i="9"/>
  <c r="CC35" i="11" s="1"/>
  <c r="CB43" i="9"/>
  <c r="CB35" i="11" s="1"/>
  <c r="CA43" i="9"/>
  <c r="CA35" i="11" s="1"/>
  <c r="BZ43" i="9"/>
  <c r="BZ35" i="11" s="1"/>
  <c r="BY43" i="9"/>
  <c r="BY35" i="11" s="1"/>
  <c r="BX43" i="9"/>
  <c r="BX35" i="11" s="1"/>
  <c r="BW43" i="9"/>
  <c r="BW35" i="11" s="1"/>
  <c r="BV43" i="9"/>
  <c r="BV35" i="11" s="1"/>
  <c r="BU43" i="9"/>
  <c r="BU35" i="11" s="1"/>
  <c r="BT43" i="9"/>
  <c r="BT35" i="11" s="1"/>
  <c r="BS43" i="9"/>
  <c r="BS35" i="11" s="1"/>
  <c r="BR43" i="9"/>
  <c r="BR35" i="11" s="1"/>
  <c r="BQ43" i="9"/>
  <c r="BQ35" i="11" s="1"/>
  <c r="BP43" i="9"/>
  <c r="BP35" i="11" s="1"/>
  <c r="BO43" i="9"/>
  <c r="BO35" i="11" s="1"/>
  <c r="BN43" i="9"/>
  <c r="BN35" i="11" s="1"/>
  <c r="BM43" i="9"/>
  <c r="BM35" i="11" s="1"/>
  <c r="BL43" i="9"/>
  <c r="BL35" i="11" s="1"/>
  <c r="BK43" i="9"/>
  <c r="BK35" i="11" s="1"/>
  <c r="BJ43" i="9"/>
  <c r="BJ35" i="11" s="1"/>
  <c r="BI43" i="9"/>
  <c r="BI35" i="11" s="1"/>
  <c r="BH43" i="9"/>
  <c r="BH35" i="11" s="1"/>
  <c r="BG43" i="9"/>
  <c r="BG35" i="11" s="1"/>
  <c r="BF43" i="9"/>
  <c r="BF35" i="11" s="1"/>
  <c r="BE43" i="9"/>
  <c r="BE35" i="11" s="1"/>
  <c r="BD43" i="9"/>
  <c r="BD35" i="11" s="1"/>
  <c r="BC43" i="9"/>
  <c r="BC35" i="11" s="1"/>
  <c r="BB43" i="9"/>
  <c r="BB35" i="11" s="1"/>
  <c r="BA43" i="9"/>
  <c r="BA35" i="11" s="1"/>
  <c r="AZ43" i="9"/>
  <c r="AZ35" i="11" s="1"/>
  <c r="AY43" i="9"/>
  <c r="AY35" i="11" s="1"/>
  <c r="AX43" i="9"/>
  <c r="AX35" i="11" s="1"/>
  <c r="AW43" i="9"/>
  <c r="AW35" i="11" s="1"/>
  <c r="AV43" i="9"/>
  <c r="AV35" i="11" s="1"/>
  <c r="AU43" i="9"/>
  <c r="AU35" i="11" s="1"/>
  <c r="AT43" i="9"/>
  <c r="AT35" i="11" s="1"/>
  <c r="AS43" i="9"/>
  <c r="AS35" i="11" s="1"/>
  <c r="AR43" i="9"/>
  <c r="AR35" i="11" s="1"/>
  <c r="AQ43" i="9"/>
  <c r="AQ35" i="11" s="1"/>
  <c r="AP43" i="9"/>
  <c r="AP35" i="11" s="1"/>
  <c r="AO43" i="9"/>
  <c r="AO35" i="11" s="1"/>
  <c r="AN43" i="9"/>
  <c r="AN35" i="11" s="1"/>
  <c r="AM43" i="9"/>
  <c r="AM35" i="11" s="1"/>
  <c r="AL43" i="9"/>
  <c r="AL35" i="11" s="1"/>
  <c r="AK43" i="9"/>
  <c r="AK35" i="11" s="1"/>
  <c r="AJ43" i="9"/>
  <c r="AJ35" i="11" s="1"/>
  <c r="AI43" i="9"/>
  <c r="AI35" i="11" s="1"/>
  <c r="AH43" i="9"/>
  <c r="AH35" i="11" s="1"/>
  <c r="AG43" i="9"/>
  <c r="AG35" i="11" s="1"/>
  <c r="AF43" i="9"/>
  <c r="AF35" i="11" s="1"/>
  <c r="AE43" i="9"/>
  <c r="AE35" i="11" s="1"/>
  <c r="AD43" i="9"/>
  <c r="AD35" i="11" s="1"/>
  <c r="AC43" i="9"/>
  <c r="AC35" i="11" s="1"/>
  <c r="AB43" i="9"/>
  <c r="AB35" i="11" s="1"/>
  <c r="F35" i="12" s="1"/>
  <c r="AA43" i="9"/>
  <c r="AA35" i="11" s="1"/>
  <c r="Z43" i="9"/>
  <c r="Z35" i="11" s="1"/>
  <c r="Y43" i="9"/>
  <c r="Y35" i="11" s="1"/>
  <c r="X43" i="9"/>
  <c r="X35" i="11" s="1"/>
  <c r="W43" i="9"/>
  <c r="W35" i="11" s="1"/>
  <c r="V43" i="9"/>
  <c r="V35" i="11" s="1"/>
  <c r="U43" i="9"/>
  <c r="U35" i="11" s="1"/>
  <c r="T43" i="9"/>
  <c r="T35" i="11" s="1"/>
  <c r="S43" i="9"/>
  <c r="S35" i="11" s="1"/>
  <c r="R43" i="9"/>
  <c r="R35" i="11" s="1"/>
  <c r="Q43" i="9"/>
  <c r="Q35" i="11" s="1"/>
  <c r="P43" i="9"/>
  <c r="P35" i="11" s="1"/>
  <c r="O43" i="9"/>
  <c r="O35" i="11" s="1"/>
  <c r="N43" i="9"/>
  <c r="N35" i="11" s="1"/>
  <c r="M43" i="9"/>
  <c r="M35" i="11" s="1"/>
  <c r="L43" i="9"/>
  <c r="L35" i="11" s="1"/>
  <c r="K43" i="9"/>
  <c r="K35" i="11" s="1"/>
  <c r="J43" i="9"/>
  <c r="J35" i="11" s="1"/>
  <c r="I43" i="9"/>
  <c r="I35" i="11" s="1"/>
  <c r="H43" i="9"/>
  <c r="H35" i="11" s="1"/>
  <c r="G43" i="9"/>
  <c r="G35" i="11" s="1"/>
  <c r="F43" i="9"/>
  <c r="F35" i="11" s="1"/>
  <c r="E43" i="9"/>
  <c r="E35" i="11" s="1"/>
  <c r="D43" i="9"/>
  <c r="D35" i="11" s="1"/>
  <c r="CI42" i="9"/>
  <c r="CH42" i="9"/>
  <c r="CG42" i="9"/>
  <c r="CF42" i="9"/>
  <c r="CE42" i="9"/>
  <c r="CD42" i="9"/>
  <c r="CC42" i="9"/>
  <c r="CB42" i="9"/>
  <c r="CA42" i="9"/>
  <c r="BZ42" i="9"/>
  <c r="BY42" i="9"/>
  <c r="BX42" i="9"/>
  <c r="BW42" i="9"/>
  <c r="BV42" i="9"/>
  <c r="BU42" i="9"/>
  <c r="BT42" i="9"/>
  <c r="BS42" i="9"/>
  <c r="BR42" i="9"/>
  <c r="BQ42" i="9"/>
  <c r="BP42" i="9"/>
  <c r="BO42" i="9"/>
  <c r="BN42" i="9"/>
  <c r="BM42" i="9"/>
  <c r="BL42" i="9"/>
  <c r="BK42" i="9"/>
  <c r="BJ42" i="9"/>
  <c r="BI42" i="9"/>
  <c r="BH42" i="9"/>
  <c r="BG42" i="9"/>
  <c r="BF42" i="9"/>
  <c r="BE42" i="9"/>
  <c r="BD42" i="9"/>
  <c r="BC42" i="9"/>
  <c r="BB42" i="9"/>
  <c r="BA42" i="9"/>
  <c r="AZ42" i="9"/>
  <c r="AY42" i="9"/>
  <c r="AX42" i="9"/>
  <c r="AW42" i="9"/>
  <c r="AV42" i="9"/>
  <c r="AU42" i="9"/>
  <c r="AT42" i="9"/>
  <c r="AS42" i="9"/>
  <c r="AR42" i="9"/>
  <c r="AQ42" i="9"/>
  <c r="AP42" i="9"/>
  <c r="AO42" i="9"/>
  <c r="AN42" i="9"/>
  <c r="AM42" i="9"/>
  <c r="AL42" i="9"/>
  <c r="AK42" i="9"/>
  <c r="AJ42" i="9"/>
  <c r="AI42" i="9"/>
  <c r="AH42" i="9"/>
  <c r="AG42" i="9"/>
  <c r="AF42" i="9"/>
  <c r="AE42" i="9"/>
  <c r="AD42" i="9"/>
  <c r="AC42" i="9"/>
  <c r="AB42" i="9"/>
  <c r="AA42" i="9"/>
  <c r="Z42" i="9"/>
  <c r="Y42" i="9"/>
  <c r="X42" i="9"/>
  <c r="W42" i="9"/>
  <c r="V42" i="9"/>
  <c r="U42" i="9"/>
  <c r="T42" i="9"/>
  <c r="S42" i="9"/>
  <c r="R42" i="9"/>
  <c r="Q42" i="9"/>
  <c r="P42" i="9"/>
  <c r="O42" i="9"/>
  <c r="N42" i="9"/>
  <c r="M42" i="9"/>
  <c r="L42" i="9"/>
  <c r="K42" i="9"/>
  <c r="J42" i="9"/>
  <c r="I42" i="9"/>
  <c r="H42" i="9"/>
  <c r="G42" i="9"/>
  <c r="F42" i="9"/>
  <c r="E42" i="9"/>
  <c r="D42" i="9"/>
  <c r="CI40" i="9"/>
  <c r="CH40" i="9"/>
  <c r="CG40" i="9"/>
  <c r="CF40" i="9"/>
  <c r="CE40" i="9"/>
  <c r="CD40" i="9"/>
  <c r="CC40" i="9"/>
  <c r="CB40" i="9"/>
  <c r="CA40" i="9"/>
  <c r="BZ40" i="9"/>
  <c r="BY40" i="9"/>
  <c r="BX40" i="9"/>
  <c r="BW40" i="9"/>
  <c r="BV40" i="9"/>
  <c r="BU40" i="9"/>
  <c r="BT40" i="9"/>
  <c r="BS40" i="9"/>
  <c r="BR40" i="9"/>
  <c r="BQ40" i="9"/>
  <c r="BP40" i="9"/>
  <c r="BO40" i="9"/>
  <c r="BN40" i="9"/>
  <c r="BM40" i="9"/>
  <c r="BL40" i="9"/>
  <c r="BK40" i="9"/>
  <c r="BJ40" i="9"/>
  <c r="BI40" i="9"/>
  <c r="BH40" i="9"/>
  <c r="BG40" i="9"/>
  <c r="BF40" i="9"/>
  <c r="BE40" i="9"/>
  <c r="BD40" i="9"/>
  <c r="BC40" i="9"/>
  <c r="BB40" i="9"/>
  <c r="BA40" i="9"/>
  <c r="AZ40" i="9"/>
  <c r="AY40" i="9"/>
  <c r="AX40" i="9"/>
  <c r="AW40" i="9"/>
  <c r="AV40" i="9"/>
  <c r="AU40" i="9"/>
  <c r="AT40" i="9"/>
  <c r="AS40" i="9"/>
  <c r="AR40" i="9"/>
  <c r="AQ40" i="9"/>
  <c r="AP40" i="9"/>
  <c r="AO40" i="9"/>
  <c r="AN40" i="9"/>
  <c r="AM40" i="9"/>
  <c r="AL40" i="9"/>
  <c r="AK40" i="9"/>
  <c r="AJ40" i="9"/>
  <c r="AI40" i="9"/>
  <c r="AH40" i="9"/>
  <c r="AG40" i="9"/>
  <c r="AF40" i="9"/>
  <c r="AE40" i="9"/>
  <c r="AD40" i="9"/>
  <c r="AC40" i="9"/>
  <c r="AB40" i="9"/>
  <c r="AA40" i="9"/>
  <c r="Z40" i="9"/>
  <c r="Y40" i="9"/>
  <c r="X40" i="9"/>
  <c r="W40" i="9"/>
  <c r="V40" i="9"/>
  <c r="U40" i="9"/>
  <c r="T40" i="9"/>
  <c r="S40" i="9"/>
  <c r="R40" i="9"/>
  <c r="Q40" i="9"/>
  <c r="P40" i="9"/>
  <c r="O40" i="9"/>
  <c r="N40" i="9"/>
  <c r="M40" i="9"/>
  <c r="L40" i="9"/>
  <c r="K40" i="9"/>
  <c r="J40" i="9"/>
  <c r="I40" i="9"/>
  <c r="H40" i="9"/>
  <c r="G40" i="9"/>
  <c r="F40" i="9"/>
  <c r="E40" i="9"/>
  <c r="D40" i="9"/>
  <c r="CI39" i="9"/>
  <c r="CH39" i="9"/>
  <c r="CG39" i="9"/>
  <c r="CF39" i="9"/>
  <c r="CE39" i="9"/>
  <c r="CD39" i="9"/>
  <c r="CC39" i="9"/>
  <c r="CB39" i="9"/>
  <c r="CA39" i="9"/>
  <c r="BZ39" i="9"/>
  <c r="BY39" i="9"/>
  <c r="BX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D39" i="9"/>
  <c r="CI38" i="9"/>
  <c r="CH38" i="9"/>
  <c r="CG38" i="9"/>
  <c r="CF38" i="9"/>
  <c r="CE38" i="9"/>
  <c r="CD38" i="9"/>
  <c r="CC38" i="9"/>
  <c r="CB38" i="9"/>
  <c r="CA38" i="9"/>
  <c r="BZ38" i="9"/>
  <c r="BY38" i="9"/>
  <c r="BX38" i="9"/>
  <c r="BW38" i="9"/>
  <c r="BV38" i="9"/>
  <c r="BU38" i="9"/>
  <c r="BT38" i="9"/>
  <c r="BS38" i="9"/>
  <c r="BR38" i="9"/>
  <c r="BQ38" i="9"/>
  <c r="BP38" i="9"/>
  <c r="BO38" i="9"/>
  <c r="BN38" i="9"/>
  <c r="BM38" i="9"/>
  <c r="BL38" i="9"/>
  <c r="BK38" i="9"/>
  <c r="BJ38" i="9"/>
  <c r="BI38" i="9"/>
  <c r="BH38" i="9"/>
  <c r="BG38" i="9"/>
  <c r="BF38" i="9"/>
  <c r="BE38" i="9"/>
  <c r="BD38" i="9"/>
  <c r="BC38" i="9"/>
  <c r="BB38" i="9"/>
  <c r="BA38" i="9"/>
  <c r="AZ38" i="9"/>
  <c r="AY38" i="9"/>
  <c r="AX38" i="9"/>
  <c r="AW38" i="9"/>
  <c r="AV38" i="9"/>
  <c r="AU38" i="9"/>
  <c r="AT38" i="9"/>
  <c r="AS38" i="9"/>
  <c r="AR38" i="9"/>
  <c r="AQ38" i="9"/>
  <c r="AP38" i="9"/>
  <c r="AO38" i="9"/>
  <c r="AN38" i="9"/>
  <c r="AM38" i="9"/>
  <c r="AL38" i="9"/>
  <c r="AK38" i="9"/>
  <c r="AJ38" i="9"/>
  <c r="AI38" i="9"/>
  <c r="AH38" i="9"/>
  <c r="AG38" i="9"/>
  <c r="AF38" i="9"/>
  <c r="AE38" i="9"/>
  <c r="AD38" i="9"/>
  <c r="AC38" i="9"/>
  <c r="AB38" i="9"/>
  <c r="AA38" i="9"/>
  <c r="Z38" i="9"/>
  <c r="Y38" i="9"/>
  <c r="X38" i="9"/>
  <c r="W38" i="9"/>
  <c r="V38" i="9"/>
  <c r="U38" i="9"/>
  <c r="T38" i="9"/>
  <c r="S38" i="9"/>
  <c r="R38" i="9"/>
  <c r="Q38" i="9"/>
  <c r="P38" i="9"/>
  <c r="O38" i="9"/>
  <c r="N38" i="9"/>
  <c r="M38" i="9"/>
  <c r="L38" i="9"/>
  <c r="K38" i="9"/>
  <c r="J38" i="9"/>
  <c r="I38" i="9"/>
  <c r="H38" i="9"/>
  <c r="G38" i="9"/>
  <c r="F38" i="9"/>
  <c r="E38" i="9"/>
  <c r="D38" i="9"/>
  <c r="CI37" i="9"/>
  <c r="CH37" i="9"/>
  <c r="CG37" i="9"/>
  <c r="CF37" i="9"/>
  <c r="CE37" i="9"/>
  <c r="CD37" i="9"/>
  <c r="CC37" i="9"/>
  <c r="CB37" i="9"/>
  <c r="CA37" i="9"/>
  <c r="BZ37" i="9"/>
  <c r="BY37" i="9"/>
  <c r="BX37" i="9"/>
  <c r="BW37" i="9"/>
  <c r="BV37" i="9"/>
  <c r="BU37" i="9"/>
  <c r="BT37" i="9"/>
  <c r="BS37" i="9"/>
  <c r="BR37" i="9"/>
  <c r="BQ37" i="9"/>
  <c r="BP37" i="9"/>
  <c r="BO37" i="9"/>
  <c r="BN37" i="9"/>
  <c r="BM37" i="9"/>
  <c r="BL37" i="9"/>
  <c r="BK37" i="9"/>
  <c r="BJ37" i="9"/>
  <c r="BI37" i="9"/>
  <c r="BH37" i="9"/>
  <c r="BG37" i="9"/>
  <c r="BF37" i="9"/>
  <c r="BE37" i="9"/>
  <c r="BD37" i="9"/>
  <c r="BC37" i="9"/>
  <c r="BB37" i="9"/>
  <c r="BA37" i="9"/>
  <c r="AZ37" i="9"/>
  <c r="AY37" i="9"/>
  <c r="AX37" i="9"/>
  <c r="AW37" i="9"/>
  <c r="AV37" i="9"/>
  <c r="AU37" i="9"/>
  <c r="AT37" i="9"/>
  <c r="AS37" i="9"/>
  <c r="AR37" i="9"/>
  <c r="AQ37" i="9"/>
  <c r="AP37" i="9"/>
  <c r="AO37" i="9"/>
  <c r="AN37" i="9"/>
  <c r="AM37" i="9"/>
  <c r="AL37" i="9"/>
  <c r="AK37" i="9"/>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c r="E37" i="9"/>
  <c r="D37" i="9"/>
  <c r="CI36" i="9"/>
  <c r="CH36" i="9"/>
  <c r="CG36" i="9"/>
  <c r="CF36" i="9"/>
  <c r="CE36" i="9"/>
  <c r="CD36" i="9"/>
  <c r="CC36" i="9"/>
  <c r="CB36" i="9"/>
  <c r="CA36" i="9"/>
  <c r="BZ36" i="9"/>
  <c r="BY36" i="9"/>
  <c r="BX36" i="9"/>
  <c r="BW36" i="9"/>
  <c r="BV36" i="9"/>
  <c r="BU36" i="9"/>
  <c r="BT36" i="9"/>
  <c r="BS36" i="9"/>
  <c r="BR36" i="9"/>
  <c r="BQ36" i="9"/>
  <c r="BP36" i="9"/>
  <c r="BO36" i="9"/>
  <c r="BN36" i="9"/>
  <c r="BM36" i="9"/>
  <c r="BL36" i="9"/>
  <c r="BK36" i="9"/>
  <c r="BJ36" i="9"/>
  <c r="BI36" i="9"/>
  <c r="BH36" i="9"/>
  <c r="BG36" i="9"/>
  <c r="BF36" i="9"/>
  <c r="BE36" i="9"/>
  <c r="BD36" i="9"/>
  <c r="BC36" i="9"/>
  <c r="BB36" i="9"/>
  <c r="BA36" i="9"/>
  <c r="AZ36" i="9"/>
  <c r="AY36" i="9"/>
  <c r="AX36" i="9"/>
  <c r="AW36" i="9"/>
  <c r="AV36" i="9"/>
  <c r="AU36" i="9"/>
  <c r="AT36" i="9"/>
  <c r="AS36" i="9"/>
  <c r="AR36" i="9"/>
  <c r="AQ36" i="9"/>
  <c r="AP36" i="9"/>
  <c r="AO36" i="9"/>
  <c r="AN36" i="9"/>
  <c r="AM36" i="9"/>
  <c r="AL36" i="9"/>
  <c r="AK36" i="9"/>
  <c r="AJ36" i="9"/>
  <c r="AI36" i="9"/>
  <c r="AH36" i="9"/>
  <c r="AG36" i="9"/>
  <c r="AF36" i="9"/>
  <c r="AE36" i="9"/>
  <c r="AD36" i="9"/>
  <c r="AC36" i="9"/>
  <c r="AB36" i="9"/>
  <c r="AA36" i="9"/>
  <c r="Z36" i="9"/>
  <c r="Y36" i="9"/>
  <c r="X36" i="9"/>
  <c r="W36" i="9"/>
  <c r="V36" i="9"/>
  <c r="U36" i="9"/>
  <c r="T36" i="9"/>
  <c r="S36" i="9"/>
  <c r="R36" i="9"/>
  <c r="Q36" i="9"/>
  <c r="P36" i="9"/>
  <c r="O36" i="9"/>
  <c r="N36" i="9"/>
  <c r="M36" i="9"/>
  <c r="L36" i="9"/>
  <c r="K36" i="9"/>
  <c r="J36" i="9"/>
  <c r="I36" i="9"/>
  <c r="H36" i="9"/>
  <c r="G36" i="9"/>
  <c r="F36" i="9"/>
  <c r="E36" i="9"/>
  <c r="D36" i="9"/>
  <c r="CI35" i="9"/>
  <c r="CH35" i="9"/>
  <c r="CG35" i="9"/>
  <c r="CF35" i="9"/>
  <c r="CE35" i="9"/>
  <c r="CD35" i="9"/>
  <c r="CC35" i="9"/>
  <c r="CB35" i="9"/>
  <c r="CA35" i="9"/>
  <c r="BZ35" i="9"/>
  <c r="BY35" i="9"/>
  <c r="BX35" i="9"/>
  <c r="BW35" i="9"/>
  <c r="BV35" i="9"/>
  <c r="BU35" i="9"/>
  <c r="BT35" i="9"/>
  <c r="BS35" i="9"/>
  <c r="BR35" i="9"/>
  <c r="BQ35" i="9"/>
  <c r="BP35" i="9"/>
  <c r="BO35" i="9"/>
  <c r="BN35" i="9"/>
  <c r="BM35" i="9"/>
  <c r="BL35" i="9"/>
  <c r="BK35" i="9"/>
  <c r="BJ35" i="9"/>
  <c r="BI35" i="9"/>
  <c r="BH35" i="9"/>
  <c r="BG35" i="9"/>
  <c r="BF35" i="9"/>
  <c r="BE35" i="9"/>
  <c r="BD35" i="9"/>
  <c r="BC35" i="9"/>
  <c r="BB35" i="9"/>
  <c r="BA35" i="9"/>
  <c r="AZ35" i="9"/>
  <c r="AY35" i="9"/>
  <c r="AX35" i="9"/>
  <c r="AW35" i="9"/>
  <c r="AV35" i="9"/>
  <c r="AU35" i="9"/>
  <c r="AT35" i="9"/>
  <c r="AS35" i="9"/>
  <c r="AR35" i="9"/>
  <c r="AQ35" i="9"/>
  <c r="AP35" i="9"/>
  <c r="AO35" i="9"/>
  <c r="AN35" i="9"/>
  <c r="AM35" i="9"/>
  <c r="AL35" i="9"/>
  <c r="AK35" i="9"/>
  <c r="AJ35" i="9"/>
  <c r="AI35" i="9"/>
  <c r="AH35" i="9"/>
  <c r="AG35" i="9"/>
  <c r="AF35" i="9"/>
  <c r="AE35" i="9"/>
  <c r="AD35" i="9"/>
  <c r="AC35" i="9"/>
  <c r="AB35" i="9"/>
  <c r="AA35" i="9"/>
  <c r="Z35" i="9"/>
  <c r="Y35" i="9"/>
  <c r="X35" i="9"/>
  <c r="W35" i="9"/>
  <c r="V35" i="9"/>
  <c r="U35" i="9"/>
  <c r="T35" i="9"/>
  <c r="S35" i="9"/>
  <c r="R35" i="9"/>
  <c r="Q35" i="9"/>
  <c r="P35" i="9"/>
  <c r="O35" i="9"/>
  <c r="N35" i="9"/>
  <c r="M35" i="9"/>
  <c r="L35" i="9"/>
  <c r="K35" i="9"/>
  <c r="J35" i="9"/>
  <c r="I35" i="9"/>
  <c r="H35" i="9"/>
  <c r="G35" i="9"/>
  <c r="F35" i="9"/>
  <c r="E35" i="9"/>
  <c r="D35" i="9"/>
  <c r="CI34" i="9"/>
  <c r="CH34" i="9"/>
  <c r="CG34" i="9"/>
  <c r="CF34" i="9"/>
  <c r="CE34" i="9"/>
  <c r="CD34" i="9"/>
  <c r="CC34" i="9"/>
  <c r="CB34" i="9"/>
  <c r="CA34" i="9"/>
  <c r="BZ34" i="9"/>
  <c r="BY34" i="9"/>
  <c r="BX34" i="9"/>
  <c r="BW34" i="9"/>
  <c r="BV34" i="9"/>
  <c r="BU34" i="9"/>
  <c r="BT34" i="9"/>
  <c r="BS34" i="9"/>
  <c r="BR34" i="9"/>
  <c r="BQ34" i="9"/>
  <c r="BP34" i="9"/>
  <c r="BO34" i="9"/>
  <c r="BN34" i="9"/>
  <c r="BM34" i="9"/>
  <c r="BL34" i="9"/>
  <c r="BK34" i="9"/>
  <c r="BJ34" i="9"/>
  <c r="BI34" i="9"/>
  <c r="BH34" i="9"/>
  <c r="BG34" i="9"/>
  <c r="BF34" i="9"/>
  <c r="BE34" i="9"/>
  <c r="BD34" i="9"/>
  <c r="BC34" i="9"/>
  <c r="BB34" i="9"/>
  <c r="BA34" i="9"/>
  <c r="AZ34" i="9"/>
  <c r="AY34" i="9"/>
  <c r="AX34" i="9"/>
  <c r="AW34" i="9"/>
  <c r="AV34" i="9"/>
  <c r="AU34" i="9"/>
  <c r="AT34" i="9"/>
  <c r="AS34" i="9"/>
  <c r="AR34" i="9"/>
  <c r="AQ34" i="9"/>
  <c r="AP34" i="9"/>
  <c r="AO34" i="9"/>
  <c r="AN34" i="9"/>
  <c r="AM34" i="9"/>
  <c r="AL34" i="9"/>
  <c r="AK34"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c r="E34" i="9"/>
  <c r="D34" i="9"/>
  <c r="CI33" i="9"/>
  <c r="CH33" i="9"/>
  <c r="CG33" i="9"/>
  <c r="CF33" i="9"/>
  <c r="CE33" i="9"/>
  <c r="CD33" i="9"/>
  <c r="CC33" i="9"/>
  <c r="CB33" i="9"/>
  <c r="CA33" i="9"/>
  <c r="BZ33" i="9"/>
  <c r="BY33" i="9"/>
  <c r="BX33" i="9"/>
  <c r="BW33" i="9"/>
  <c r="BV33" i="9"/>
  <c r="BU33" i="9"/>
  <c r="BT33" i="9"/>
  <c r="BS33" i="9"/>
  <c r="BR33" i="9"/>
  <c r="BQ33" i="9"/>
  <c r="BP33" i="9"/>
  <c r="BO33" i="9"/>
  <c r="BN33" i="9"/>
  <c r="BM33" i="9"/>
  <c r="BL33" i="9"/>
  <c r="BK33" i="9"/>
  <c r="BJ33" i="9"/>
  <c r="BI33" i="9"/>
  <c r="BH33" i="9"/>
  <c r="BG33" i="9"/>
  <c r="BF33" i="9"/>
  <c r="BE33" i="9"/>
  <c r="BD33" i="9"/>
  <c r="BC33" i="9"/>
  <c r="BB33" i="9"/>
  <c r="BA33" i="9"/>
  <c r="AZ33" i="9"/>
  <c r="AY33" i="9"/>
  <c r="AX33" i="9"/>
  <c r="AW33" i="9"/>
  <c r="AV33" i="9"/>
  <c r="AU33" i="9"/>
  <c r="AT33" i="9"/>
  <c r="AS33" i="9"/>
  <c r="AR33" i="9"/>
  <c r="AQ33" i="9"/>
  <c r="AP33" i="9"/>
  <c r="AO33" i="9"/>
  <c r="AN33" i="9"/>
  <c r="AM33" i="9"/>
  <c r="AL33" i="9"/>
  <c r="AK33" i="9"/>
  <c r="AJ33" i="9"/>
  <c r="AI33" i="9"/>
  <c r="AH33" i="9"/>
  <c r="AG33" i="9"/>
  <c r="AF33" i="9"/>
  <c r="AE33" i="9"/>
  <c r="AD33" i="9"/>
  <c r="AC33" i="9"/>
  <c r="AB33" i="9"/>
  <c r="AA33" i="9"/>
  <c r="Z33" i="9"/>
  <c r="Y33" i="9"/>
  <c r="X33" i="9"/>
  <c r="W33" i="9"/>
  <c r="V33" i="9"/>
  <c r="U33" i="9"/>
  <c r="T33" i="9"/>
  <c r="S33" i="9"/>
  <c r="R33" i="9"/>
  <c r="Q33" i="9"/>
  <c r="P33" i="9"/>
  <c r="O33" i="9"/>
  <c r="N33" i="9"/>
  <c r="M33" i="9"/>
  <c r="L33" i="9"/>
  <c r="K33" i="9"/>
  <c r="J33" i="9"/>
  <c r="I33" i="9"/>
  <c r="H33" i="9"/>
  <c r="G33" i="9"/>
  <c r="F33" i="9"/>
  <c r="E33" i="9"/>
  <c r="D33" i="9"/>
  <c r="CI32" i="9"/>
  <c r="CH32" i="9"/>
  <c r="CG32" i="9"/>
  <c r="CF32" i="9"/>
  <c r="CE32" i="9"/>
  <c r="CD32" i="9"/>
  <c r="CC32" i="9"/>
  <c r="CB32" i="9"/>
  <c r="CA32" i="9"/>
  <c r="BZ32" i="9"/>
  <c r="BY32" i="9"/>
  <c r="BX32" i="9"/>
  <c r="BW32" i="9"/>
  <c r="BV32" i="9"/>
  <c r="BU32" i="9"/>
  <c r="BT32" i="9"/>
  <c r="BS32" i="9"/>
  <c r="BR32" i="9"/>
  <c r="BQ32" i="9"/>
  <c r="BP32" i="9"/>
  <c r="BO32" i="9"/>
  <c r="BN32" i="9"/>
  <c r="BM32" i="9"/>
  <c r="BL32" i="9"/>
  <c r="BK32" i="9"/>
  <c r="BJ32" i="9"/>
  <c r="BI32" i="9"/>
  <c r="BH32" i="9"/>
  <c r="BG32" i="9"/>
  <c r="BF32" i="9"/>
  <c r="BE32" i="9"/>
  <c r="BD32" i="9"/>
  <c r="BC32" i="9"/>
  <c r="BB32" i="9"/>
  <c r="BA32" i="9"/>
  <c r="AZ32" i="9"/>
  <c r="AY32" i="9"/>
  <c r="AX32" i="9"/>
  <c r="AW32" i="9"/>
  <c r="AV32" i="9"/>
  <c r="AU32" i="9"/>
  <c r="AT32" i="9"/>
  <c r="AS32" i="9"/>
  <c r="AR32" i="9"/>
  <c r="AQ32" i="9"/>
  <c r="AP32" i="9"/>
  <c r="AO32" i="9"/>
  <c r="AN32" i="9"/>
  <c r="AM32" i="9"/>
  <c r="AL32" i="9"/>
  <c r="AK32" i="9"/>
  <c r="AJ32" i="9"/>
  <c r="AI32" i="9"/>
  <c r="AH32" i="9"/>
  <c r="AG32" i="9"/>
  <c r="AF32" i="9"/>
  <c r="AE32" i="9"/>
  <c r="AD32" i="9"/>
  <c r="AC32" i="9"/>
  <c r="AB32" i="9"/>
  <c r="AA32" i="9"/>
  <c r="Z32" i="9"/>
  <c r="Y32" i="9"/>
  <c r="X32" i="9"/>
  <c r="W32" i="9"/>
  <c r="V32" i="9"/>
  <c r="U32" i="9"/>
  <c r="T32" i="9"/>
  <c r="S32" i="9"/>
  <c r="R32" i="9"/>
  <c r="Q32" i="9"/>
  <c r="P32" i="9"/>
  <c r="O32" i="9"/>
  <c r="N32" i="9"/>
  <c r="M32" i="9"/>
  <c r="L32" i="9"/>
  <c r="K32" i="9"/>
  <c r="J32" i="9"/>
  <c r="I32" i="9"/>
  <c r="H32" i="9"/>
  <c r="G32" i="9"/>
  <c r="F32" i="9"/>
  <c r="E32" i="9"/>
  <c r="D32" i="9"/>
  <c r="CI31" i="9"/>
  <c r="CH31" i="9"/>
  <c r="CG31" i="9"/>
  <c r="CF31" i="9"/>
  <c r="CE31" i="9"/>
  <c r="CD31" i="9"/>
  <c r="CC31" i="9"/>
  <c r="CB31" i="9"/>
  <c r="CA31" i="9"/>
  <c r="BZ31" i="9"/>
  <c r="BY31" i="9"/>
  <c r="BX31" i="9"/>
  <c r="BW31" i="9"/>
  <c r="BV31" i="9"/>
  <c r="BU31" i="9"/>
  <c r="BT31" i="9"/>
  <c r="BS31" i="9"/>
  <c r="BR31" i="9"/>
  <c r="BQ31" i="9"/>
  <c r="BP31" i="9"/>
  <c r="BO31" i="9"/>
  <c r="BN31" i="9"/>
  <c r="BM31" i="9"/>
  <c r="BL31" i="9"/>
  <c r="BK31" i="9"/>
  <c r="BJ31" i="9"/>
  <c r="BI31" i="9"/>
  <c r="BH31" i="9"/>
  <c r="BG31" i="9"/>
  <c r="BF31" i="9"/>
  <c r="BE31" i="9"/>
  <c r="BD31" i="9"/>
  <c r="BC31" i="9"/>
  <c r="BB31" i="9"/>
  <c r="BA31" i="9"/>
  <c r="AZ31" i="9"/>
  <c r="AY31" i="9"/>
  <c r="AX31" i="9"/>
  <c r="AW31" i="9"/>
  <c r="AV31" i="9"/>
  <c r="AU31" i="9"/>
  <c r="AT31" i="9"/>
  <c r="AS31" i="9"/>
  <c r="AR31" i="9"/>
  <c r="AQ31" i="9"/>
  <c r="AP31" i="9"/>
  <c r="AO31" i="9"/>
  <c r="AN31" i="9"/>
  <c r="AM31" i="9"/>
  <c r="AL31" i="9"/>
  <c r="AK31" i="9"/>
  <c r="AJ31" i="9"/>
  <c r="AI31" i="9"/>
  <c r="AH31" i="9"/>
  <c r="AG31" i="9"/>
  <c r="AF31"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I30" i="9"/>
  <c r="CH30" i="9"/>
  <c r="CG30" i="9"/>
  <c r="CF30" i="9"/>
  <c r="CE30" i="9"/>
  <c r="CD30" i="9"/>
  <c r="CC30" i="9"/>
  <c r="CB30" i="9"/>
  <c r="CA30" i="9"/>
  <c r="BZ30" i="9"/>
  <c r="BY30" i="9"/>
  <c r="BX30" i="9"/>
  <c r="BW30" i="9"/>
  <c r="BV30" i="9"/>
  <c r="BU30" i="9"/>
  <c r="BT30" i="9"/>
  <c r="BS30" i="9"/>
  <c r="BR30" i="9"/>
  <c r="BQ30" i="9"/>
  <c r="BP30" i="9"/>
  <c r="BO30" i="9"/>
  <c r="BN30" i="9"/>
  <c r="BM30" i="9"/>
  <c r="BL30" i="9"/>
  <c r="BK30" i="9"/>
  <c r="BJ30" i="9"/>
  <c r="BI30" i="9"/>
  <c r="BH30" i="9"/>
  <c r="BG30" i="9"/>
  <c r="BF30" i="9"/>
  <c r="BE30" i="9"/>
  <c r="BD30" i="9"/>
  <c r="BC30" i="9"/>
  <c r="BB30" i="9"/>
  <c r="BA30" i="9"/>
  <c r="AZ30"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I30" i="9"/>
  <c r="H30" i="9"/>
  <c r="G30" i="9"/>
  <c r="F30" i="9"/>
  <c r="E30" i="9"/>
  <c r="D30" i="9"/>
  <c r="CI29" i="9"/>
  <c r="CH29" i="9"/>
  <c r="CG29" i="9"/>
  <c r="CF29" i="9"/>
  <c r="CE29" i="9"/>
  <c r="CD29" i="9"/>
  <c r="CC29" i="9"/>
  <c r="CB29" i="9"/>
  <c r="CA29" i="9"/>
  <c r="BZ29" i="9"/>
  <c r="BY29" i="9"/>
  <c r="BX29" i="9"/>
  <c r="BW29" i="9"/>
  <c r="BV29" i="9"/>
  <c r="BU29" i="9"/>
  <c r="BT29" i="9"/>
  <c r="BS29" i="9"/>
  <c r="BR29" i="9"/>
  <c r="BQ29" i="9"/>
  <c r="BP29" i="9"/>
  <c r="BO29" i="9"/>
  <c r="BN29" i="9"/>
  <c r="BM29" i="9"/>
  <c r="BL29" i="9"/>
  <c r="BK29" i="9"/>
  <c r="BJ29" i="9"/>
  <c r="BI29" i="9"/>
  <c r="BH29" i="9"/>
  <c r="BG29" i="9"/>
  <c r="BF29" i="9"/>
  <c r="BE29" i="9"/>
  <c r="BD29" i="9"/>
  <c r="BC29" i="9"/>
  <c r="BB29" i="9"/>
  <c r="BA29" i="9"/>
  <c r="AZ29" i="9"/>
  <c r="AY29" i="9"/>
  <c r="AX29" i="9"/>
  <c r="AW29" i="9"/>
  <c r="AV29" i="9"/>
  <c r="AU29" i="9"/>
  <c r="AT29" i="9"/>
  <c r="AS29" i="9"/>
  <c r="AR29" i="9"/>
  <c r="AQ29" i="9"/>
  <c r="AP29" i="9"/>
  <c r="AO29" i="9"/>
  <c r="AN29" i="9"/>
  <c r="AM29" i="9"/>
  <c r="AL29" i="9"/>
  <c r="AK29" i="9"/>
  <c r="AJ29" i="9"/>
  <c r="AI29" i="9"/>
  <c r="AH29" i="9"/>
  <c r="AG29" i="9"/>
  <c r="AF29" i="9"/>
  <c r="AE29" i="9"/>
  <c r="AD29" i="9"/>
  <c r="AC29" i="9"/>
  <c r="AB29" i="9"/>
  <c r="AA29" i="9"/>
  <c r="Z29" i="9"/>
  <c r="Y29" i="9"/>
  <c r="X29" i="9"/>
  <c r="W29" i="9"/>
  <c r="V29" i="9"/>
  <c r="U29" i="9"/>
  <c r="T29" i="9"/>
  <c r="S29" i="9"/>
  <c r="R29" i="9"/>
  <c r="Q29" i="9"/>
  <c r="P29" i="9"/>
  <c r="O29" i="9"/>
  <c r="N29" i="9"/>
  <c r="M29" i="9"/>
  <c r="L29" i="9"/>
  <c r="K29" i="9"/>
  <c r="J29" i="9"/>
  <c r="I29" i="9"/>
  <c r="H29" i="9"/>
  <c r="G29" i="9"/>
  <c r="F29" i="9"/>
  <c r="E29" i="9"/>
  <c r="D29" i="9"/>
  <c r="CI28" i="9"/>
  <c r="CH28" i="9"/>
  <c r="CG28" i="9"/>
  <c r="CF28" i="9"/>
  <c r="CE28" i="9"/>
  <c r="CD28" i="9"/>
  <c r="CC28" i="9"/>
  <c r="CB28" i="9"/>
  <c r="CA28" i="9"/>
  <c r="BZ28" i="9"/>
  <c r="BY28" i="9"/>
  <c r="BX28" i="9"/>
  <c r="BW28" i="9"/>
  <c r="BV28" i="9"/>
  <c r="BU28" i="9"/>
  <c r="BT28" i="9"/>
  <c r="BS28" i="9"/>
  <c r="BR28" i="9"/>
  <c r="BQ28" i="9"/>
  <c r="BP28" i="9"/>
  <c r="BO28" i="9"/>
  <c r="BN28" i="9"/>
  <c r="BM28" i="9"/>
  <c r="BL28" i="9"/>
  <c r="BK28" i="9"/>
  <c r="BJ28" i="9"/>
  <c r="BI28" i="9"/>
  <c r="BH28" i="9"/>
  <c r="BG28" i="9"/>
  <c r="BF28" i="9"/>
  <c r="BE28" i="9"/>
  <c r="BD28" i="9"/>
  <c r="BC28" i="9"/>
  <c r="BB28" i="9"/>
  <c r="BA28" i="9"/>
  <c r="AZ28" i="9"/>
  <c r="AY28" i="9"/>
  <c r="AX28" i="9"/>
  <c r="AW28" i="9"/>
  <c r="AV28" i="9"/>
  <c r="AU28" i="9"/>
  <c r="AT28" i="9"/>
  <c r="AS28" i="9"/>
  <c r="AR28" i="9"/>
  <c r="AQ28" i="9"/>
  <c r="AP28" i="9"/>
  <c r="AO28" i="9"/>
  <c r="AN28" i="9"/>
  <c r="AM28" i="9"/>
  <c r="AL28" i="9"/>
  <c r="AK28" i="9"/>
  <c r="AJ28" i="9"/>
  <c r="AI28" i="9"/>
  <c r="AH28" i="9"/>
  <c r="AG28" i="9"/>
  <c r="AF28" i="9"/>
  <c r="AE28" i="9"/>
  <c r="AD28" i="9"/>
  <c r="AC28" i="9"/>
  <c r="AB28" i="9"/>
  <c r="AA28" i="9"/>
  <c r="Z28" i="9"/>
  <c r="Y28" i="9"/>
  <c r="X28" i="9"/>
  <c r="W28" i="9"/>
  <c r="V28" i="9"/>
  <c r="U28" i="9"/>
  <c r="T28" i="9"/>
  <c r="S28" i="9"/>
  <c r="R28" i="9"/>
  <c r="Q28" i="9"/>
  <c r="P28" i="9"/>
  <c r="O28" i="9"/>
  <c r="N28" i="9"/>
  <c r="M28" i="9"/>
  <c r="L28" i="9"/>
  <c r="K28" i="9"/>
  <c r="J28" i="9"/>
  <c r="I28" i="9"/>
  <c r="H28" i="9"/>
  <c r="G28" i="9"/>
  <c r="F28" i="9"/>
  <c r="E28" i="9"/>
  <c r="D28" i="9"/>
  <c r="CI27" i="9"/>
  <c r="CH27" i="9"/>
  <c r="CG27" i="9"/>
  <c r="CF27" i="9"/>
  <c r="CE27" i="9"/>
  <c r="CD27" i="9"/>
  <c r="CC27" i="9"/>
  <c r="CB27" i="9"/>
  <c r="CA27" i="9"/>
  <c r="BZ27" i="9"/>
  <c r="BY27" i="9"/>
  <c r="BX27" i="9"/>
  <c r="BW27" i="9"/>
  <c r="BV27" i="9"/>
  <c r="BU27" i="9"/>
  <c r="BT27" i="9"/>
  <c r="BS27" i="9"/>
  <c r="BR27" i="9"/>
  <c r="BQ27" i="9"/>
  <c r="BP27" i="9"/>
  <c r="BO27" i="9"/>
  <c r="BN27" i="9"/>
  <c r="BM27" i="9"/>
  <c r="BL27" i="9"/>
  <c r="BK27" i="9"/>
  <c r="BJ27" i="9"/>
  <c r="BI27" i="9"/>
  <c r="BH27" i="9"/>
  <c r="BG27" i="9"/>
  <c r="BF27" i="9"/>
  <c r="BE27" i="9"/>
  <c r="BD27" i="9"/>
  <c r="BC27" i="9"/>
  <c r="BB27" i="9"/>
  <c r="BA27" i="9"/>
  <c r="AZ27" i="9"/>
  <c r="AY27" i="9"/>
  <c r="AX27" i="9"/>
  <c r="AW27" i="9"/>
  <c r="AV27" i="9"/>
  <c r="AU27" i="9"/>
  <c r="AT27" i="9"/>
  <c r="AS27" i="9"/>
  <c r="AR27" i="9"/>
  <c r="AQ27" i="9"/>
  <c r="AP27" i="9"/>
  <c r="AO27" i="9"/>
  <c r="AN27" i="9"/>
  <c r="AM27" i="9"/>
  <c r="AL27" i="9"/>
  <c r="AK27" i="9"/>
  <c r="AJ27" i="9"/>
  <c r="AI27" i="9"/>
  <c r="AH27" i="9"/>
  <c r="AG27" i="9"/>
  <c r="AF27" i="9"/>
  <c r="AE27" i="9"/>
  <c r="AD27" i="9"/>
  <c r="AC27" i="9"/>
  <c r="AB27" i="9"/>
  <c r="AA27" i="9"/>
  <c r="Z27" i="9"/>
  <c r="Y27" i="9"/>
  <c r="X27" i="9"/>
  <c r="W27" i="9"/>
  <c r="V27" i="9"/>
  <c r="U27" i="9"/>
  <c r="T27" i="9"/>
  <c r="S27" i="9"/>
  <c r="R27" i="9"/>
  <c r="Q27" i="9"/>
  <c r="P27" i="9"/>
  <c r="O27" i="9"/>
  <c r="N27" i="9"/>
  <c r="M27" i="9"/>
  <c r="L27" i="9"/>
  <c r="K27" i="9"/>
  <c r="J27" i="9"/>
  <c r="I27" i="9"/>
  <c r="H27" i="9"/>
  <c r="G27" i="9"/>
  <c r="F27" i="9"/>
  <c r="E27" i="9"/>
  <c r="D27" i="9"/>
  <c r="CI26" i="9"/>
  <c r="CH26" i="9"/>
  <c r="CG26" i="9"/>
  <c r="CF26" i="9"/>
  <c r="CE26" i="9"/>
  <c r="CD26" i="9"/>
  <c r="CC26" i="9"/>
  <c r="CB26" i="9"/>
  <c r="CA26" i="9"/>
  <c r="BZ26" i="9"/>
  <c r="BY26" i="9"/>
  <c r="BX26" i="9"/>
  <c r="BW26" i="9"/>
  <c r="BV26" i="9"/>
  <c r="BU26" i="9"/>
  <c r="BT26" i="9"/>
  <c r="BS26" i="9"/>
  <c r="BR26" i="9"/>
  <c r="BQ26" i="9"/>
  <c r="BP26" i="9"/>
  <c r="BO26" i="9"/>
  <c r="BN26" i="9"/>
  <c r="BM26" i="9"/>
  <c r="BL26" i="9"/>
  <c r="BK26" i="9"/>
  <c r="BJ26" i="9"/>
  <c r="BI26" i="9"/>
  <c r="BH26" i="9"/>
  <c r="BG26" i="9"/>
  <c r="BF26" i="9"/>
  <c r="BE26" i="9"/>
  <c r="BD26" i="9"/>
  <c r="BC26" i="9"/>
  <c r="BB26" i="9"/>
  <c r="BA26" i="9"/>
  <c r="AZ26" i="9"/>
  <c r="AY26" i="9"/>
  <c r="AX26" i="9"/>
  <c r="AW26" i="9"/>
  <c r="AV26" i="9"/>
  <c r="AU26" i="9"/>
  <c r="AT26" i="9"/>
  <c r="AS26" i="9"/>
  <c r="AR26" i="9"/>
  <c r="AQ26" i="9"/>
  <c r="AP26" i="9"/>
  <c r="AO26" i="9"/>
  <c r="AN26" i="9"/>
  <c r="AM26" i="9"/>
  <c r="AL26" i="9"/>
  <c r="AK26" i="9"/>
  <c r="AJ26" i="9"/>
  <c r="AI26" i="9"/>
  <c r="AH26" i="9"/>
  <c r="AG26" i="9"/>
  <c r="AF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I25" i="9"/>
  <c r="CH25" i="9"/>
  <c r="CG25" i="9"/>
  <c r="CF25" i="9"/>
  <c r="CE25" i="9"/>
  <c r="CD25" i="9"/>
  <c r="CC25" i="9"/>
  <c r="CB25" i="9"/>
  <c r="CA25" i="9"/>
  <c r="BZ25" i="9"/>
  <c r="BY25" i="9"/>
  <c r="BX25" i="9"/>
  <c r="BW25" i="9"/>
  <c r="BV25" i="9"/>
  <c r="BU25" i="9"/>
  <c r="BT25" i="9"/>
  <c r="BS25" i="9"/>
  <c r="BR25" i="9"/>
  <c r="BQ25" i="9"/>
  <c r="BP25" i="9"/>
  <c r="BO25" i="9"/>
  <c r="BN25" i="9"/>
  <c r="BM25" i="9"/>
  <c r="BL25" i="9"/>
  <c r="BK25" i="9"/>
  <c r="BJ25" i="9"/>
  <c r="BI25" i="9"/>
  <c r="BH25" i="9"/>
  <c r="BG25" i="9"/>
  <c r="BF25" i="9"/>
  <c r="BE25" i="9"/>
  <c r="BD25" i="9"/>
  <c r="BC25" i="9"/>
  <c r="BB25" i="9"/>
  <c r="BA25" i="9"/>
  <c r="AZ25" i="9"/>
  <c r="AY25" i="9"/>
  <c r="AX25" i="9"/>
  <c r="AW25" i="9"/>
  <c r="AV25" i="9"/>
  <c r="AU25" i="9"/>
  <c r="AT25" i="9"/>
  <c r="AS25" i="9"/>
  <c r="AR25" i="9"/>
  <c r="AQ25" i="9"/>
  <c r="AP25" i="9"/>
  <c r="AO25" i="9"/>
  <c r="AN25" i="9"/>
  <c r="AM25" i="9"/>
  <c r="AL25" i="9"/>
  <c r="AK25" i="9"/>
  <c r="AJ25" i="9"/>
  <c r="AI25" i="9"/>
  <c r="AH25" i="9"/>
  <c r="AG25" i="9"/>
  <c r="AF25" i="9"/>
  <c r="AE25" i="9"/>
  <c r="AD25" i="9"/>
  <c r="AC25" i="9"/>
  <c r="AB25" i="9"/>
  <c r="AA25" i="9"/>
  <c r="Z25" i="9"/>
  <c r="Y25" i="9"/>
  <c r="X25" i="9"/>
  <c r="W25" i="9"/>
  <c r="V25" i="9"/>
  <c r="U25" i="9"/>
  <c r="T25" i="9"/>
  <c r="S25" i="9"/>
  <c r="R25" i="9"/>
  <c r="Q25" i="9"/>
  <c r="P25" i="9"/>
  <c r="O25" i="9"/>
  <c r="N25" i="9"/>
  <c r="M25" i="9"/>
  <c r="L25" i="9"/>
  <c r="K25" i="9"/>
  <c r="J25" i="9"/>
  <c r="I25" i="9"/>
  <c r="H25" i="9"/>
  <c r="G25" i="9"/>
  <c r="F25" i="9"/>
  <c r="E25" i="9"/>
  <c r="D25" i="9"/>
  <c r="CI24" i="9"/>
  <c r="CH24" i="9"/>
  <c r="CG24" i="9"/>
  <c r="CF24" i="9"/>
  <c r="CE24" i="9"/>
  <c r="CD24" i="9"/>
  <c r="CC24" i="9"/>
  <c r="CB24" i="9"/>
  <c r="CA24" i="9"/>
  <c r="BZ24" i="9"/>
  <c r="BY24" i="9"/>
  <c r="BX24" i="9"/>
  <c r="BW24" i="9"/>
  <c r="BV24" i="9"/>
  <c r="BU24" i="9"/>
  <c r="BT24" i="9"/>
  <c r="BS24" i="9"/>
  <c r="BR24" i="9"/>
  <c r="BQ24" i="9"/>
  <c r="BP24" i="9"/>
  <c r="BO24" i="9"/>
  <c r="BN24" i="9"/>
  <c r="BM24" i="9"/>
  <c r="BL24" i="9"/>
  <c r="BK24" i="9"/>
  <c r="BJ24" i="9"/>
  <c r="BI24" i="9"/>
  <c r="BH24" i="9"/>
  <c r="BG24" i="9"/>
  <c r="BF24" i="9"/>
  <c r="BE24" i="9"/>
  <c r="BD24" i="9"/>
  <c r="BC24" i="9"/>
  <c r="BB24" i="9"/>
  <c r="BA24" i="9"/>
  <c r="AZ24" i="9"/>
  <c r="AY24" i="9"/>
  <c r="AX24" i="9"/>
  <c r="AW24" i="9"/>
  <c r="AV24" i="9"/>
  <c r="AU24" i="9"/>
  <c r="AT24" i="9"/>
  <c r="AS24" i="9"/>
  <c r="AR24" i="9"/>
  <c r="AQ24" i="9"/>
  <c r="AP24" i="9"/>
  <c r="AO24" i="9"/>
  <c r="AN24" i="9"/>
  <c r="AM24" i="9"/>
  <c r="AL24" i="9"/>
  <c r="AK24" i="9"/>
  <c r="AJ24" i="9"/>
  <c r="AI24" i="9"/>
  <c r="AH24" i="9"/>
  <c r="AG24" i="9"/>
  <c r="AF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9" i="15" s="1"/>
  <c r="CI23" i="9"/>
  <c r="CH23" i="9"/>
  <c r="CG23" i="9"/>
  <c r="CF23" i="9"/>
  <c r="CE23" i="9"/>
  <c r="CD23" i="9"/>
  <c r="CC23" i="9"/>
  <c r="CB23" i="9"/>
  <c r="CA23" i="9"/>
  <c r="BZ23" i="9"/>
  <c r="BY23" i="9"/>
  <c r="BX23" i="9"/>
  <c r="BW23" i="9"/>
  <c r="BV23" i="9"/>
  <c r="BU23" i="9"/>
  <c r="BT23" i="9"/>
  <c r="BS23" i="9"/>
  <c r="BR23" i="9"/>
  <c r="BQ23" i="9"/>
  <c r="BP23" i="9"/>
  <c r="BO23" i="9"/>
  <c r="BN23" i="9"/>
  <c r="BM23" i="9"/>
  <c r="BL23" i="9"/>
  <c r="BK23" i="9"/>
  <c r="BJ23" i="9"/>
  <c r="BI23" i="9"/>
  <c r="BH23" i="9"/>
  <c r="BG23" i="9"/>
  <c r="BF23" i="9"/>
  <c r="BE23" i="9"/>
  <c r="BD23" i="9"/>
  <c r="BC23" i="9"/>
  <c r="BB23" i="9"/>
  <c r="BA23" i="9"/>
  <c r="AZ23" i="9"/>
  <c r="AY23" i="9"/>
  <c r="AX23" i="9"/>
  <c r="AW23" i="9"/>
  <c r="AV23" i="9"/>
  <c r="AU23" i="9"/>
  <c r="AT23" i="9"/>
  <c r="AS23" i="9"/>
  <c r="AR23" i="9"/>
  <c r="AQ23" i="9"/>
  <c r="AP23" i="9"/>
  <c r="AO23" i="9"/>
  <c r="AN23" i="9"/>
  <c r="AM23" i="9"/>
  <c r="AL23" i="9"/>
  <c r="AK23" i="9"/>
  <c r="AJ23" i="9"/>
  <c r="AI23" i="9"/>
  <c r="AH23" i="9"/>
  <c r="AG23" i="9"/>
  <c r="AF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D23" i="9"/>
  <c r="CI22" i="9"/>
  <c r="CH22" i="9"/>
  <c r="CG22" i="9"/>
  <c r="CF22" i="9"/>
  <c r="CE22" i="9"/>
  <c r="CD22" i="9"/>
  <c r="CC22" i="9"/>
  <c r="CB22" i="9"/>
  <c r="CA22" i="9"/>
  <c r="BZ22"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N22" i="9"/>
  <c r="M22" i="9"/>
  <c r="L22" i="9"/>
  <c r="K22" i="9"/>
  <c r="J22" i="9"/>
  <c r="I22" i="9"/>
  <c r="H22" i="9"/>
  <c r="G22" i="9"/>
  <c r="F22" i="9"/>
  <c r="E22" i="9"/>
  <c r="D22" i="9"/>
  <c r="CI21" i="9"/>
  <c r="CH21" i="9"/>
  <c r="CG21" i="9"/>
  <c r="CF21" i="9"/>
  <c r="CE21" i="9"/>
  <c r="CD21" i="9"/>
  <c r="CC21" i="9"/>
  <c r="CB21" i="9"/>
  <c r="CA21" i="9"/>
  <c r="BZ21" i="9"/>
  <c r="BY21" i="9"/>
  <c r="BX21" i="9"/>
  <c r="BW21" i="9"/>
  <c r="BV21" i="9"/>
  <c r="BU21" i="9"/>
  <c r="BT21" i="9"/>
  <c r="BS21" i="9"/>
  <c r="BR21" i="9"/>
  <c r="BQ21" i="9"/>
  <c r="BP21" i="9"/>
  <c r="BO21" i="9"/>
  <c r="BN21" i="9"/>
  <c r="BM21" i="9"/>
  <c r="BL21" i="9"/>
  <c r="BK21" i="9"/>
  <c r="BJ21" i="9"/>
  <c r="BI21" i="9"/>
  <c r="BH21" i="9"/>
  <c r="BG21" i="9"/>
  <c r="BF21" i="9"/>
  <c r="BE21" i="9"/>
  <c r="BD21" i="9"/>
  <c r="BC21" i="9"/>
  <c r="BB21" i="9"/>
  <c r="BA21" i="9"/>
  <c r="AZ21" i="9"/>
  <c r="AY21" i="9"/>
  <c r="AX21" i="9"/>
  <c r="AW21" i="9"/>
  <c r="AV21" i="9"/>
  <c r="AU21" i="9"/>
  <c r="AT21" i="9"/>
  <c r="AS21" i="9"/>
  <c r="AR21" i="9"/>
  <c r="AQ21" i="9"/>
  <c r="AP21" i="9"/>
  <c r="AO21" i="9"/>
  <c r="AN21" i="9"/>
  <c r="AM21" i="9"/>
  <c r="AL21" i="9"/>
  <c r="AK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I21" i="9"/>
  <c r="H21" i="9"/>
  <c r="G21" i="9"/>
  <c r="F21" i="9"/>
  <c r="E21" i="9"/>
  <c r="D21" i="9"/>
  <c r="CI19" i="9"/>
  <c r="CH19" i="9"/>
  <c r="CG19" i="9"/>
  <c r="CF19" i="9"/>
  <c r="CE19" i="9"/>
  <c r="CD19" i="9"/>
  <c r="CC19" i="9"/>
  <c r="CB19" i="9"/>
  <c r="CA19" i="9"/>
  <c r="BZ19" i="9"/>
  <c r="BY19" i="9"/>
  <c r="BX19" i="9"/>
  <c r="BW19" i="9"/>
  <c r="BV19" i="9"/>
  <c r="BU19" i="9"/>
  <c r="BT19" i="9"/>
  <c r="BS19" i="9"/>
  <c r="BR19" i="9"/>
  <c r="BQ19" i="9"/>
  <c r="BP19" i="9"/>
  <c r="BO19" i="9"/>
  <c r="BN19" i="9"/>
  <c r="BM19" i="9"/>
  <c r="BL19" i="9"/>
  <c r="BK19" i="9"/>
  <c r="BJ19" i="9"/>
  <c r="BI19" i="9"/>
  <c r="BH19" i="9"/>
  <c r="BG19" i="9"/>
  <c r="BF19" i="9"/>
  <c r="BE19" i="9"/>
  <c r="BD19" i="9"/>
  <c r="BC19" i="9"/>
  <c r="BB19" i="9"/>
  <c r="BA19" i="9"/>
  <c r="AZ19" i="9"/>
  <c r="AY19" i="9"/>
  <c r="AX19" i="9"/>
  <c r="AW19" i="9"/>
  <c r="AV19" i="9"/>
  <c r="AU19" i="9"/>
  <c r="AT19" i="9"/>
  <c r="AS19" i="9"/>
  <c r="AR19" i="9"/>
  <c r="AQ19" i="9"/>
  <c r="AP19" i="9"/>
  <c r="AO19" i="9"/>
  <c r="AN19" i="9"/>
  <c r="AM19" i="9"/>
  <c r="AL19" i="9"/>
  <c r="AK19" i="9"/>
  <c r="AJ19" i="9"/>
  <c r="AI19" i="9"/>
  <c r="AH19" i="9"/>
  <c r="AG19" i="9"/>
  <c r="AF19" i="9"/>
  <c r="AE19" i="9"/>
  <c r="AD19" i="9"/>
  <c r="AC19" i="9"/>
  <c r="AB19" i="9"/>
  <c r="AA19" i="9"/>
  <c r="Z19" i="9"/>
  <c r="Y19" i="9"/>
  <c r="X19" i="9"/>
  <c r="W19" i="9"/>
  <c r="V19" i="9"/>
  <c r="U19" i="9"/>
  <c r="T19" i="9"/>
  <c r="S19" i="9"/>
  <c r="R19" i="9"/>
  <c r="Q19" i="9"/>
  <c r="P19" i="9"/>
  <c r="O19" i="9"/>
  <c r="N19" i="9"/>
  <c r="M19" i="9"/>
  <c r="L19" i="9"/>
  <c r="K19" i="9"/>
  <c r="J19" i="9"/>
  <c r="I19" i="9"/>
  <c r="H19" i="9"/>
  <c r="G19" i="9"/>
  <c r="F19" i="9"/>
  <c r="E19" i="9"/>
  <c r="D19" i="9"/>
  <c r="CI18" i="9"/>
  <c r="CH18" i="9"/>
  <c r="CG18" i="9"/>
  <c r="CF18" i="9"/>
  <c r="CE18" i="9"/>
  <c r="CD18" i="9"/>
  <c r="CC18" i="9"/>
  <c r="CB18" i="9"/>
  <c r="CA18" i="9"/>
  <c r="BZ18" i="9"/>
  <c r="BY18" i="9"/>
  <c r="BX18" i="9"/>
  <c r="BW18" i="9"/>
  <c r="BV18" i="9"/>
  <c r="BU18" i="9"/>
  <c r="BT18" i="9"/>
  <c r="BS18" i="9"/>
  <c r="BR18" i="9"/>
  <c r="BQ18" i="9"/>
  <c r="BP18" i="9"/>
  <c r="BO18" i="9"/>
  <c r="BN18" i="9"/>
  <c r="BM18" i="9"/>
  <c r="BL18" i="9"/>
  <c r="BK18" i="9"/>
  <c r="BJ18" i="9"/>
  <c r="BI18" i="9"/>
  <c r="BH18" i="9"/>
  <c r="BG18" i="9"/>
  <c r="BF18" i="9"/>
  <c r="BE18" i="9"/>
  <c r="BD18" i="9"/>
  <c r="BC18" i="9"/>
  <c r="BB18" i="9"/>
  <c r="BA18" i="9"/>
  <c r="AZ18" i="9"/>
  <c r="AY18" i="9"/>
  <c r="AX18" i="9"/>
  <c r="AW18" i="9"/>
  <c r="AV18" i="9"/>
  <c r="AU18" i="9"/>
  <c r="AT18" i="9"/>
  <c r="AS18" i="9"/>
  <c r="AR18" i="9"/>
  <c r="AQ18" i="9"/>
  <c r="AP18" i="9"/>
  <c r="AO18" i="9"/>
  <c r="AN18" i="9"/>
  <c r="AM18" i="9"/>
  <c r="AL18" i="9"/>
  <c r="AK18" i="9"/>
  <c r="AJ18" i="9"/>
  <c r="AI18" i="9"/>
  <c r="AH18" i="9"/>
  <c r="AG18" i="9"/>
  <c r="AF18" i="9"/>
  <c r="AE18" i="9"/>
  <c r="AD18" i="9"/>
  <c r="AC18" i="9"/>
  <c r="AB18" i="9"/>
  <c r="AA18" i="9"/>
  <c r="Z18" i="9"/>
  <c r="Y18" i="9"/>
  <c r="X18" i="9"/>
  <c r="W18" i="9"/>
  <c r="V18" i="9"/>
  <c r="U18" i="9"/>
  <c r="T18" i="9"/>
  <c r="S18" i="9"/>
  <c r="R18" i="9"/>
  <c r="Q18" i="9"/>
  <c r="P18" i="9"/>
  <c r="O18" i="9"/>
  <c r="N18" i="9"/>
  <c r="M18" i="9"/>
  <c r="L18" i="9"/>
  <c r="K18" i="9"/>
  <c r="J18" i="9"/>
  <c r="I18" i="9"/>
  <c r="H18" i="9"/>
  <c r="G18" i="9"/>
  <c r="F18" i="9"/>
  <c r="E18" i="9"/>
  <c r="D18" i="9"/>
  <c r="CI17" i="9"/>
  <c r="CH17" i="9"/>
  <c r="CG17" i="9"/>
  <c r="CF17" i="9"/>
  <c r="CE17" i="9"/>
  <c r="CD17" i="9"/>
  <c r="CC17" i="9"/>
  <c r="CB17" i="9"/>
  <c r="CA17" i="9"/>
  <c r="BZ17" i="9"/>
  <c r="BY17" i="9"/>
  <c r="BX17" i="9"/>
  <c r="BW17" i="9"/>
  <c r="BV17" i="9"/>
  <c r="BU17" i="9"/>
  <c r="BT17" i="9"/>
  <c r="BS17" i="9"/>
  <c r="BR17" i="9"/>
  <c r="BQ17" i="9"/>
  <c r="BP17" i="9"/>
  <c r="BO17" i="9"/>
  <c r="BN17" i="9"/>
  <c r="BM17" i="9"/>
  <c r="BL17" i="9"/>
  <c r="BK17" i="9"/>
  <c r="BJ17" i="9"/>
  <c r="BI17" i="9"/>
  <c r="BH17" i="9"/>
  <c r="BG17" i="9"/>
  <c r="BF17" i="9"/>
  <c r="BE17" i="9"/>
  <c r="BD17" i="9"/>
  <c r="BC17" i="9"/>
  <c r="BB17" i="9"/>
  <c r="BA17" i="9"/>
  <c r="AZ17" i="9"/>
  <c r="AY17" i="9"/>
  <c r="AX17" i="9"/>
  <c r="AW17" i="9"/>
  <c r="AV17" i="9"/>
  <c r="AU17" i="9"/>
  <c r="AT17" i="9"/>
  <c r="AS17" i="9"/>
  <c r="AR17" i="9"/>
  <c r="AQ17" i="9"/>
  <c r="AP17" i="9"/>
  <c r="AO17" i="9"/>
  <c r="AN17" i="9"/>
  <c r="AM17" i="9"/>
  <c r="AL17" i="9"/>
  <c r="AK17" i="9"/>
  <c r="AJ17" i="9"/>
  <c r="AI17" i="9"/>
  <c r="AH17" i="9"/>
  <c r="AG17" i="9"/>
  <c r="AF17"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I16" i="9"/>
  <c r="CH16" i="9"/>
  <c r="CG16" i="9"/>
  <c r="CF16" i="9"/>
  <c r="CE16" i="9"/>
  <c r="CD16" i="9"/>
  <c r="CC16" i="9"/>
  <c r="CB16" i="9"/>
  <c r="CA16" i="9"/>
  <c r="BZ16" i="9"/>
  <c r="BY16" i="9"/>
  <c r="BX16" i="9"/>
  <c r="BW16" i="9"/>
  <c r="BV16" i="9"/>
  <c r="BU16" i="9"/>
  <c r="BT16" i="9"/>
  <c r="BS16" i="9"/>
  <c r="BR16" i="9"/>
  <c r="BQ16" i="9"/>
  <c r="BP16" i="9"/>
  <c r="BO16" i="9"/>
  <c r="BN16" i="9"/>
  <c r="BM16" i="9"/>
  <c r="BL16" i="9"/>
  <c r="BK16" i="9"/>
  <c r="BJ16" i="9"/>
  <c r="BI16" i="9"/>
  <c r="BH16" i="9"/>
  <c r="BG16" i="9"/>
  <c r="BF16" i="9"/>
  <c r="BE16" i="9"/>
  <c r="BD16" i="9"/>
  <c r="BC16" i="9"/>
  <c r="BB16" i="9"/>
  <c r="BA16" i="9"/>
  <c r="AZ16" i="9"/>
  <c r="AY16" i="9"/>
  <c r="AX16" i="9"/>
  <c r="AW16" i="9"/>
  <c r="AV16" i="9"/>
  <c r="AU16" i="9"/>
  <c r="AT16" i="9"/>
  <c r="AS16" i="9"/>
  <c r="AR16" i="9"/>
  <c r="AQ16" i="9"/>
  <c r="AP16" i="9"/>
  <c r="AO16" i="9"/>
  <c r="AN16" i="9"/>
  <c r="AM16" i="9"/>
  <c r="AL16" i="9"/>
  <c r="AK16" i="9"/>
  <c r="AJ16" i="9"/>
  <c r="AI16" i="9"/>
  <c r="AH16" i="9"/>
  <c r="AG16" i="9"/>
  <c r="AF16" i="9"/>
  <c r="AE16" i="9"/>
  <c r="AD16" i="9"/>
  <c r="AC16" i="9"/>
  <c r="AB16" i="9"/>
  <c r="AA16" i="9"/>
  <c r="Z16" i="9"/>
  <c r="Y16" i="9"/>
  <c r="X16" i="9"/>
  <c r="W16" i="9"/>
  <c r="V16" i="9"/>
  <c r="U16" i="9"/>
  <c r="T16" i="9"/>
  <c r="S16" i="9"/>
  <c r="R16" i="9"/>
  <c r="Q16" i="9"/>
  <c r="P16" i="9"/>
  <c r="O16" i="9"/>
  <c r="N16" i="9"/>
  <c r="M16" i="9"/>
  <c r="L16" i="9"/>
  <c r="K16" i="9"/>
  <c r="J16" i="9"/>
  <c r="I16" i="9"/>
  <c r="H16" i="9"/>
  <c r="G16" i="9"/>
  <c r="F16" i="9"/>
  <c r="E16" i="9"/>
  <c r="D16" i="9"/>
  <c r="CI15" i="9"/>
  <c r="CH15" i="9"/>
  <c r="CG15" i="9"/>
  <c r="CF15" i="9"/>
  <c r="CE15" i="9"/>
  <c r="CD15" i="9"/>
  <c r="CC15" i="9"/>
  <c r="CB15" i="9"/>
  <c r="CA15" i="9"/>
  <c r="BZ15" i="9"/>
  <c r="BY15" i="9"/>
  <c r="BX15" i="9"/>
  <c r="BW15" i="9"/>
  <c r="BV15" i="9"/>
  <c r="BU15" i="9"/>
  <c r="BT15" i="9"/>
  <c r="BS15" i="9"/>
  <c r="BR15" i="9"/>
  <c r="BQ15" i="9"/>
  <c r="BP15" i="9"/>
  <c r="BO15" i="9"/>
  <c r="BN15" i="9"/>
  <c r="BM15" i="9"/>
  <c r="BL15" i="9"/>
  <c r="BK15" i="9"/>
  <c r="BJ15" i="9"/>
  <c r="BI15" i="9"/>
  <c r="BH15" i="9"/>
  <c r="BG15" i="9"/>
  <c r="BF15" i="9"/>
  <c r="BE15" i="9"/>
  <c r="BD15" i="9"/>
  <c r="BC15" i="9"/>
  <c r="BB15" i="9"/>
  <c r="BA15" i="9"/>
  <c r="AZ15" i="9"/>
  <c r="AY15" i="9"/>
  <c r="AX15" i="9"/>
  <c r="AW15" i="9"/>
  <c r="AV15" i="9"/>
  <c r="AU15" i="9"/>
  <c r="AT15" i="9"/>
  <c r="AS15" i="9"/>
  <c r="AR15" i="9"/>
  <c r="AQ15" i="9"/>
  <c r="AP15" i="9"/>
  <c r="AO15" i="9"/>
  <c r="AN15" i="9"/>
  <c r="AM15" i="9"/>
  <c r="AL15" i="9"/>
  <c r="AK15" i="9"/>
  <c r="AJ15" i="9"/>
  <c r="AI15" i="9"/>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I14" i="9"/>
  <c r="CH14" i="9"/>
  <c r="CG14" i="9"/>
  <c r="CF14" i="9"/>
  <c r="CE14" i="9"/>
  <c r="CD14" i="9"/>
  <c r="CC14" i="9"/>
  <c r="CB14" i="9"/>
  <c r="CA14" i="9"/>
  <c r="BZ14" i="9"/>
  <c r="BY14" i="9"/>
  <c r="BX14" i="9"/>
  <c r="BW14" i="9"/>
  <c r="BV14" i="9"/>
  <c r="BU14" i="9"/>
  <c r="BT14" i="9"/>
  <c r="BS14" i="9"/>
  <c r="BR14" i="9"/>
  <c r="BQ14" i="9"/>
  <c r="BP14" i="9"/>
  <c r="BO14" i="9"/>
  <c r="BN14" i="9"/>
  <c r="BM14" i="9"/>
  <c r="BL14" i="9"/>
  <c r="BK14" i="9"/>
  <c r="BJ14" i="9"/>
  <c r="BI14" i="9"/>
  <c r="BH14" i="9"/>
  <c r="BG14" i="9"/>
  <c r="BF14" i="9"/>
  <c r="BE14" i="9"/>
  <c r="BD14" i="9"/>
  <c r="BC14" i="9"/>
  <c r="BB14" i="9"/>
  <c r="BA14" i="9"/>
  <c r="AZ14" i="9"/>
  <c r="AY14" i="9"/>
  <c r="AX14" i="9"/>
  <c r="AW14" i="9"/>
  <c r="AV14" i="9"/>
  <c r="AU14" i="9"/>
  <c r="AT14" i="9"/>
  <c r="AS14" i="9"/>
  <c r="AR14" i="9"/>
  <c r="AQ14" i="9"/>
  <c r="AP14" i="9"/>
  <c r="AO14" i="9"/>
  <c r="AN14" i="9"/>
  <c r="AM14"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I13" i="9"/>
  <c r="CH13" i="9"/>
  <c r="CG13" i="9"/>
  <c r="CF13" i="9"/>
  <c r="CE13" i="9"/>
  <c r="CD13" i="9"/>
  <c r="CC13" i="9"/>
  <c r="CB13" i="9"/>
  <c r="CA13" i="9"/>
  <c r="BZ13" i="9"/>
  <c r="BY13" i="9"/>
  <c r="BX13" i="9"/>
  <c r="BW13" i="9"/>
  <c r="BV13" i="9"/>
  <c r="BU13" i="9"/>
  <c r="BT13" i="9"/>
  <c r="BS13" i="9"/>
  <c r="BR13" i="9"/>
  <c r="BQ13" i="9"/>
  <c r="BP13" i="9"/>
  <c r="BO13" i="9"/>
  <c r="BN13" i="9"/>
  <c r="BM13" i="9"/>
  <c r="BL13" i="9"/>
  <c r="BK13" i="9"/>
  <c r="BJ13" i="9"/>
  <c r="BI13" i="9"/>
  <c r="BH13" i="9"/>
  <c r="BG13" i="9"/>
  <c r="BF13" i="9"/>
  <c r="BE13" i="9"/>
  <c r="BD13" i="9"/>
  <c r="BC13" i="9"/>
  <c r="BB13" i="9"/>
  <c r="BA13" i="9"/>
  <c r="AZ13" i="9"/>
  <c r="AY13" i="9"/>
  <c r="AX13" i="9"/>
  <c r="AW13" i="9"/>
  <c r="AV13" i="9"/>
  <c r="AU13" i="9"/>
  <c r="AT13" i="9"/>
  <c r="AS13" i="9"/>
  <c r="AR13" i="9"/>
  <c r="AQ13" i="9"/>
  <c r="AP13" i="9"/>
  <c r="AO13" i="9"/>
  <c r="AN13" i="9"/>
  <c r="AM13" i="9"/>
  <c r="AL13" i="9"/>
  <c r="AK13" i="9"/>
  <c r="AJ13" i="9"/>
  <c r="AI13" i="9"/>
  <c r="AH13" i="9"/>
  <c r="AG13" i="9"/>
  <c r="AF13" i="9"/>
  <c r="AE13" i="9"/>
  <c r="AD13" i="9"/>
  <c r="AC13" i="9"/>
  <c r="AB13" i="9"/>
  <c r="AA13" i="9"/>
  <c r="Z13" i="9"/>
  <c r="Y13" i="9"/>
  <c r="X13" i="9"/>
  <c r="W13" i="9"/>
  <c r="V13" i="9"/>
  <c r="U13" i="9"/>
  <c r="T13" i="9"/>
  <c r="S13" i="9"/>
  <c r="R13" i="9"/>
  <c r="Q13" i="9"/>
  <c r="P13" i="9"/>
  <c r="O13" i="9"/>
  <c r="N13" i="9"/>
  <c r="M13" i="9"/>
  <c r="L13" i="9"/>
  <c r="K13" i="9"/>
  <c r="J13" i="9"/>
  <c r="I13" i="9"/>
  <c r="H13" i="9"/>
  <c r="G13" i="9"/>
  <c r="F13" i="9"/>
  <c r="E13" i="9"/>
  <c r="D13" i="9"/>
  <c r="CI12" i="9"/>
  <c r="CH12" i="9"/>
  <c r="CG12" i="9"/>
  <c r="CF12" i="9"/>
  <c r="CE12" i="9"/>
  <c r="CD12" i="9"/>
  <c r="CC12" i="9"/>
  <c r="CB12" i="9"/>
  <c r="CA12" i="9"/>
  <c r="BZ12" i="9"/>
  <c r="BY12" i="9"/>
  <c r="BX12" i="9"/>
  <c r="BW12" i="9"/>
  <c r="BV12" i="9"/>
  <c r="BU12" i="9"/>
  <c r="BT12" i="9"/>
  <c r="BS12" i="9"/>
  <c r="BR12" i="9"/>
  <c r="BQ12" i="9"/>
  <c r="BP12" i="9"/>
  <c r="BO12" i="9"/>
  <c r="BN12" i="9"/>
  <c r="BM12" i="9"/>
  <c r="BL12" i="9"/>
  <c r="BK12" i="9"/>
  <c r="BJ12" i="9"/>
  <c r="BI12" i="9"/>
  <c r="BH12" i="9"/>
  <c r="BG12" i="9"/>
  <c r="BF12" i="9"/>
  <c r="BE12" i="9"/>
  <c r="BD12" i="9"/>
  <c r="BC12" i="9"/>
  <c r="BB12" i="9"/>
  <c r="BA12" i="9"/>
  <c r="AZ12" i="9"/>
  <c r="AY12" i="9"/>
  <c r="AX12" i="9"/>
  <c r="AW12" i="9"/>
  <c r="AV12" i="9"/>
  <c r="AU12" i="9"/>
  <c r="AT12" i="9"/>
  <c r="AS12" i="9"/>
  <c r="AR12" i="9"/>
  <c r="AQ12" i="9"/>
  <c r="AP12" i="9"/>
  <c r="AO12" i="9"/>
  <c r="AN12" i="9"/>
  <c r="AM12" i="9"/>
  <c r="AL12" i="9"/>
  <c r="AK12" i="9"/>
  <c r="AJ12" i="9"/>
  <c r="AI12" i="9"/>
  <c r="AH12" i="9"/>
  <c r="AG12" i="9"/>
  <c r="AF12" i="9"/>
  <c r="AE12" i="9"/>
  <c r="AD12" i="9"/>
  <c r="AC12" i="9"/>
  <c r="AB12" i="9"/>
  <c r="AA12" i="9"/>
  <c r="Z12" i="9"/>
  <c r="Y12" i="9"/>
  <c r="X12" i="9"/>
  <c r="W12" i="9"/>
  <c r="V12" i="9"/>
  <c r="U12" i="9"/>
  <c r="T12" i="9"/>
  <c r="S12" i="9"/>
  <c r="R12" i="9"/>
  <c r="Q12" i="9"/>
  <c r="P12" i="9"/>
  <c r="O12" i="9"/>
  <c r="N12" i="9"/>
  <c r="M12" i="9"/>
  <c r="L12" i="9"/>
  <c r="K12" i="9"/>
  <c r="J12" i="9"/>
  <c r="I12" i="9"/>
  <c r="H12" i="9"/>
  <c r="G12" i="9"/>
  <c r="F12" i="9"/>
  <c r="E12" i="9"/>
  <c r="D12" i="9"/>
  <c r="CI11" i="9"/>
  <c r="CH11" i="9"/>
  <c r="CG11" i="9"/>
  <c r="CF11" i="9"/>
  <c r="CE11" i="9"/>
  <c r="CD11" i="9"/>
  <c r="CC11" i="9"/>
  <c r="CB11" i="9"/>
  <c r="CA11" i="9"/>
  <c r="BZ11" i="9"/>
  <c r="BY11" i="9"/>
  <c r="BX11" i="9"/>
  <c r="BW11" i="9"/>
  <c r="BV11" i="9"/>
  <c r="BU11" i="9"/>
  <c r="BT11" i="9"/>
  <c r="BS11" i="9"/>
  <c r="BR11" i="9"/>
  <c r="BQ11" i="9"/>
  <c r="BP11" i="9"/>
  <c r="BO11" i="9"/>
  <c r="BN11" i="9"/>
  <c r="BM11" i="9"/>
  <c r="BL11" i="9"/>
  <c r="BK11" i="9"/>
  <c r="BJ11" i="9"/>
  <c r="BI11" i="9"/>
  <c r="BH11" i="9"/>
  <c r="BG11" i="9"/>
  <c r="BF11" i="9"/>
  <c r="BE11" i="9"/>
  <c r="BD11" i="9"/>
  <c r="BC11" i="9"/>
  <c r="BB11" i="9"/>
  <c r="BA11" i="9"/>
  <c r="AZ11" i="9"/>
  <c r="AY11" i="9"/>
  <c r="AX11" i="9"/>
  <c r="AW11" i="9"/>
  <c r="AV11" i="9"/>
  <c r="AU11" i="9"/>
  <c r="AT11" i="9"/>
  <c r="AS11" i="9"/>
  <c r="AR11" i="9"/>
  <c r="AQ11" i="9"/>
  <c r="AP11" i="9"/>
  <c r="AO11" i="9"/>
  <c r="AN11" i="9"/>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E11" i="9"/>
  <c r="D11" i="9"/>
  <c r="B5" i="9"/>
  <c r="A119" i="8"/>
  <c r="A118" i="8"/>
  <c r="A117" i="8"/>
  <c r="A116" i="8"/>
  <c r="A115" i="8"/>
  <c r="A114" i="8"/>
  <c r="A113" i="8"/>
  <c r="A112" i="8"/>
  <c r="U91" i="8"/>
  <c r="T91" i="8"/>
  <c r="S91" i="8"/>
  <c r="R91" i="8"/>
  <c r="Q91" i="8"/>
  <c r="P91" i="8"/>
  <c r="O91" i="8"/>
  <c r="N91" i="8"/>
  <c r="M91" i="8"/>
  <c r="L91" i="8"/>
  <c r="K91" i="8"/>
  <c r="J91" i="8"/>
  <c r="I91" i="8"/>
  <c r="H91" i="8"/>
  <c r="G91" i="8"/>
  <c r="F91" i="8"/>
  <c r="E91" i="8"/>
  <c r="D91" i="8"/>
  <c r="CI90" i="8"/>
  <c r="CH90" i="8"/>
  <c r="CG90" i="8"/>
  <c r="CF90" i="8"/>
  <c r="CE90" i="8"/>
  <c r="CD90" i="8"/>
  <c r="CC90" i="8"/>
  <c r="CB90" i="8"/>
  <c r="CA90" i="8"/>
  <c r="BZ90" i="8"/>
  <c r="BY90" i="8"/>
  <c r="BX90" i="8"/>
  <c r="BW90" i="8"/>
  <c r="BV90" i="8"/>
  <c r="BU90" i="8"/>
  <c r="BT90" i="8"/>
  <c r="BS90" i="8"/>
  <c r="BR90" i="8"/>
  <c r="BQ90" i="8"/>
  <c r="BP90" i="8"/>
  <c r="BO90" i="8"/>
  <c r="BN90" i="8"/>
  <c r="BM90" i="8"/>
  <c r="BL90" i="8"/>
  <c r="BK90" i="8"/>
  <c r="BJ90" i="8"/>
  <c r="BI90" i="8"/>
  <c r="BH90" i="8"/>
  <c r="BG90" i="8"/>
  <c r="BF90" i="8"/>
  <c r="BE90" i="8"/>
  <c r="BD90" i="8"/>
  <c r="BC90" i="8"/>
  <c r="BB90" i="8"/>
  <c r="BA90" i="8"/>
  <c r="AZ90" i="8"/>
  <c r="AY90" i="8"/>
  <c r="AX90" i="8"/>
  <c r="AW90" i="8"/>
  <c r="AV90" i="8"/>
  <c r="AU90" i="8"/>
  <c r="AT90" i="8"/>
  <c r="AS90" i="8"/>
  <c r="AR90" i="8"/>
  <c r="AQ90" i="8"/>
  <c r="AP90" i="8"/>
  <c r="AO90" i="8"/>
  <c r="AN90" i="8"/>
  <c r="AM90" i="8"/>
  <c r="AL90" i="8"/>
  <c r="AK90"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CI88" i="8"/>
  <c r="CH88" i="8"/>
  <c r="CG88" i="8"/>
  <c r="CF88" i="8"/>
  <c r="CE88" i="8"/>
  <c r="CD88" i="8"/>
  <c r="CC88" i="8"/>
  <c r="CB88" i="8"/>
  <c r="CA88" i="8"/>
  <c r="BZ88" i="8"/>
  <c r="BY88" i="8"/>
  <c r="BX88" i="8"/>
  <c r="BW88" i="8"/>
  <c r="BV88" i="8"/>
  <c r="BU88" i="8"/>
  <c r="BT88" i="8"/>
  <c r="BS88" i="8"/>
  <c r="BR88" i="8"/>
  <c r="BQ88" i="8"/>
  <c r="BP88" i="8"/>
  <c r="BO88" i="8"/>
  <c r="BN88" i="8"/>
  <c r="BM88" i="8"/>
  <c r="BL88" i="8"/>
  <c r="BK88" i="8"/>
  <c r="BJ88" i="8"/>
  <c r="BI88" i="8"/>
  <c r="BH88" i="8"/>
  <c r="BG88" i="8"/>
  <c r="BF88" i="8"/>
  <c r="BE88" i="8"/>
  <c r="BD88" i="8"/>
  <c r="BC88" i="8"/>
  <c r="BB88" i="8"/>
  <c r="BA88" i="8"/>
  <c r="AZ88" i="8"/>
  <c r="AY88" i="8"/>
  <c r="AX88" i="8"/>
  <c r="AW88" i="8"/>
  <c r="AV88" i="8"/>
  <c r="AU88" i="8"/>
  <c r="AT88" i="8"/>
  <c r="AS88" i="8"/>
  <c r="AR88" i="8"/>
  <c r="AQ88" i="8"/>
  <c r="AP88" i="8"/>
  <c r="AO88" i="8"/>
  <c r="AN88" i="8"/>
  <c r="AM88" i="8"/>
  <c r="AL88" i="8"/>
  <c r="AK88"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CI87" i="8"/>
  <c r="CH87" i="8"/>
  <c r="CG87" i="8"/>
  <c r="CF87" i="8"/>
  <c r="CE87" i="8"/>
  <c r="CD87" i="8"/>
  <c r="CC87" i="8"/>
  <c r="CB87" i="8"/>
  <c r="CA87" i="8"/>
  <c r="BZ87" i="8"/>
  <c r="BY87" i="8"/>
  <c r="BX87" i="8"/>
  <c r="BW87" i="8"/>
  <c r="BV87" i="8"/>
  <c r="BU87" i="8"/>
  <c r="BT87" i="8"/>
  <c r="BS87" i="8"/>
  <c r="BR87" i="8"/>
  <c r="BQ87" i="8"/>
  <c r="BP87" i="8"/>
  <c r="BO87" i="8"/>
  <c r="BN87" i="8"/>
  <c r="BM87" i="8"/>
  <c r="BL87" i="8"/>
  <c r="BK87" i="8"/>
  <c r="BJ87" i="8"/>
  <c r="BI87" i="8"/>
  <c r="BH87" i="8"/>
  <c r="BG87" i="8"/>
  <c r="BF87" i="8"/>
  <c r="BE87" i="8"/>
  <c r="BD87" i="8"/>
  <c r="BC87" i="8"/>
  <c r="BB87" i="8"/>
  <c r="BA87" i="8"/>
  <c r="AZ87" i="8"/>
  <c r="AY87" i="8"/>
  <c r="AX87" i="8"/>
  <c r="AW87" i="8"/>
  <c r="AV87" i="8"/>
  <c r="AU87" i="8"/>
  <c r="AT87" i="8"/>
  <c r="AS87" i="8"/>
  <c r="AR87" i="8"/>
  <c r="AQ87" i="8"/>
  <c r="AP87" i="8"/>
  <c r="AO87" i="8"/>
  <c r="AN87" i="8"/>
  <c r="AM87" i="8"/>
  <c r="AL87" i="8"/>
  <c r="AK87"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E89" i="8" s="1"/>
  <c r="D87" i="8"/>
  <c r="D89" i="8" s="1"/>
  <c r="C87" i="8"/>
  <c r="O80" i="8"/>
  <c r="N80" i="8"/>
  <c r="M80" i="8"/>
  <c r="L80" i="8"/>
  <c r="K80" i="8"/>
  <c r="J80" i="8"/>
  <c r="I80" i="8"/>
  <c r="H80" i="8"/>
  <c r="G80" i="8"/>
  <c r="F80" i="8"/>
  <c r="E80" i="8"/>
  <c r="D80" i="8"/>
  <c r="CI79" i="8"/>
  <c r="CH79" i="8"/>
  <c r="CG79" i="8"/>
  <c r="CF79" i="8"/>
  <c r="CE79" i="8"/>
  <c r="CD79" i="8"/>
  <c r="CC79" i="8"/>
  <c r="CB79" i="8"/>
  <c r="CA79" i="8"/>
  <c r="BZ79" i="8"/>
  <c r="BY79" i="8"/>
  <c r="BX79" i="8"/>
  <c r="BW79" i="8"/>
  <c r="BV79" i="8"/>
  <c r="BU79" i="8"/>
  <c r="BT79" i="8"/>
  <c r="BS79" i="8"/>
  <c r="BR79" i="8"/>
  <c r="BQ79" i="8"/>
  <c r="BP79" i="8"/>
  <c r="BO79" i="8"/>
  <c r="BN79" i="8"/>
  <c r="BM79" i="8"/>
  <c r="BL79" i="8"/>
  <c r="BK79" i="8"/>
  <c r="BJ79" i="8"/>
  <c r="BI79" i="8"/>
  <c r="BH79" i="8"/>
  <c r="BG79" i="8"/>
  <c r="BF79" i="8"/>
  <c r="BE79" i="8"/>
  <c r="BD79" i="8"/>
  <c r="BC79" i="8"/>
  <c r="BB79" i="8"/>
  <c r="BA79" i="8"/>
  <c r="AZ79" i="8"/>
  <c r="AY79" i="8"/>
  <c r="AX79" i="8"/>
  <c r="AW79" i="8"/>
  <c r="AV79" i="8"/>
  <c r="AU79" i="8"/>
  <c r="AT79" i="8"/>
  <c r="AS79" i="8"/>
  <c r="AR79" i="8"/>
  <c r="AQ79" i="8"/>
  <c r="AP79" i="8"/>
  <c r="AO79" i="8"/>
  <c r="AN79" i="8"/>
  <c r="AM79" i="8"/>
  <c r="AL79" i="8"/>
  <c r="AK79"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CI77" i="8"/>
  <c r="CH77" i="8"/>
  <c r="CG77" i="8"/>
  <c r="CF77" i="8"/>
  <c r="CE77" i="8"/>
  <c r="CD77" i="8"/>
  <c r="CC77" i="8"/>
  <c r="CB77" i="8"/>
  <c r="CA77" i="8"/>
  <c r="BZ77" i="8"/>
  <c r="BY77" i="8"/>
  <c r="BX77" i="8"/>
  <c r="BW77" i="8"/>
  <c r="BV77" i="8"/>
  <c r="BU77" i="8"/>
  <c r="BT77" i="8"/>
  <c r="BS77" i="8"/>
  <c r="BR77" i="8"/>
  <c r="BQ77" i="8"/>
  <c r="BP77" i="8"/>
  <c r="BO77" i="8"/>
  <c r="BN77" i="8"/>
  <c r="BM77" i="8"/>
  <c r="BL77" i="8"/>
  <c r="BK77" i="8"/>
  <c r="BJ77" i="8"/>
  <c r="BI77" i="8"/>
  <c r="BH77" i="8"/>
  <c r="BG77" i="8"/>
  <c r="BF77" i="8"/>
  <c r="BE77" i="8"/>
  <c r="BD77" i="8"/>
  <c r="BC77" i="8"/>
  <c r="BB77" i="8"/>
  <c r="BA77" i="8"/>
  <c r="AZ77" i="8"/>
  <c r="AY77" i="8"/>
  <c r="AX77" i="8"/>
  <c r="AW77" i="8"/>
  <c r="AV77" i="8"/>
  <c r="AU77" i="8"/>
  <c r="AT77" i="8"/>
  <c r="AS77" i="8"/>
  <c r="AR77" i="8"/>
  <c r="AQ77" i="8"/>
  <c r="AP77" i="8"/>
  <c r="AO77" i="8"/>
  <c r="AN77" i="8"/>
  <c r="AM77" i="8"/>
  <c r="AL77" i="8"/>
  <c r="AK77"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CI76" i="8"/>
  <c r="CI78" i="8" s="1"/>
  <c r="CH76" i="8"/>
  <c r="CH78" i="8" s="1"/>
  <c r="CG76" i="8"/>
  <c r="CG78" i="8" s="1"/>
  <c r="CF76" i="8"/>
  <c r="CF78" i="8" s="1"/>
  <c r="CE76" i="8"/>
  <c r="CE78" i="8" s="1"/>
  <c r="CD76" i="8"/>
  <c r="CD78" i="8" s="1"/>
  <c r="CC76" i="8"/>
  <c r="CC78" i="8" s="1"/>
  <c r="CB76" i="8"/>
  <c r="CB78" i="8" s="1"/>
  <c r="CA76" i="8"/>
  <c r="CA78" i="8" s="1"/>
  <c r="BZ76" i="8"/>
  <c r="BZ78" i="8" s="1"/>
  <c r="BY76" i="8"/>
  <c r="BY78" i="8" s="1"/>
  <c r="BX76" i="8"/>
  <c r="BX78" i="8" s="1"/>
  <c r="BW76" i="8"/>
  <c r="BW78" i="8" s="1"/>
  <c r="BV76" i="8"/>
  <c r="BV78" i="8" s="1"/>
  <c r="BU76" i="8"/>
  <c r="BU78" i="8" s="1"/>
  <c r="BT76" i="8"/>
  <c r="BT78" i="8" s="1"/>
  <c r="BS76" i="8"/>
  <c r="BS78" i="8" s="1"/>
  <c r="BR76" i="8"/>
  <c r="BR78" i="8" s="1"/>
  <c r="BQ76" i="8"/>
  <c r="BQ78" i="8" s="1"/>
  <c r="BP76" i="8"/>
  <c r="BP78" i="8" s="1"/>
  <c r="BO76" i="8"/>
  <c r="BO78" i="8" s="1"/>
  <c r="BN76" i="8"/>
  <c r="BN78" i="8" s="1"/>
  <c r="BM76" i="8"/>
  <c r="BM78" i="8" s="1"/>
  <c r="BL76" i="8"/>
  <c r="BL78" i="8" s="1"/>
  <c r="BK76" i="8"/>
  <c r="BK78" i="8" s="1"/>
  <c r="BJ76" i="8"/>
  <c r="BJ78" i="8" s="1"/>
  <c r="BI76" i="8"/>
  <c r="BI78" i="8" s="1"/>
  <c r="BH76" i="8"/>
  <c r="BH78" i="8" s="1"/>
  <c r="BG76" i="8"/>
  <c r="BG78" i="8" s="1"/>
  <c r="BF76" i="8"/>
  <c r="BF78" i="8" s="1"/>
  <c r="BE76" i="8"/>
  <c r="BE78" i="8" s="1"/>
  <c r="BD76" i="8"/>
  <c r="BD78" i="8" s="1"/>
  <c r="BC76" i="8"/>
  <c r="BC78" i="8" s="1"/>
  <c r="BB76" i="8"/>
  <c r="BB78" i="8" s="1"/>
  <c r="BA76" i="8"/>
  <c r="BA78" i="8" s="1"/>
  <c r="AZ76" i="8"/>
  <c r="AZ78" i="8" s="1"/>
  <c r="AY76" i="8"/>
  <c r="AY78" i="8" s="1"/>
  <c r="AX76" i="8"/>
  <c r="AX78" i="8" s="1"/>
  <c r="AW76" i="8"/>
  <c r="AW78" i="8" s="1"/>
  <c r="AV76" i="8"/>
  <c r="AV78" i="8" s="1"/>
  <c r="AU76" i="8"/>
  <c r="AU78" i="8" s="1"/>
  <c r="AT76" i="8"/>
  <c r="AT78" i="8" s="1"/>
  <c r="AS76" i="8"/>
  <c r="AS78" i="8" s="1"/>
  <c r="AR76" i="8"/>
  <c r="AR78" i="8" s="1"/>
  <c r="AQ76" i="8"/>
  <c r="AQ78" i="8" s="1"/>
  <c r="AP76" i="8"/>
  <c r="AP78" i="8" s="1"/>
  <c r="AO76" i="8"/>
  <c r="AO78" i="8" s="1"/>
  <c r="AN76" i="8"/>
  <c r="AN78" i="8" s="1"/>
  <c r="AM76" i="8"/>
  <c r="AM78" i="8" s="1"/>
  <c r="AL76" i="8"/>
  <c r="AL78" i="8" s="1"/>
  <c r="AK76" i="8"/>
  <c r="AK78" i="8" s="1"/>
  <c r="AJ76" i="8"/>
  <c r="AJ78" i="8" s="1"/>
  <c r="AI76" i="8"/>
  <c r="AI78" i="8" s="1"/>
  <c r="AH76" i="8"/>
  <c r="AH78" i="8" s="1"/>
  <c r="AG76" i="8"/>
  <c r="AG78" i="8" s="1"/>
  <c r="AF76" i="8"/>
  <c r="AF78" i="8" s="1"/>
  <c r="AE76" i="8"/>
  <c r="AE78" i="8" s="1"/>
  <c r="AD76" i="8"/>
  <c r="AD78" i="8" s="1"/>
  <c r="AC76" i="8"/>
  <c r="AC78" i="8" s="1"/>
  <c r="AB76" i="8"/>
  <c r="AB78" i="8" s="1"/>
  <c r="AA76" i="8"/>
  <c r="AA78" i="8" s="1"/>
  <c r="Z76" i="8"/>
  <c r="Z78" i="8" s="1"/>
  <c r="Y76" i="8"/>
  <c r="Y78" i="8" s="1"/>
  <c r="X76" i="8"/>
  <c r="X78" i="8" s="1"/>
  <c r="W76" i="8"/>
  <c r="W78" i="8" s="1"/>
  <c r="V76" i="8"/>
  <c r="U76" i="8"/>
  <c r="T76" i="8"/>
  <c r="S76" i="8"/>
  <c r="R76" i="8"/>
  <c r="Q76" i="8"/>
  <c r="P76" i="8"/>
  <c r="O76" i="8"/>
  <c r="N76" i="8"/>
  <c r="M76" i="8"/>
  <c r="L76" i="8"/>
  <c r="K76" i="8"/>
  <c r="J76" i="8"/>
  <c r="I76" i="8"/>
  <c r="H76" i="8"/>
  <c r="G76" i="8"/>
  <c r="F76" i="8"/>
  <c r="E76" i="8"/>
  <c r="D76" i="8"/>
  <c r="C76" i="8"/>
  <c r="O69" i="8"/>
  <c r="N69" i="8"/>
  <c r="M69" i="8"/>
  <c r="L69" i="8"/>
  <c r="K69" i="8"/>
  <c r="J69" i="8"/>
  <c r="I69" i="8"/>
  <c r="H69" i="8"/>
  <c r="G69" i="8"/>
  <c r="F69" i="8"/>
  <c r="E69" i="8"/>
  <c r="D69" i="8"/>
  <c r="CI68" i="8"/>
  <c r="CH68" i="8"/>
  <c r="CG68" i="8"/>
  <c r="CF68" i="8"/>
  <c r="CE68" i="8"/>
  <c r="CD68" i="8"/>
  <c r="CC68" i="8"/>
  <c r="CB68" i="8"/>
  <c r="CA68" i="8"/>
  <c r="BZ68" i="8"/>
  <c r="BY68" i="8"/>
  <c r="BX68" i="8"/>
  <c r="BW68" i="8"/>
  <c r="BV68" i="8"/>
  <c r="BU68" i="8"/>
  <c r="BT68" i="8"/>
  <c r="BS68" i="8"/>
  <c r="BR68" i="8"/>
  <c r="BQ68" i="8"/>
  <c r="BP68" i="8"/>
  <c r="BO68" i="8"/>
  <c r="BN68" i="8"/>
  <c r="BM68" i="8"/>
  <c r="BL68" i="8"/>
  <c r="BK68" i="8"/>
  <c r="BJ68" i="8"/>
  <c r="BI68" i="8"/>
  <c r="BH68" i="8"/>
  <c r="BG68" i="8"/>
  <c r="BF68" i="8"/>
  <c r="BE68" i="8"/>
  <c r="BD68" i="8"/>
  <c r="BC68" i="8"/>
  <c r="BB68" i="8"/>
  <c r="BA68" i="8"/>
  <c r="AZ68" i="8"/>
  <c r="AY68" i="8"/>
  <c r="AX68" i="8"/>
  <c r="AW68" i="8"/>
  <c r="AV68" i="8"/>
  <c r="AU68" i="8"/>
  <c r="AT68" i="8"/>
  <c r="AS68" i="8"/>
  <c r="AR68" i="8"/>
  <c r="AQ68" i="8"/>
  <c r="AP68" i="8"/>
  <c r="AO68" i="8"/>
  <c r="AN68" i="8"/>
  <c r="AM68" i="8"/>
  <c r="AL68" i="8"/>
  <c r="AK68" i="8"/>
  <c r="AJ68" i="8"/>
  <c r="AI68" i="8"/>
  <c r="AH68" i="8"/>
  <c r="AG68" i="8"/>
  <c r="AF68" i="8"/>
  <c r="AE68" i="8"/>
  <c r="AD68" i="8"/>
  <c r="AC68" i="8"/>
  <c r="AB68" i="8"/>
  <c r="AA68" i="8"/>
  <c r="Z68" i="8"/>
  <c r="Y68" i="8"/>
  <c r="X68" i="8"/>
  <c r="W68" i="8"/>
  <c r="V68" i="8"/>
  <c r="U68" i="8"/>
  <c r="T68" i="8"/>
  <c r="S68" i="8"/>
  <c r="R68" i="8"/>
  <c r="Q68" i="8"/>
  <c r="P68" i="8"/>
  <c r="O68" i="8"/>
  <c r="N68" i="8"/>
  <c r="M68" i="8"/>
  <c r="L68" i="8"/>
  <c r="K68" i="8"/>
  <c r="J68" i="8"/>
  <c r="I68" i="8"/>
  <c r="H68" i="8"/>
  <c r="G68" i="8"/>
  <c r="F68" i="8"/>
  <c r="E68" i="8"/>
  <c r="D68" i="8"/>
  <c r="CI66" i="8"/>
  <c r="CH66" i="8"/>
  <c r="CG66" i="8"/>
  <c r="CF66" i="8"/>
  <c r="CE66" i="8"/>
  <c r="CD66" i="8"/>
  <c r="CC66" i="8"/>
  <c r="CB66" i="8"/>
  <c r="CA66" i="8"/>
  <c r="BZ66" i="8"/>
  <c r="BY66" i="8"/>
  <c r="BX66" i="8"/>
  <c r="BW66" i="8"/>
  <c r="BV66" i="8"/>
  <c r="BU66" i="8"/>
  <c r="BT66" i="8"/>
  <c r="BS66" i="8"/>
  <c r="BR66" i="8"/>
  <c r="BQ66" i="8"/>
  <c r="BP66" i="8"/>
  <c r="BO66" i="8"/>
  <c r="BN66" i="8"/>
  <c r="BM66" i="8"/>
  <c r="BL66" i="8"/>
  <c r="BK66" i="8"/>
  <c r="BJ66" i="8"/>
  <c r="BI66" i="8"/>
  <c r="BH66" i="8"/>
  <c r="BG66" i="8"/>
  <c r="BF66" i="8"/>
  <c r="BE66" i="8"/>
  <c r="BD66" i="8"/>
  <c r="BC66" i="8"/>
  <c r="BB66" i="8"/>
  <c r="BA66" i="8"/>
  <c r="AZ66" i="8"/>
  <c r="AY66" i="8"/>
  <c r="AX66" i="8"/>
  <c r="AW66" i="8"/>
  <c r="AV66" i="8"/>
  <c r="AU66" i="8"/>
  <c r="AT66" i="8"/>
  <c r="AS66" i="8"/>
  <c r="AR66" i="8"/>
  <c r="AQ66" i="8"/>
  <c r="AP66" i="8"/>
  <c r="AO66" i="8"/>
  <c r="AN66" i="8"/>
  <c r="AM66" i="8"/>
  <c r="AL66" i="8"/>
  <c r="AK66" i="8"/>
  <c r="AJ66" i="8"/>
  <c r="AI66" i="8"/>
  <c r="AH66" i="8"/>
  <c r="AG66" i="8"/>
  <c r="AF66" i="8"/>
  <c r="AE66" i="8"/>
  <c r="AD66" i="8"/>
  <c r="AC66" i="8"/>
  <c r="AB66" i="8"/>
  <c r="AA66" i="8"/>
  <c r="Z66" i="8"/>
  <c r="Y66" i="8"/>
  <c r="X66" i="8"/>
  <c r="W66" i="8"/>
  <c r="V66" i="8"/>
  <c r="U66" i="8"/>
  <c r="T66" i="8"/>
  <c r="S66" i="8"/>
  <c r="R66" i="8"/>
  <c r="Q66" i="8"/>
  <c r="P66" i="8"/>
  <c r="O66" i="8"/>
  <c r="N66" i="8"/>
  <c r="M66" i="8"/>
  <c r="L66" i="8"/>
  <c r="K66" i="8"/>
  <c r="J66" i="8"/>
  <c r="I66" i="8"/>
  <c r="H66" i="8"/>
  <c r="G66" i="8"/>
  <c r="F66" i="8"/>
  <c r="E66" i="8"/>
  <c r="D66" i="8"/>
  <c r="CI65" i="8"/>
  <c r="CI67" i="8" s="1"/>
  <c r="CH65" i="8"/>
  <c r="CH67" i="8" s="1"/>
  <c r="CG65" i="8"/>
  <c r="CG67" i="8" s="1"/>
  <c r="CF65" i="8"/>
  <c r="CF67" i="8" s="1"/>
  <c r="CE65" i="8"/>
  <c r="CE67" i="8" s="1"/>
  <c r="CD65" i="8"/>
  <c r="CD67" i="8" s="1"/>
  <c r="CC65" i="8"/>
  <c r="CC67" i="8" s="1"/>
  <c r="CB65" i="8"/>
  <c r="CB67" i="8" s="1"/>
  <c r="CA65" i="8"/>
  <c r="CA67" i="8" s="1"/>
  <c r="BZ65" i="8"/>
  <c r="BZ67" i="8" s="1"/>
  <c r="BY65" i="8"/>
  <c r="BY67" i="8" s="1"/>
  <c r="BX65" i="8"/>
  <c r="BX67" i="8" s="1"/>
  <c r="BW65" i="8"/>
  <c r="BW67" i="8" s="1"/>
  <c r="BV65" i="8"/>
  <c r="BV67" i="8" s="1"/>
  <c r="BU65" i="8"/>
  <c r="BU67" i="8" s="1"/>
  <c r="BT65" i="8"/>
  <c r="BT67" i="8" s="1"/>
  <c r="BS65" i="8"/>
  <c r="BS67" i="8" s="1"/>
  <c r="BR65" i="8"/>
  <c r="BR67" i="8" s="1"/>
  <c r="BQ65" i="8"/>
  <c r="BQ67" i="8" s="1"/>
  <c r="BP65" i="8"/>
  <c r="BP67" i="8" s="1"/>
  <c r="BO65" i="8"/>
  <c r="BO67" i="8" s="1"/>
  <c r="BN65" i="8"/>
  <c r="BN67" i="8" s="1"/>
  <c r="BM65" i="8"/>
  <c r="BM67" i="8" s="1"/>
  <c r="BL65" i="8"/>
  <c r="BL67" i="8" s="1"/>
  <c r="BK65" i="8"/>
  <c r="BK67" i="8" s="1"/>
  <c r="BJ65" i="8"/>
  <c r="BJ67" i="8" s="1"/>
  <c r="BI65" i="8"/>
  <c r="BI67" i="8" s="1"/>
  <c r="BH65" i="8"/>
  <c r="BH67" i="8" s="1"/>
  <c r="BG65" i="8"/>
  <c r="BG67" i="8" s="1"/>
  <c r="BF65" i="8"/>
  <c r="BF67" i="8" s="1"/>
  <c r="BE65" i="8"/>
  <c r="BE67" i="8" s="1"/>
  <c r="BD65" i="8"/>
  <c r="BD67" i="8" s="1"/>
  <c r="BC65" i="8"/>
  <c r="BC67" i="8" s="1"/>
  <c r="BB65" i="8"/>
  <c r="BB67" i="8" s="1"/>
  <c r="BA65" i="8"/>
  <c r="BA67" i="8" s="1"/>
  <c r="AZ65" i="8"/>
  <c r="AZ67" i="8" s="1"/>
  <c r="AY65" i="8"/>
  <c r="AY67" i="8" s="1"/>
  <c r="AX65" i="8"/>
  <c r="AX67" i="8" s="1"/>
  <c r="AW65" i="8"/>
  <c r="AW67" i="8" s="1"/>
  <c r="AV65" i="8"/>
  <c r="AV67" i="8" s="1"/>
  <c r="AU65" i="8"/>
  <c r="AU67" i="8" s="1"/>
  <c r="AT65" i="8"/>
  <c r="AT67" i="8" s="1"/>
  <c r="AS65" i="8"/>
  <c r="AS67" i="8" s="1"/>
  <c r="AR65" i="8"/>
  <c r="AR67" i="8" s="1"/>
  <c r="AQ65" i="8"/>
  <c r="AQ67" i="8" s="1"/>
  <c r="AP65" i="8"/>
  <c r="AP67" i="8" s="1"/>
  <c r="AO65" i="8"/>
  <c r="AO67" i="8" s="1"/>
  <c r="AN65" i="8"/>
  <c r="AN67" i="8" s="1"/>
  <c r="AM65" i="8"/>
  <c r="AM67" i="8" s="1"/>
  <c r="AL65" i="8"/>
  <c r="AL67" i="8" s="1"/>
  <c r="AK65" i="8"/>
  <c r="AK67" i="8" s="1"/>
  <c r="AJ65" i="8"/>
  <c r="AJ67" i="8" s="1"/>
  <c r="AI65" i="8"/>
  <c r="AI67" i="8" s="1"/>
  <c r="AH65" i="8"/>
  <c r="AH67" i="8" s="1"/>
  <c r="AG65" i="8"/>
  <c r="AG67" i="8" s="1"/>
  <c r="AF65" i="8"/>
  <c r="AF67" i="8" s="1"/>
  <c r="AE65" i="8"/>
  <c r="AE67" i="8" s="1"/>
  <c r="AD65" i="8"/>
  <c r="AD67" i="8" s="1"/>
  <c r="AC65" i="8"/>
  <c r="AC67" i="8" s="1"/>
  <c r="AB65" i="8"/>
  <c r="AB67" i="8" s="1"/>
  <c r="AA65" i="8"/>
  <c r="Z65" i="8"/>
  <c r="Y65" i="8"/>
  <c r="X65" i="8"/>
  <c r="W65" i="8"/>
  <c r="V65" i="8"/>
  <c r="U65" i="8"/>
  <c r="T65" i="8"/>
  <c r="S65" i="8"/>
  <c r="R65" i="8"/>
  <c r="Q65" i="8"/>
  <c r="P65" i="8"/>
  <c r="O65" i="8"/>
  <c r="N65" i="8"/>
  <c r="M65" i="8"/>
  <c r="L65" i="8"/>
  <c r="K65" i="8"/>
  <c r="J65" i="8"/>
  <c r="I65" i="8"/>
  <c r="H65" i="8"/>
  <c r="G65" i="8"/>
  <c r="F65" i="8"/>
  <c r="E65" i="8"/>
  <c r="D65" i="8"/>
  <c r="C65" i="8"/>
  <c r="O58" i="8"/>
  <c r="N58" i="8"/>
  <c r="M58" i="8"/>
  <c r="L58" i="8"/>
  <c r="K58" i="8"/>
  <c r="J58" i="8"/>
  <c r="I58" i="8"/>
  <c r="H58" i="8"/>
  <c r="G58" i="8"/>
  <c r="F58" i="8"/>
  <c r="E58" i="8"/>
  <c r="D58" i="8"/>
  <c r="CI57" i="8"/>
  <c r="CH57" i="8"/>
  <c r="CG57" i="8"/>
  <c r="CF57" i="8"/>
  <c r="CE57" i="8"/>
  <c r="CD57" i="8"/>
  <c r="CC57" i="8"/>
  <c r="CB57" i="8"/>
  <c r="CA57" i="8"/>
  <c r="BZ57" i="8"/>
  <c r="BY57" i="8"/>
  <c r="BX57" i="8"/>
  <c r="BW57" i="8"/>
  <c r="BV57" i="8"/>
  <c r="BU57" i="8"/>
  <c r="BT57" i="8"/>
  <c r="BS57" i="8"/>
  <c r="BR57" i="8"/>
  <c r="BQ57" i="8"/>
  <c r="BP57" i="8"/>
  <c r="BO57" i="8"/>
  <c r="BN57" i="8"/>
  <c r="BM57" i="8"/>
  <c r="BL57" i="8"/>
  <c r="BK57" i="8"/>
  <c r="BJ57" i="8"/>
  <c r="BI57" i="8"/>
  <c r="BH57" i="8"/>
  <c r="BG57" i="8"/>
  <c r="BF57" i="8"/>
  <c r="BE57" i="8"/>
  <c r="BD57" i="8"/>
  <c r="BC57" i="8"/>
  <c r="BB57" i="8"/>
  <c r="BA57" i="8"/>
  <c r="AZ57" i="8"/>
  <c r="AY57" i="8"/>
  <c r="AX57" i="8"/>
  <c r="AW57" i="8"/>
  <c r="AV57" i="8"/>
  <c r="AU57" i="8"/>
  <c r="AT57" i="8"/>
  <c r="AS57" i="8"/>
  <c r="AR57" i="8"/>
  <c r="AQ57" i="8"/>
  <c r="AP57" i="8"/>
  <c r="AO57" i="8"/>
  <c r="AN57" i="8"/>
  <c r="AM57" i="8"/>
  <c r="AL57" i="8"/>
  <c r="AK57" i="8"/>
  <c r="AJ57" i="8"/>
  <c r="AI57" i="8"/>
  <c r="AH57" i="8"/>
  <c r="AG57" i="8"/>
  <c r="AF57" i="8"/>
  <c r="AE57" i="8"/>
  <c r="AD57" i="8"/>
  <c r="AC57" i="8"/>
  <c r="AB57" i="8"/>
  <c r="AA57" i="8"/>
  <c r="Z57" i="8"/>
  <c r="Y57" i="8"/>
  <c r="X57" i="8"/>
  <c r="W57" i="8"/>
  <c r="V57" i="8"/>
  <c r="U57" i="8"/>
  <c r="T57" i="8"/>
  <c r="S57" i="8"/>
  <c r="R57" i="8"/>
  <c r="Q57" i="8"/>
  <c r="P57" i="8"/>
  <c r="O57" i="8"/>
  <c r="N57" i="8"/>
  <c r="M57" i="8"/>
  <c r="L57" i="8"/>
  <c r="K57" i="8"/>
  <c r="J57" i="8"/>
  <c r="I57" i="8"/>
  <c r="H57" i="8"/>
  <c r="G57" i="8"/>
  <c r="F57" i="8"/>
  <c r="E57" i="8"/>
  <c r="D57" i="8"/>
  <c r="CI55" i="8"/>
  <c r="CH55" i="8"/>
  <c r="CG55" i="8"/>
  <c r="CF55" i="8"/>
  <c r="CE55" i="8"/>
  <c r="CD55" i="8"/>
  <c r="CC55" i="8"/>
  <c r="CB55" i="8"/>
  <c r="CA55" i="8"/>
  <c r="BZ55" i="8"/>
  <c r="BY55" i="8"/>
  <c r="BX55" i="8"/>
  <c r="BW55" i="8"/>
  <c r="BV55" i="8"/>
  <c r="BU55" i="8"/>
  <c r="BT55" i="8"/>
  <c r="BS55" i="8"/>
  <c r="BR55" i="8"/>
  <c r="BQ55" i="8"/>
  <c r="BP55" i="8"/>
  <c r="BO55" i="8"/>
  <c r="BN55" i="8"/>
  <c r="BM55" i="8"/>
  <c r="BL55" i="8"/>
  <c r="BK55" i="8"/>
  <c r="BJ55" i="8"/>
  <c r="BI55" i="8"/>
  <c r="BH55" i="8"/>
  <c r="BG55" i="8"/>
  <c r="BF55" i="8"/>
  <c r="BE55" i="8"/>
  <c r="BD55" i="8"/>
  <c r="BC55" i="8"/>
  <c r="BB55" i="8"/>
  <c r="BA55" i="8"/>
  <c r="AZ55" i="8"/>
  <c r="AY55" i="8"/>
  <c r="AX55" i="8"/>
  <c r="AW55" i="8"/>
  <c r="AV55" i="8"/>
  <c r="AU55" i="8"/>
  <c r="AT55" i="8"/>
  <c r="AS55" i="8"/>
  <c r="AR55" i="8"/>
  <c r="AQ55" i="8"/>
  <c r="AP55" i="8"/>
  <c r="AO55" i="8"/>
  <c r="AN55" i="8"/>
  <c r="AM55" i="8"/>
  <c r="AL55" i="8"/>
  <c r="AK55" i="8"/>
  <c r="AJ55" i="8"/>
  <c r="AI55" i="8"/>
  <c r="AH55" i="8"/>
  <c r="AG55" i="8"/>
  <c r="AF55" i="8"/>
  <c r="AE55" i="8"/>
  <c r="AD55" i="8"/>
  <c r="AC55" i="8"/>
  <c r="AB55" i="8"/>
  <c r="AA55" i="8"/>
  <c r="Z55" i="8"/>
  <c r="Y55" i="8"/>
  <c r="X55" i="8"/>
  <c r="W55" i="8"/>
  <c r="V55" i="8"/>
  <c r="U55" i="8"/>
  <c r="T55" i="8"/>
  <c r="S55" i="8"/>
  <c r="R55" i="8"/>
  <c r="Q55" i="8"/>
  <c r="P55" i="8"/>
  <c r="O55" i="8"/>
  <c r="N55" i="8"/>
  <c r="M55" i="8"/>
  <c r="L55" i="8"/>
  <c r="K55" i="8"/>
  <c r="J55" i="8"/>
  <c r="I55" i="8"/>
  <c r="H55" i="8"/>
  <c r="G55" i="8"/>
  <c r="F55" i="8"/>
  <c r="E55" i="8"/>
  <c r="D55" i="8"/>
  <c r="CI54" i="8"/>
  <c r="CH54" i="8"/>
  <c r="CG54" i="8"/>
  <c r="CF54" i="8"/>
  <c r="CE54" i="8"/>
  <c r="CD54" i="8"/>
  <c r="CC54" i="8"/>
  <c r="CB54" i="8"/>
  <c r="CA54" i="8"/>
  <c r="BZ54" i="8"/>
  <c r="BY54" i="8"/>
  <c r="BX54" i="8"/>
  <c r="BW54" i="8"/>
  <c r="BV54" i="8"/>
  <c r="BU54" i="8"/>
  <c r="BT54" i="8"/>
  <c r="BS54" i="8"/>
  <c r="BR54" i="8"/>
  <c r="BQ54" i="8"/>
  <c r="BP54" i="8"/>
  <c r="BO54" i="8"/>
  <c r="BN54" i="8"/>
  <c r="BM54" i="8"/>
  <c r="BL54" i="8"/>
  <c r="BK54" i="8"/>
  <c r="BJ54" i="8"/>
  <c r="BI54" i="8"/>
  <c r="BH54" i="8"/>
  <c r="BG54" i="8"/>
  <c r="BF54" i="8"/>
  <c r="BE54" i="8"/>
  <c r="BD54" i="8"/>
  <c r="BC54" i="8"/>
  <c r="BB54" i="8"/>
  <c r="BA54" i="8"/>
  <c r="AZ54" i="8"/>
  <c r="AY54" i="8"/>
  <c r="AX54" i="8"/>
  <c r="AW54" i="8"/>
  <c r="AV54" i="8"/>
  <c r="AU54" i="8"/>
  <c r="AT54" i="8"/>
  <c r="AS54" i="8"/>
  <c r="AR54" i="8"/>
  <c r="AQ54" i="8"/>
  <c r="AP54" i="8"/>
  <c r="AO54" i="8"/>
  <c r="AN54" i="8"/>
  <c r="AM54" i="8"/>
  <c r="AL54" i="8"/>
  <c r="AK54" i="8"/>
  <c r="AJ54" i="8"/>
  <c r="AI54" i="8"/>
  <c r="AH54" i="8"/>
  <c r="AG54" i="8"/>
  <c r="AF54" i="8"/>
  <c r="AE54" i="8"/>
  <c r="AD54" i="8"/>
  <c r="AC54" i="8"/>
  <c r="AB54" i="8"/>
  <c r="AA54" i="8"/>
  <c r="Z54" i="8"/>
  <c r="Y54" i="8"/>
  <c r="X54" i="8"/>
  <c r="W54" i="8"/>
  <c r="V54" i="8"/>
  <c r="U54" i="8"/>
  <c r="T54" i="8"/>
  <c r="S54" i="8"/>
  <c r="R54" i="8"/>
  <c r="Q54" i="8"/>
  <c r="P54" i="8"/>
  <c r="O54" i="8"/>
  <c r="N54" i="8"/>
  <c r="M54" i="8"/>
  <c r="L54" i="8"/>
  <c r="K54" i="8"/>
  <c r="J54" i="8"/>
  <c r="I54" i="8"/>
  <c r="H54" i="8"/>
  <c r="G54" i="8"/>
  <c r="F54" i="8"/>
  <c r="E54" i="8"/>
  <c r="D54" i="8"/>
  <c r="C54" i="8"/>
  <c r="CI48" i="8"/>
  <c r="CH48" i="8"/>
  <c r="CG48" i="8"/>
  <c r="CF48" i="8"/>
  <c r="CE48" i="8"/>
  <c r="CD48" i="8"/>
  <c r="CC48" i="8"/>
  <c r="CB48" i="8"/>
  <c r="CA48" i="8"/>
  <c r="BZ48" i="8"/>
  <c r="BY48" i="8"/>
  <c r="BX48" i="8"/>
  <c r="BW48" i="8"/>
  <c r="BV48" i="8"/>
  <c r="BU48" i="8"/>
  <c r="BT48" i="8"/>
  <c r="BS48" i="8"/>
  <c r="BR48" i="8"/>
  <c r="BQ48" i="8"/>
  <c r="BP48" i="8"/>
  <c r="BO48" i="8"/>
  <c r="BN48" i="8"/>
  <c r="BM48" i="8"/>
  <c r="BL48" i="8"/>
  <c r="BK48" i="8"/>
  <c r="BJ48" i="8"/>
  <c r="BI48" i="8"/>
  <c r="BH48" i="8"/>
  <c r="BG48" i="8"/>
  <c r="BF48" i="8"/>
  <c r="BE48" i="8"/>
  <c r="BD48" i="8"/>
  <c r="BC48" i="8"/>
  <c r="BB48" i="8"/>
  <c r="BA48" i="8"/>
  <c r="AZ48" i="8"/>
  <c r="AY48" i="8"/>
  <c r="AX48" i="8"/>
  <c r="AW48" i="8"/>
  <c r="AV48" i="8"/>
  <c r="AU48" i="8"/>
  <c r="AT48" i="8"/>
  <c r="AS48" i="8"/>
  <c r="AR48" i="8"/>
  <c r="AQ48" i="8"/>
  <c r="AP48" i="8"/>
  <c r="AO48" i="8"/>
  <c r="AN48" i="8"/>
  <c r="AM48" i="8"/>
  <c r="AL48" i="8"/>
  <c r="AK48" i="8"/>
  <c r="AJ48" i="8"/>
  <c r="AI48" i="8"/>
  <c r="AH48" i="8"/>
  <c r="AG48" i="8"/>
  <c r="AF48" i="8"/>
  <c r="AE48" i="8"/>
  <c r="AD48" i="8"/>
  <c r="AC48" i="8"/>
  <c r="AB48" i="8"/>
  <c r="AA48" i="8"/>
  <c r="Z48" i="8"/>
  <c r="Y48" i="8"/>
  <c r="X48" i="8"/>
  <c r="W48" i="8"/>
  <c r="V48" i="8"/>
  <c r="U48" i="8"/>
  <c r="T48" i="8"/>
  <c r="S48" i="8"/>
  <c r="R48" i="8"/>
  <c r="Q48" i="8"/>
  <c r="P48" i="8"/>
  <c r="O48" i="8"/>
  <c r="N48" i="8"/>
  <c r="M48" i="8"/>
  <c r="L48" i="8"/>
  <c r="K48" i="8"/>
  <c r="J48" i="8"/>
  <c r="I48" i="8"/>
  <c r="H48" i="8"/>
  <c r="G48" i="8"/>
  <c r="F48" i="8"/>
  <c r="E48" i="8"/>
  <c r="D48" i="8"/>
  <c r="CI46" i="8"/>
  <c r="CH46" i="8"/>
  <c r="CG46" i="8"/>
  <c r="CF46" i="8"/>
  <c r="CE46" i="8"/>
  <c r="CD46" i="8"/>
  <c r="CC46" i="8"/>
  <c r="CB46" i="8"/>
  <c r="CA46" i="8"/>
  <c r="BZ46" i="8"/>
  <c r="BY46" i="8"/>
  <c r="BX46" i="8"/>
  <c r="BW46" i="8"/>
  <c r="BV46" i="8"/>
  <c r="BU46" i="8"/>
  <c r="BT46" i="8"/>
  <c r="BS46" i="8"/>
  <c r="BR46" i="8"/>
  <c r="BQ46" i="8"/>
  <c r="BP46" i="8"/>
  <c r="BO46" i="8"/>
  <c r="BN46" i="8"/>
  <c r="BM46" i="8"/>
  <c r="BL46" i="8"/>
  <c r="BK46" i="8"/>
  <c r="BJ46" i="8"/>
  <c r="BI46" i="8"/>
  <c r="BH46" i="8"/>
  <c r="BG46" i="8"/>
  <c r="BF46" i="8"/>
  <c r="BE46" i="8"/>
  <c r="BD46" i="8"/>
  <c r="BC46" i="8"/>
  <c r="BB46" i="8"/>
  <c r="BA46" i="8"/>
  <c r="AZ46" i="8"/>
  <c r="AY46" i="8"/>
  <c r="AX46" i="8"/>
  <c r="AW46" i="8"/>
  <c r="AV46" i="8"/>
  <c r="AU46" i="8"/>
  <c r="AT46" i="8"/>
  <c r="AS46" i="8"/>
  <c r="AR46" i="8"/>
  <c r="AQ46" i="8"/>
  <c r="AP46" i="8"/>
  <c r="AO46" i="8"/>
  <c r="AN46" i="8"/>
  <c r="AM46" i="8"/>
  <c r="AL46" i="8"/>
  <c r="AK46" i="8"/>
  <c r="AJ46" i="8"/>
  <c r="AI46" i="8"/>
  <c r="AH46" i="8"/>
  <c r="AG46" i="8"/>
  <c r="AF46" i="8"/>
  <c r="AE46" i="8"/>
  <c r="AD46" i="8"/>
  <c r="AC46" i="8"/>
  <c r="AB46" i="8"/>
  <c r="AA46" i="8"/>
  <c r="Z46" i="8"/>
  <c r="Y46" i="8"/>
  <c r="X46" i="8"/>
  <c r="W46" i="8"/>
  <c r="V46" i="8"/>
  <c r="U46" i="8"/>
  <c r="T46" i="8"/>
  <c r="S46" i="8"/>
  <c r="R46" i="8"/>
  <c r="Q46" i="8"/>
  <c r="P46" i="8"/>
  <c r="O46" i="8"/>
  <c r="N46" i="8"/>
  <c r="M46" i="8"/>
  <c r="L46" i="8"/>
  <c r="K46" i="8"/>
  <c r="J46" i="8"/>
  <c r="I46" i="8"/>
  <c r="H46" i="8"/>
  <c r="G46" i="8"/>
  <c r="F46" i="8"/>
  <c r="E46" i="8"/>
  <c r="D46" i="8"/>
  <c r="CI44" i="8"/>
  <c r="CH44" i="8"/>
  <c r="CG44" i="8"/>
  <c r="CF44" i="8"/>
  <c r="CE44" i="8"/>
  <c r="CD44" i="8"/>
  <c r="CC44" i="8"/>
  <c r="CB44" i="8"/>
  <c r="CA44" i="8"/>
  <c r="BZ44" i="8"/>
  <c r="BY44" i="8"/>
  <c r="BX44" i="8"/>
  <c r="BW44" i="8"/>
  <c r="BV44" i="8"/>
  <c r="BU44" i="8"/>
  <c r="BT44" i="8"/>
  <c r="BS44" i="8"/>
  <c r="BR44" i="8"/>
  <c r="BQ44" i="8"/>
  <c r="BP44" i="8"/>
  <c r="BO44" i="8"/>
  <c r="BN44" i="8"/>
  <c r="BM44" i="8"/>
  <c r="BL44" i="8"/>
  <c r="BK44" i="8"/>
  <c r="BJ44" i="8"/>
  <c r="BI44" i="8"/>
  <c r="BH44" i="8"/>
  <c r="BG44" i="8"/>
  <c r="BF44" i="8"/>
  <c r="BE44" i="8"/>
  <c r="BD44" i="8"/>
  <c r="BC44" i="8"/>
  <c r="BB44" i="8"/>
  <c r="BA44" i="8"/>
  <c r="AZ44" i="8"/>
  <c r="AY44" i="8"/>
  <c r="AX44" i="8"/>
  <c r="AW44" i="8"/>
  <c r="AV44" i="8"/>
  <c r="AU44" i="8"/>
  <c r="AT44" i="8"/>
  <c r="AS44" i="8"/>
  <c r="AR44" i="8"/>
  <c r="AQ44" i="8"/>
  <c r="AP44" i="8"/>
  <c r="AO44" i="8"/>
  <c r="AN44" i="8"/>
  <c r="AM44" i="8"/>
  <c r="AL44" i="8"/>
  <c r="AK44" i="8"/>
  <c r="AJ44" i="8"/>
  <c r="AI44" i="8"/>
  <c r="AH44" i="8"/>
  <c r="AG44" i="8"/>
  <c r="AF44" i="8"/>
  <c r="AE44" i="8"/>
  <c r="AD44" i="8"/>
  <c r="AC44" i="8"/>
  <c r="AB44" i="8"/>
  <c r="AA44" i="8"/>
  <c r="Z44" i="8"/>
  <c r="Y44" i="8"/>
  <c r="X44" i="8"/>
  <c r="W44" i="8"/>
  <c r="V44" i="8"/>
  <c r="U44" i="8"/>
  <c r="T44" i="8"/>
  <c r="S44" i="8"/>
  <c r="R44" i="8"/>
  <c r="Q44" i="8"/>
  <c r="P44" i="8"/>
  <c r="O44" i="8"/>
  <c r="N44" i="8"/>
  <c r="M44" i="8"/>
  <c r="L44" i="8"/>
  <c r="K44" i="8"/>
  <c r="J44" i="8"/>
  <c r="I44" i="8"/>
  <c r="H44" i="8"/>
  <c r="G44" i="8"/>
  <c r="F44" i="8"/>
  <c r="E44" i="8"/>
  <c r="D44" i="8"/>
  <c r="CI43" i="8"/>
  <c r="CI45" i="8" s="1"/>
  <c r="CH43" i="8"/>
  <c r="CH45" i="8" s="1"/>
  <c r="CG43" i="8"/>
  <c r="CG45" i="8" s="1"/>
  <c r="CF43" i="8"/>
  <c r="CF45" i="8" s="1"/>
  <c r="CE43" i="8"/>
  <c r="CE45" i="8" s="1"/>
  <c r="CD43" i="8"/>
  <c r="CD45" i="8" s="1"/>
  <c r="CC43" i="8"/>
  <c r="CC45" i="8" s="1"/>
  <c r="CB43" i="8"/>
  <c r="CB45" i="8" s="1"/>
  <c r="CA43" i="8"/>
  <c r="CA45" i="8" s="1"/>
  <c r="BZ43" i="8"/>
  <c r="BZ45" i="8" s="1"/>
  <c r="BY43" i="8"/>
  <c r="BY45" i="8" s="1"/>
  <c r="BX43" i="8"/>
  <c r="BX45" i="8" s="1"/>
  <c r="BW43" i="8"/>
  <c r="BW45" i="8" s="1"/>
  <c r="BV43" i="8"/>
  <c r="BV45" i="8" s="1"/>
  <c r="BU43" i="8"/>
  <c r="BU45" i="8" s="1"/>
  <c r="BT43" i="8"/>
  <c r="BT45" i="8" s="1"/>
  <c r="BS43" i="8"/>
  <c r="BS45" i="8" s="1"/>
  <c r="BR43" i="8"/>
  <c r="BR45" i="8" s="1"/>
  <c r="BQ43" i="8"/>
  <c r="BQ45" i="8" s="1"/>
  <c r="BP43" i="8"/>
  <c r="BP45" i="8" s="1"/>
  <c r="BO43" i="8"/>
  <c r="BO45" i="8" s="1"/>
  <c r="BN43" i="8"/>
  <c r="BN45" i="8" s="1"/>
  <c r="BM43" i="8"/>
  <c r="BM45" i="8" s="1"/>
  <c r="BL43" i="8"/>
  <c r="BL45" i="8" s="1"/>
  <c r="BK43" i="8"/>
  <c r="BK45" i="8" s="1"/>
  <c r="BJ43" i="8"/>
  <c r="BJ45" i="8" s="1"/>
  <c r="BI43" i="8"/>
  <c r="BI45" i="8" s="1"/>
  <c r="BH43" i="8"/>
  <c r="BH45" i="8" s="1"/>
  <c r="BG43" i="8"/>
  <c r="BG45" i="8" s="1"/>
  <c r="BF43" i="8"/>
  <c r="BF45" i="8" s="1"/>
  <c r="BE43" i="8"/>
  <c r="BE45" i="8" s="1"/>
  <c r="BD43" i="8"/>
  <c r="BD45" i="8" s="1"/>
  <c r="BC43" i="8"/>
  <c r="BC45" i="8" s="1"/>
  <c r="BB43" i="8"/>
  <c r="BB45" i="8" s="1"/>
  <c r="BA43" i="8"/>
  <c r="BA45" i="8" s="1"/>
  <c r="AZ43" i="8"/>
  <c r="AZ45" i="8" s="1"/>
  <c r="AY43" i="8"/>
  <c r="AY45" i="8" s="1"/>
  <c r="AX43" i="8"/>
  <c r="AX45" i="8" s="1"/>
  <c r="AW43" i="8"/>
  <c r="AW45" i="8" s="1"/>
  <c r="AV43" i="8"/>
  <c r="AV45" i="8" s="1"/>
  <c r="AU43" i="8"/>
  <c r="AU45" i="8" s="1"/>
  <c r="AT43" i="8"/>
  <c r="AT45" i="8" s="1"/>
  <c r="AS43" i="8"/>
  <c r="AS45" i="8" s="1"/>
  <c r="AR43" i="8"/>
  <c r="AR45" i="8" s="1"/>
  <c r="AQ43" i="8"/>
  <c r="AQ45" i="8" s="1"/>
  <c r="AP43" i="8"/>
  <c r="AP45" i="8" s="1"/>
  <c r="AO43" i="8"/>
  <c r="AO45" i="8" s="1"/>
  <c r="AN43" i="8"/>
  <c r="AN45" i="8" s="1"/>
  <c r="AM43" i="8"/>
  <c r="AM45" i="8" s="1"/>
  <c r="AL43" i="8"/>
  <c r="AL45" i="8" s="1"/>
  <c r="AK43" i="8"/>
  <c r="AK45" i="8" s="1"/>
  <c r="AJ43" i="8"/>
  <c r="AJ45" i="8" s="1"/>
  <c r="AI43" i="8"/>
  <c r="AI45" i="8" s="1"/>
  <c r="AH43" i="8"/>
  <c r="AH45" i="8" s="1"/>
  <c r="AG43" i="8"/>
  <c r="AG45" i="8" s="1"/>
  <c r="AF43" i="8"/>
  <c r="AF45" i="8" s="1"/>
  <c r="AE43" i="8"/>
  <c r="AE45" i="8" s="1"/>
  <c r="AD43" i="8"/>
  <c r="AD45" i="8" s="1"/>
  <c r="AC43" i="8"/>
  <c r="AC45" i="8" s="1"/>
  <c r="AB43" i="8"/>
  <c r="AB45" i="8" s="1"/>
  <c r="AA43" i="8"/>
  <c r="AA45" i="8" s="1"/>
  <c r="Z43" i="8"/>
  <c r="Z45" i="8" s="1"/>
  <c r="Y43" i="8"/>
  <c r="Y45" i="8" s="1"/>
  <c r="X43" i="8"/>
  <c r="X45" i="8" s="1"/>
  <c r="W43" i="8"/>
  <c r="W45" i="8" s="1"/>
  <c r="V43" i="8"/>
  <c r="V45" i="8" s="1"/>
  <c r="U43" i="8"/>
  <c r="U45" i="8" s="1"/>
  <c r="T43" i="8"/>
  <c r="T45" i="8" s="1"/>
  <c r="S43" i="8"/>
  <c r="S45" i="8" s="1"/>
  <c r="R43" i="8"/>
  <c r="R45" i="8" s="1"/>
  <c r="Q43" i="8"/>
  <c r="Q45" i="8" s="1"/>
  <c r="P43" i="8"/>
  <c r="P45" i="8" s="1"/>
  <c r="O43" i="8"/>
  <c r="O45" i="8" s="1"/>
  <c r="N43" i="8"/>
  <c r="N45" i="8" s="1"/>
  <c r="M43" i="8"/>
  <c r="M45" i="8" s="1"/>
  <c r="L43" i="8"/>
  <c r="K43" i="8"/>
  <c r="J43" i="8"/>
  <c r="I43" i="8"/>
  <c r="H43" i="8"/>
  <c r="G43" i="8"/>
  <c r="F43" i="8"/>
  <c r="E43" i="8"/>
  <c r="D43" i="8"/>
  <c r="C43" i="8"/>
  <c r="CI37" i="8"/>
  <c r="CH37" i="8"/>
  <c r="CG37" i="8"/>
  <c r="CF37" i="8"/>
  <c r="CE37" i="8"/>
  <c r="CD37" i="8"/>
  <c r="CC37" i="8"/>
  <c r="CB37" i="8"/>
  <c r="CA37" i="8"/>
  <c r="BZ37" i="8"/>
  <c r="BY37" i="8"/>
  <c r="BX37" i="8"/>
  <c r="BW37" i="8"/>
  <c r="BV37" i="8"/>
  <c r="BU37" i="8"/>
  <c r="BT37" i="8"/>
  <c r="BS37" i="8"/>
  <c r="BR37" i="8"/>
  <c r="BQ37" i="8"/>
  <c r="BP37" i="8"/>
  <c r="BO37" i="8"/>
  <c r="BN37" i="8"/>
  <c r="BM37" i="8"/>
  <c r="BL37" i="8"/>
  <c r="BK37" i="8"/>
  <c r="BJ37" i="8"/>
  <c r="BI37" i="8"/>
  <c r="BH37" i="8"/>
  <c r="BG37" i="8"/>
  <c r="BF37" i="8"/>
  <c r="BE37" i="8"/>
  <c r="BD37" i="8"/>
  <c r="BC37" i="8"/>
  <c r="BB37" i="8"/>
  <c r="BA37" i="8"/>
  <c r="AZ37" i="8"/>
  <c r="AY37" i="8"/>
  <c r="AX37" i="8"/>
  <c r="AW37" i="8"/>
  <c r="AV37" i="8"/>
  <c r="AU37" i="8"/>
  <c r="AT37" i="8"/>
  <c r="AS37" i="8"/>
  <c r="AR37" i="8"/>
  <c r="AQ37" i="8"/>
  <c r="AP37" i="8"/>
  <c r="AO37" i="8"/>
  <c r="AN37" i="8"/>
  <c r="AM37" i="8"/>
  <c r="AL37" i="8"/>
  <c r="AK37" i="8"/>
  <c r="AJ37" i="8"/>
  <c r="AI37" i="8"/>
  <c r="AH37" i="8"/>
  <c r="AG37" i="8"/>
  <c r="AF37" i="8"/>
  <c r="AE37" i="8"/>
  <c r="AD37" i="8"/>
  <c r="AC37" i="8"/>
  <c r="AB37" i="8"/>
  <c r="AA37" i="8"/>
  <c r="Z37" i="8"/>
  <c r="Y37" i="8"/>
  <c r="X37" i="8"/>
  <c r="W37" i="8"/>
  <c r="V37" i="8"/>
  <c r="U37" i="8"/>
  <c r="T37" i="8"/>
  <c r="S37" i="8"/>
  <c r="R37" i="8"/>
  <c r="Q37" i="8"/>
  <c r="P37" i="8"/>
  <c r="O37" i="8"/>
  <c r="N37" i="8"/>
  <c r="M37" i="8"/>
  <c r="L37" i="8"/>
  <c r="K37" i="8"/>
  <c r="J37" i="8"/>
  <c r="I37" i="8"/>
  <c r="H37" i="8"/>
  <c r="G37" i="8"/>
  <c r="F37" i="8"/>
  <c r="E37" i="8"/>
  <c r="D37" i="8"/>
  <c r="CI35" i="8"/>
  <c r="CH35" i="8"/>
  <c r="CG35" i="8"/>
  <c r="CF35" i="8"/>
  <c r="CE35" i="8"/>
  <c r="CD35" i="8"/>
  <c r="CC35" i="8"/>
  <c r="CB35" i="8"/>
  <c r="CA35" i="8"/>
  <c r="BZ35" i="8"/>
  <c r="BY35" i="8"/>
  <c r="BX35" i="8"/>
  <c r="BW35" i="8"/>
  <c r="BV35" i="8"/>
  <c r="BU35" i="8"/>
  <c r="BT35" i="8"/>
  <c r="BS35" i="8"/>
  <c r="BR35" i="8"/>
  <c r="BQ35" i="8"/>
  <c r="BP35" i="8"/>
  <c r="BO35" i="8"/>
  <c r="BN35" i="8"/>
  <c r="BM35" i="8"/>
  <c r="BL35" i="8"/>
  <c r="BK35" i="8"/>
  <c r="BJ35" i="8"/>
  <c r="BI35" i="8"/>
  <c r="BH35" i="8"/>
  <c r="BG35" i="8"/>
  <c r="BF35" i="8"/>
  <c r="BE35" i="8"/>
  <c r="BD35" i="8"/>
  <c r="BC35" i="8"/>
  <c r="BB35" i="8"/>
  <c r="BA35" i="8"/>
  <c r="AZ35" i="8"/>
  <c r="AY35" i="8"/>
  <c r="AX35" i="8"/>
  <c r="AW35" i="8"/>
  <c r="AV35" i="8"/>
  <c r="AU35" i="8"/>
  <c r="AT35" i="8"/>
  <c r="AS35" i="8"/>
  <c r="AR35" i="8"/>
  <c r="AQ35" i="8"/>
  <c r="AP35" i="8"/>
  <c r="AO35" i="8"/>
  <c r="AN35" i="8"/>
  <c r="AM35" i="8"/>
  <c r="AL35" i="8"/>
  <c r="AK35" i="8"/>
  <c r="AJ35" i="8"/>
  <c r="AI35" i="8"/>
  <c r="AH35" i="8"/>
  <c r="AG35" i="8"/>
  <c r="AF35" i="8"/>
  <c r="AE35" i="8"/>
  <c r="AD35" i="8"/>
  <c r="AC35" i="8"/>
  <c r="AB35" i="8"/>
  <c r="AA35" i="8"/>
  <c r="Z35" i="8"/>
  <c r="Y35" i="8"/>
  <c r="X35" i="8"/>
  <c r="W35" i="8"/>
  <c r="V35" i="8"/>
  <c r="U35" i="8"/>
  <c r="T35" i="8"/>
  <c r="S35" i="8"/>
  <c r="R35" i="8"/>
  <c r="Q35" i="8"/>
  <c r="P35" i="8"/>
  <c r="O35" i="8"/>
  <c r="N35" i="8"/>
  <c r="M35" i="8"/>
  <c r="L35" i="8"/>
  <c r="K35" i="8"/>
  <c r="J35" i="8"/>
  <c r="I35" i="8"/>
  <c r="H35" i="8"/>
  <c r="G35" i="8"/>
  <c r="F35" i="8"/>
  <c r="E35" i="8"/>
  <c r="D35" i="8"/>
  <c r="CI33" i="8"/>
  <c r="CH33" i="8"/>
  <c r="CG33" i="8"/>
  <c r="CF33" i="8"/>
  <c r="CE33" i="8"/>
  <c r="CD33" i="8"/>
  <c r="CC33" i="8"/>
  <c r="CB33" i="8"/>
  <c r="CA33" i="8"/>
  <c r="BZ33" i="8"/>
  <c r="BY33" i="8"/>
  <c r="BX33" i="8"/>
  <c r="BW33" i="8"/>
  <c r="BV33" i="8"/>
  <c r="BU33" i="8"/>
  <c r="BT33" i="8"/>
  <c r="BS33" i="8"/>
  <c r="BR33" i="8"/>
  <c r="BQ33" i="8"/>
  <c r="BP33" i="8"/>
  <c r="BO33" i="8"/>
  <c r="BN33" i="8"/>
  <c r="BM33" i="8"/>
  <c r="BL33" i="8"/>
  <c r="BK33" i="8"/>
  <c r="BJ33" i="8"/>
  <c r="BI33" i="8"/>
  <c r="BH33" i="8"/>
  <c r="BG33" i="8"/>
  <c r="BF33" i="8"/>
  <c r="BE33" i="8"/>
  <c r="BD33" i="8"/>
  <c r="BC33" i="8"/>
  <c r="BB33" i="8"/>
  <c r="BA33" i="8"/>
  <c r="AZ33" i="8"/>
  <c r="AY33" i="8"/>
  <c r="AX33" i="8"/>
  <c r="AW33" i="8"/>
  <c r="AV33" i="8"/>
  <c r="AU33" i="8"/>
  <c r="AT33" i="8"/>
  <c r="AS33" i="8"/>
  <c r="AR33" i="8"/>
  <c r="AQ33" i="8"/>
  <c r="AP33" i="8"/>
  <c r="AO33" i="8"/>
  <c r="AN33" i="8"/>
  <c r="AM33" i="8"/>
  <c r="AL33" i="8"/>
  <c r="AK33" i="8"/>
  <c r="AJ33" i="8"/>
  <c r="AI33" i="8"/>
  <c r="AH33" i="8"/>
  <c r="AG33" i="8"/>
  <c r="AF33" i="8"/>
  <c r="AE33" i="8"/>
  <c r="AD33" i="8"/>
  <c r="AC33" i="8"/>
  <c r="AB33" i="8"/>
  <c r="AA33" i="8"/>
  <c r="Z33" i="8"/>
  <c r="Y33" i="8"/>
  <c r="X33" i="8"/>
  <c r="W33" i="8"/>
  <c r="V33" i="8"/>
  <c r="U33" i="8"/>
  <c r="T33" i="8"/>
  <c r="S33" i="8"/>
  <c r="R33" i="8"/>
  <c r="Q33" i="8"/>
  <c r="P33" i="8"/>
  <c r="O33" i="8"/>
  <c r="N33" i="8"/>
  <c r="M33" i="8"/>
  <c r="L33" i="8"/>
  <c r="K33" i="8"/>
  <c r="J33" i="8"/>
  <c r="I33" i="8"/>
  <c r="H33" i="8"/>
  <c r="G33" i="8"/>
  <c r="F33" i="8"/>
  <c r="E33" i="8"/>
  <c r="D33" i="8"/>
  <c r="CI32" i="8"/>
  <c r="CH32" i="8"/>
  <c r="CG32" i="8"/>
  <c r="CF32" i="8"/>
  <c r="CE32" i="8"/>
  <c r="CD32" i="8"/>
  <c r="CC32" i="8"/>
  <c r="CB32" i="8"/>
  <c r="CA32" i="8"/>
  <c r="BZ32" i="8"/>
  <c r="BY32" i="8"/>
  <c r="BX32" i="8"/>
  <c r="BW32" i="8"/>
  <c r="BV32" i="8"/>
  <c r="BU32" i="8"/>
  <c r="BT32" i="8"/>
  <c r="BS32" i="8"/>
  <c r="BR32" i="8"/>
  <c r="BQ32" i="8"/>
  <c r="BP32" i="8"/>
  <c r="BO32" i="8"/>
  <c r="BN32" i="8"/>
  <c r="BM32" i="8"/>
  <c r="BL32" i="8"/>
  <c r="BK32" i="8"/>
  <c r="BJ32" i="8"/>
  <c r="BI32" i="8"/>
  <c r="BH32" i="8"/>
  <c r="BG32" i="8"/>
  <c r="BF32" i="8"/>
  <c r="BE32" i="8"/>
  <c r="BD32" i="8"/>
  <c r="BC32" i="8"/>
  <c r="BB32" i="8"/>
  <c r="BA32" i="8"/>
  <c r="AZ32" i="8"/>
  <c r="AY32" i="8"/>
  <c r="AX32" i="8"/>
  <c r="AW32" i="8"/>
  <c r="AV32" i="8"/>
  <c r="AU32" i="8"/>
  <c r="AU34" i="8" s="1"/>
  <c r="AT32" i="8"/>
  <c r="AT34" i="8" s="1"/>
  <c r="AS32" i="8"/>
  <c r="AS34" i="8" s="1"/>
  <c r="AR32" i="8"/>
  <c r="AR34" i="8" s="1"/>
  <c r="AQ32" i="8"/>
  <c r="AQ34" i="8" s="1"/>
  <c r="AP32" i="8"/>
  <c r="AP34" i="8" s="1"/>
  <c r="AO32" i="8"/>
  <c r="AO34" i="8" s="1"/>
  <c r="AN32" i="8"/>
  <c r="AN34" i="8" s="1"/>
  <c r="AM32" i="8"/>
  <c r="AM34" i="8" s="1"/>
  <c r="AL32" i="8"/>
  <c r="AL34" i="8" s="1"/>
  <c r="AK32" i="8"/>
  <c r="AK34" i="8" s="1"/>
  <c r="AJ32" i="8"/>
  <c r="AJ34" i="8" s="1"/>
  <c r="AI32" i="8"/>
  <c r="AI34" i="8" s="1"/>
  <c r="AH32" i="8"/>
  <c r="AH34" i="8" s="1"/>
  <c r="AG32" i="8"/>
  <c r="AG34" i="8" s="1"/>
  <c r="AF32" i="8"/>
  <c r="AF34" i="8" s="1"/>
  <c r="AE32" i="8"/>
  <c r="AE34" i="8" s="1"/>
  <c r="AD32" i="8"/>
  <c r="AD34" i="8" s="1"/>
  <c r="AC32" i="8"/>
  <c r="AC34" i="8" s="1"/>
  <c r="AB32" i="8"/>
  <c r="AB34" i="8" s="1"/>
  <c r="AA32" i="8"/>
  <c r="AA34" i="8" s="1"/>
  <c r="Z32" i="8"/>
  <c r="Z34" i="8" s="1"/>
  <c r="Y32" i="8"/>
  <c r="Y34" i="8" s="1"/>
  <c r="X32" i="8"/>
  <c r="X34" i="8" s="1"/>
  <c r="W32" i="8"/>
  <c r="W34" i="8" s="1"/>
  <c r="V32" i="8"/>
  <c r="V34" i="8" s="1"/>
  <c r="U32" i="8"/>
  <c r="U34" i="8" s="1"/>
  <c r="T32" i="8"/>
  <c r="T34" i="8" s="1"/>
  <c r="S32" i="8"/>
  <c r="S34" i="8" s="1"/>
  <c r="R32" i="8"/>
  <c r="R34" i="8" s="1"/>
  <c r="Q32" i="8"/>
  <c r="Q34" i="8" s="1"/>
  <c r="P32" i="8"/>
  <c r="P34" i="8" s="1"/>
  <c r="O32" i="8"/>
  <c r="O34" i="8" s="1"/>
  <c r="N32" i="8"/>
  <c r="N34" i="8" s="1"/>
  <c r="M32" i="8"/>
  <c r="M34" i="8" s="1"/>
  <c r="L32" i="8"/>
  <c r="L34" i="8" s="1"/>
  <c r="K32" i="8"/>
  <c r="K34" i="8" s="1"/>
  <c r="J32" i="8"/>
  <c r="J34" i="8" s="1"/>
  <c r="I32" i="8"/>
  <c r="I34" i="8" s="1"/>
  <c r="H32" i="8"/>
  <c r="H34" i="8" s="1"/>
  <c r="G32" i="8"/>
  <c r="G34" i="8" s="1"/>
  <c r="F32" i="8"/>
  <c r="F34" i="8" s="1"/>
  <c r="E32" i="8"/>
  <c r="E34" i="8" s="1"/>
  <c r="D32" i="8"/>
  <c r="D34" i="8" s="1"/>
  <c r="C32" i="8"/>
  <c r="CI26" i="8"/>
  <c r="CH26" i="8"/>
  <c r="CG26" i="8"/>
  <c r="CF26" i="8"/>
  <c r="CE26" i="8"/>
  <c r="CD26" i="8"/>
  <c r="CC26" i="8"/>
  <c r="CB26" i="8"/>
  <c r="CA26" i="8"/>
  <c r="BZ26" i="8"/>
  <c r="BY26" i="8"/>
  <c r="BX26" i="8"/>
  <c r="BW26" i="8"/>
  <c r="BV26" i="8"/>
  <c r="BU26" i="8"/>
  <c r="BT26" i="8"/>
  <c r="BS26" i="8"/>
  <c r="BR26" i="8"/>
  <c r="BQ26" i="8"/>
  <c r="BP26" i="8"/>
  <c r="BO26" i="8"/>
  <c r="BN26" i="8"/>
  <c r="BM26" i="8"/>
  <c r="BL26" i="8"/>
  <c r="BK26" i="8"/>
  <c r="BJ26" i="8"/>
  <c r="BI26" i="8"/>
  <c r="BH26" i="8"/>
  <c r="BG26" i="8"/>
  <c r="BF26" i="8"/>
  <c r="BE26" i="8"/>
  <c r="BD26" i="8"/>
  <c r="BC26" i="8"/>
  <c r="BB26" i="8"/>
  <c r="BA26" i="8"/>
  <c r="AZ26" i="8"/>
  <c r="AY26" i="8"/>
  <c r="AX26" i="8"/>
  <c r="AW26" i="8"/>
  <c r="AV26" i="8"/>
  <c r="AU26" i="8"/>
  <c r="AT26" i="8"/>
  <c r="AS26" i="8"/>
  <c r="AR26" i="8"/>
  <c r="AQ26" i="8"/>
  <c r="AP26" i="8"/>
  <c r="AO26" i="8"/>
  <c r="AN26" i="8"/>
  <c r="AM26" i="8"/>
  <c r="AL26" i="8"/>
  <c r="AK26" i="8"/>
  <c r="AJ26" i="8"/>
  <c r="AI26" i="8"/>
  <c r="AH26" i="8"/>
  <c r="AG26" i="8"/>
  <c r="AF26" i="8"/>
  <c r="AE26" i="8"/>
  <c r="AD26" i="8"/>
  <c r="AC26" i="8"/>
  <c r="AB26" i="8"/>
  <c r="AA26" i="8"/>
  <c r="Z26" i="8"/>
  <c r="Y26" i="8"/>
  <c r="X26" i="8"/>
  <c r="W26" i="8"/>
  <c r="V26" i="8"/>
  <c r="U26" i="8"/>
  <c r="T26" i="8"/>
  <c r="S26" i="8"/>
  <c r="R26" i="8"/>
  <c r="Q26" i="8"/>
  <c r="P26" i="8"/>
  <c r="O26" i="8"/>
  <c r="N26" i="8"/>
  <c r="M26" i="8"/>
  <c r="L26" i="8"/>
  <c r="K26" i="8"/>
  <c r="J26" i="8"/>
  <c r="I26" i="8"/>
  <c r="H26" i="8"/>
  <c r="G26" i="8"/>
  <c r="F26" i="8"/>
  <c r="E26" i="8"/>
  <c r="D26" i="8"/>
  <c r="CI24" i="8"/>
  <c r="CH24" i="8"/>
  <c r="CG24" i="8"/>
  <c r="CF24" i="8"/>
  <c r="CE24" i="8"/>
  <c r="CD24" i="8"/>
  <c r="CC24" i="8"/>
  <c r="CB24" i="8"/>
  <c r="CA24" i="8"/>
  <c r="BZ24" i="8"/>
  <c r="BY24" i="8"/>
  <c r="BX24" i="8"/>
  <c r="BW24" i="8"/>
  <c r="BV24" i="8"/>
  <c r="BU24" i="8"/>
  <c r="BT24" i="8"/>
  <c r="BS24" i="8"/>
  <c r="BR24" i="8"/>
  <c r="BQ24" i="8"/>
  <c r="BP24" i="8"/>
  <c r="BO24" i="8"/>
  <c r="BN24" i="8"/>
  <c r="BM24" i="8"/>
  <c r="BL24" i="8"/>
  <c r="BK24" i="8"/>
  <c r="BJ24" i="8"/>
  <c r="BI24" i="8"/>
  <c r="BH24" i="8"/>
  <c r="BG24" i="8"/>
  <c r="BF24" i="8"/>
  <c r="BE24" i="8"/>
  <c r="BD24" i="8"/>
  <c r="BC24" i="8"/>
  <c r="BB24" i="8"/>
  <c r="BA24" i="8"/>
  <c r="AZ24" i="8"/>
  <c r="AY24" i="8"/>
  <c r="AX24" i="8"/>
  <c r="AW24" i="8"/>
  <c r="AV24" i="8"/>
  <c r="AU24" i="8"/>
  <c r="AT24" i="8"/>
  <c r="AS24" i="8"/>
  <c r="AR24" i="8"/>
  <c r="AQ24" i="8"/>
  <c r="AP24" i="8"/>
  <c r="AO24" i="8"/>
  <c r="AN24" i="8"/>
  <c r="AM24" i="8"/>
  <c r="AL24" i="8"/>
  <c r="AK24" i="8"/>
  <c r="AJ24" i="8"/>
  <c r="AI24" i="8"/>
  <c r="AH24" i="8"/>
  <c r="AG24" i="8"/>
  <c r="AF24" i="8"/>
  <c r="AE24" i="8"/>
  <c r="AD24" i="8"/>
  <c r="AC24" i="8"/>
  <c r="AB24" i="8"/>
  <c r="AA24" i="8"/>
  <c r="Z24" i="8"/>
  <c r="Y24" i="8"/>
  <c r="X24" i="8"/>
  <c r="W24" i="8"/>
  <c r="V24" i="8"/>
  <c r="U24" i="8"/>
  <c r="T24" i="8"/>
  <c r="S24" i="8"/>
  <c r="R24" i="8"/>
  <c r="Q24" i="8"/>
  <c r="P24" i="8"/>
  <c r="O24" i="8"/>
  <c r="N24" i="8"/>
  <c r="M24" i="8"/>
  <c r="L24" i="8"/>
  <c r="K24" i="8"/>
  <c r="J24" i="8"/>
  <c r="I24" i="8"/>
  <c r="H24" i="8"/>
  <c r="G24" i="8"/>
  <c r="F24" i="8"/>
  <c r="E24" i="8"/>
  <c r="D24" i="8"/>
  <c r="CI22" i="8"/>
  <c r="CH22" i="8"/>
  <c r="CG22" i="8"/>
  <c r="CF22" i="8"/>
  <c r="CE22" i="8"/>
  <c r="CD22" i="8"/>
  <c r="CC22" i="8"/>
  <c r="CB22" i="8"/>
  <c r="CA22" i="8"/>
  <c r="BZ22" i="8"/>
  <c r="BY22" i="8"/>
  <c r="BX22" i="8"/>
  <c r="BW22" i="8"/>
  <c r="BV22" i="8"/>
  <c r="BU22" i="8"/>
  <c r="BT22" i="8"/>
  <c r="BS22" i="8"/>
  <c r="BR22" i="8"/>
  <c r="BQ22" i="8"/>
  <c r="BP22" i="8"/>
  <c r="BO22" i="8"/>
  <c r="BN22" i="8"/>
  <c r="BM22" i="8"/>
  <c r="BL22" i="8"/>
  <c r="BK22" i="8"/>
  <c r="BJ22" i="8"/>
  <c r="BI22" i="8"/>
  <c r="BH22" i="8"/>
  <c r="BG22" i="8"/>
  <c r="BF22" i="8"/>
  <c r="BE22" i="8"/>
  <c r="BD22" i="8"/>
  <c r="BC22" i="8"/>
  <c r="BB22" i="8"/>
  <c r="BA22" i="8"/>
  <c r="AZ22" i="8"/>
  <c r="AY22" i="8"/>
  <c r="AX22" i="8"/>
  <c r="AW22" i="8"/>
  <c r="AV22" i="8"/>
  <c r="AU22" i="8"/>
  <c r="AT22" i="8"/>
  <c r="AS22" i="8"/>
  <c r="AR22" i="8"/>
  <c r="AQ22" i="8"/>
  <c r="AP22" i="8"/>
  <c r="AO22" i="8"/>
  <c r="AN22" i="8"/>
  <c r="AM22" i="8"/>
  <c r="AL22" i="8"/>
  <c r="AK22" i="8"/>
  <c r="AJ22" i="8"/>
  <c r="AI22" i="8"/>
  <c r="AH22" i="8"/>
  <c r="AG22" i="8"/>
  <c r="AF22" i="8"/>
  <c r="AE22" i="8"/>
  <c r="AD22" i="8"/>
  <c r="AC22" i="8"/>
  <c r="AB22" i="8"/>
  <c r="AA22" i="8"/>
  <c r="Z22" i="8"/>
  <c r="Y22" i="8"/>
  <c r="X22" i="8"/>
  <c r="W22" i="8"/>
  <c r="V22" i="8"/>
  <c r="U22" i="8"/>
  <c r="T22" i="8"/>
  <c r="S22" i="8"/>
  <c r="R22" i="8"/>
  <c r="Q22" i="8"/>
  <c r="P22" i="8"/>
  <c r="O22" i="8"/>
  <c r="N22" i="8"/>
  <c r="M22" i="8"/>
  <c r="L22" i="8"/>
  <c r="K22" i="8"/>
  <c r="J22" i="8"/>
  <c r="I22" i="8"/>
  <c r="H22" i="8"/>
  <c r="G22" i="8"/>
  <c r="F22" i="8"/>
  <c r="E22" i="8"/>
  <c r="D22" i="8"/>
  <c r="CI21" i="8"/>
  <c r="CH21" i="8"/>
  <c r="CG21" i="8"/>
  <c r="CF21" i="8"/>
  <c r="CE21" i="8"/>
  <c r="CD21" i="8"/>
  <c r="CC21" i="8"/>
  <c r="CB21" i="8"/>
  <c r="CA21" i="8"/>
  <c r="BZ21" i="8"/>
  <c r="BY21" i="8"/>
  <c r="BX21" i="8"/>
  <c r="BW21" i="8"/>
  <c r="BV21" i="8"/>
  <c r="BU21" i="8"/>
  <c r="BT21" i="8"/>
  <c r="BS21" i="8"/>
  <c r="BR21" i="8"/>
  <c r="BQ21" i="8"/>
  <c r="BP21" i="8"/>
  <c r="BO21" i="8"/>
  <c r="BN21" i="8"/>
  <c r="BM21" i="8"/>
  <c r="BL21" i="8"/>
  <c r="BK21" i="8"/>
  <c r="BJ21" i="8"/>
  <c r="BI21" i="8"/>
  <c r="BH21" i="8"/>
  <c r="BG21" i="8"/>
  <c r="BF21" i="8"/>
  <c r="BE21" i="8"/>
  <c r="BD21" i="8"/>
  <c r="BC21" i="8"/>
  <c r="BB21" i="8"/>
  <c r="BA21" i="8"/>
  <c r="AZ21" i="8"/>
  <c r="AY21" i="8"/>
  <c r="AX21" i="8"/>
  <c r="AW21" i="8"/>
  <c r="AV21" i="8"/>
  <c r="AU21" i="8"/>
  <c r="AT21" i="8"/>
  <c r="AS21" i="8"/>
  <c r="AR21" i="8"/>
  <c r="AQ21" i="8"/>
  <c r="AP21" i="8"/>
  <c r="AO21" i="8"/>
  <c r="AN21" i="8"/>
  <c r="AM21" i="8"/>
  <c r="AL21" i="8"/>
  <c r="AK21" i="8"/>
  <c r="AJ21" i="8"/>
  <c r="AI21" i="8"/>
  <c r="AH21" i="8"/>
  <c r="AG21" i="8"/>
  <c r="AF21" i="8"/>
  <c r="AE21" i="8"/>
  <c r="AD21" i="8"/>
  <c r="AC21" i="8"/>
  <c r="AB21" i="8"/>
  <c r="AA21" i="8"/>
  <c r="Z21" i="8"/>
  <c r="Y21" i="8"/>
  <c r="X21" i="8"/>
  <c r="W21" i="8"/>
  <c r="V21" i="8"/>
  <c r="U21" i="8"/>
  <c r="T21" i="8"/>
  <c r="S21" i="8"/>
  <c r="R21" i="8"/>
  <c r="Q21" i="8"/>
  <c r="P21" i="8"/>
  <c r="O21" i="8"/>
  <c r="N21" i="8"/>
  <c r="M21" i="8"/>
  <c r="L21" i="8"/>
  <c r="K21" i="8"/>
  <c r="J21" i="8"/>
  <c r="I21" i="8"/>
  <c r="H21" i="8"/>
  <c r="G21" i="8"/>
  <c r="F21" i="8"/>
  <c r="E21" i="8"/>
  <c r="D21" i="8"/>
  <c r="C21" i="8"/>
  <c r="CI15" i="8"/>
  <c r="CH15" i="8"/>
  <c r="CG15" i="8"/>
  <c r="CF15" i="8"/>
  <c r="CE15" i="8"/>
  <c r="CD15" i="8"/>
  <c r="CC15" i="8"/>
  <c r="CB15" i="8"/>
  <c r="CA15" i="8"/>
  <c r="BZ15" i="8"/>
  <c r="BY15" i="8"/>
  <c r="BX15" i="8"/>
  <c r="BW15" i="8"/>
  <c r="BV15" i="8"/>
  <c r="BU15" i="8"/>
  <c r="BT15" i="8"/>
  <c r="BS15" i="8"/>
  <c r="BR15" i="8"/>
  <c r="BQ15" i="8"/>
  <c r="BP15" i="8"/>
  <c r="BO15" i="8"/>
  <c r="BN15" i="8"/>
  <c r="BM15" i="8"/>
  <c r="BL15" i="8"/>
  <c r="BK15" i="8"/>
  <c r="BJ15" i="8"/>
  <c r="BI15" i="8"/>
  <c r="BH15" i="8"/>
  <c r="BG15" i="8"/>
  <c r="BF15" i="8"/>
  <c r="BE15" i="8"/>
  <c r="BD15" i="8"/>
  <c r="BC15" i="8"/>
  <c r="BB15" i="8"/>
  <c r="BA15" i="8"/>
  <c r="AZ15" i="8"/>
  <c r="AY15" i="8"/>
  <c r="AX15" i="8"/>
  <c r="AW15" i="8"/>
  <c r="AV15" i="8"/>
  <c r="AU15" i="8"/>
  <c r="AT15" i="8"/>
  <c r="AS15" i="8"/>
  <c r="AR15" i="8"/>
  <c r="AQ15" i="8"/>
  <c r="AP15" i="8"/>
  <c r="AO15" i="8"/>
  <c r="AN15" i="8"/>
  <c r="AM15" i="8"/>
  <c r="AL15" i="8"/>
  <c r="AK15" i="8"/>
  <c r="AJ15" i="8"/>
  <c r="AI15" i="8"/>
  <c r="AH15" i="8"/>
  <c r="AG15" i="8"/>
  <c r="AF15" i="8"/>
  <c r="AE15" i="8"/>
  <c r="AD15" i="8"/>
  <c r="AC15" i="8"/>
  <c r="AB15" i="8"/>
  <c r="AA15" i="8"/>
  <c r="Z15" i="8"/>
  <c r="Y15" i="8"/>
  <c r="X15" i="8"/>
  <c r="W15" i="8"/>
  <c r="V15" i="8"/>
  <c r="U15" i="8"/>
  <c r="T15" i="8"/>
  <c r="S15" i="8"/>
  <c r="R15" i="8"/>
  <c r="Q15" i="8"/>
  <c r="P15" i="8"/>
  <c r="O15" i="8"/>
  <c r="N15" i="8"/>
  <c r="M15" i="8"/>
  <c r="L15" i="8"/>
  <c r="K15" i="8"/>
  <c r="J15" i="8"/>
  <c r="I15" i="8"/>
  <c r="H15" i="8"/>
  <c r="G15" i="8"/>
  <c r="F15" i="8"/>
  <c r="E15" i="8"/>
  <c r="D15" i="8"/>
  <c r="CI13" i="8"/>
  <c r="CH13" i="8"/>
  <c r="CG13" i="8"/>
  <c r="CF13" i="8"/>
  <c r="CE13" i="8"/>
  <c r="CD13" i="8"/>
  <c r="CC13" i="8"/>
  <c r="CB13" i="8"/>
  <c r="CA13" i="8"/>
  <c r="BZ13" i="8"/>
  <c r="BY13" i="8"/>
  <c r="BX13" i="8"/>
  <c r="BW13" i="8"/>
  <c r="BV13" i="8"/>
  <c r="BU13" i="8"/>
  <c r="BT13" i="8"/>
  <c r="BS13" i="8"/>
  <c r="BR13" i="8"/>
  <c r="BQ13" i="8"/>
  <c r="BP13" i="8"/>
  <c r="BO13" i="8"/>
  <c r="BN13" i="8"/>
  <c r="BM13" i="8"/>
  <c r="BL13" i="8"/>
  <c r="BK13" i="8"/>
  <c r="BJ13" i="8"/>
  <c r="BI13" i="8"/>
  <c r="BH13" i="8"/>
  <c r="BG13" i="8"/>
  <c r="BF13" i="8"/>
  <c r="BE13" i="8"/>
  <c r="BD13" i="8"/>
  <c r="BC13" i="8"/>
  <c r="BB13" i="8"/>
  <c r="BA13" i="8"/>
  <c r="AZ13" i="8"/>
  <c r="AY13" i="8"/>
  <c r="AX13" i="8"/>
  <c r="AW13" i="8"/>
  <c r="AV13" i="8"/>
  <c r="AU13" i="8"/>
  <c r="AT13" i="8"/>
  <c r="AS13" i="8"/>
  <c r="AR13" i="8"/>
  <c r="AQ13" i="8"/>
  <c r="AP13" i="8"/>
  <c r="AO13" i="8"/>
  <c r="AN13" i="8"/>
  <c r="AM13" i="8"/>
  <c r="AL13" i="8"/>
  <c r="AK13" i="8"/>
  <c r="AJ13" i="8"/>
  <c r="AI13" i="8"/>
  <c r="AH13" i="8"/>
  <c r="AG13" i="8"/>
  <c r="AF13" i="8"/>
  <c r="AE13" i="8"/>
  <c r="AD13" i="8"/>
  <c r="AC13" i="8"/>
  <c r="AB13" i="8"/>
  <c r="AA13" i="8"/>
  <c r="Z13" i="8"/>
  <c r="Y13" i="8"/>
  <c r="X13" i="8"/>
  <c r="W13" i="8"/>
  <c r="V13" i="8"/>
  <c r="U13" i="8"/>
  <c r="T13" i="8"/>
  <c r="S13" i="8"/>
  <c r="R13" i="8"/>
  <c r="Q13" i="8"/>
  <c r="P13" i="8"/>
  <c r="O13" i="8"/>
  <c r="N13" i="8"/>
  <c r="M13" i="8"/>
  <c r="L13" i="8"/>
  <c r="K13" i="8"/>
  <c r="J13" i="8"/>
  <c r="I13" i="8"/>
  <c r="H13" i="8"/>
  <c r="G13" i="8"/>
  <c r="F13" i="8"/>
  <c r="E13" i="8"/>
  <c r="D13" i="8"/>
  <c r="CI11" i="8"/>
  <c r="CH11" i="8"/>
  <c r="CG11" i="8"/>
  <c r="CF11" i="8"/>
  <c r="CE11" i="8"/>
  <c r="CD11" i="8"/>
  <c r="CC11" i="8"/>
  <c r="CB11" i="8"/>
  <c r="CA11" i="8"/>
  <c r="BZ11" i="8"/>
  <c r="BY11" i="8"/>
  <c r="BX11" i="8"/>
  <c r="BW11" i="8"/>
  <c r="BV11" i="8"/>
  <c r="BU11" i="8"/>
  <c r="BT11" i="8"/>
  <c r="BS11" i="8"/>
  <c r="BR11" i="8"/>
  <c r="BQ11" i="8"/>
  <c r="BP11" i="8"/>
  <c r="BO11" i="8"/>
  <c r="BN11" i="8"/>
  <c r="BM11" i="8"/>
  <c r="BL11" i="8"/>
  <c r="BK11" i="8"/>
  <c r="BJ11" i="8"/>
  <c r="BI11" i="8"/>
  <c r="BH11" i="8"/>
  <c r="BG11" i="8"/>
  <c r="BF11" i="8"/>
  <c r="BE11" i="8"/>
  <c r="BD11" i="8"/>
  <c r="BC11" i="8"/>
  <c r="BB11" i="8"/>
  <c r="BA11" i="8"/>
  <c r="AZ11" i="8"/>
  <c r="AY11" i="8"/>
  <c r="AX11" i="8"/>
  <c r="AW11" i="8"/>
  <c r="AV11" i="8"/>
  <c r="AU11" i="8"/>
  <c r="AT11" i="8"/>
  <c r="AS11" i="8"/>
  <c r="AR11" i="8"/>
  <c r="AQ11" i="8"/>
  <c r="AP11" i="8"/>
  <c r="AO11" i="8"/>
  <c r="AN11" i="8"/>
  <c r="AM11" i="8"/>
  <c r="AL11" i="8"/>
  <c r="AK11" i="8"/>
  <c r="AJ11" i="8"/>
  <c r="AI11" i="8"/>
  <c r="AH11" i="8"/>
  <c r="AG11" i="8"/>
  <c r="AF11" i="8"/>
  <c r="AE11" i="8"/>
  <c r="AD11" i="8"/>
  <c r="AC11" i="8"/>
  <c r="AB11" i="8"/>
  <c r="AA11" i="8"/>
  <c r="Z11" i="8"/>
  <c r="Y11" i="8"/>
  <c r="X11" i="8"/>
  <c r="W11" i="8"/>
  <c r="V11" i="8"/>
  <c r="U11" i="8"/>
  <c r="T11" i="8"/>
  <c r="S11" i="8"/>
  <c r="R11" i="8"/>
  <c r="Q11" i="8"/>
  <c r="P11" i="8"/>
  <c r="O11" i="8"/>
  <c r="N11" i="8"/>
  <c r="M11" i="8"/>
  <c r="L11" i="8"/>
  <c r="K11" i="8"/>
  <c r="J11" i="8"/>
  <c r="I11" i="8"/>
  <c r="H11" i="8"/>
  <c r="G11" i="8"/>
  <c r="F11" i="8"/>
  <c r="E11" i="8"/>
  <c r="D11" i="8"/>
  <c r="CI10" i="8"/>
  <c r="CH10" i="8"/>
  <c r="CG10" i="8"/>
  <c r="CF10" i="8"/>
  <c r="CE10" i="8"/>
  <c r="CD10" i="8"/>
  <c r="CC10" i="8"/>
  <c r="CB10" i="8"/>
  <c r="CA10" i="8"/>
  <c r="BZ10" i="8"/>
  <c r="BY10" i="8"/>
  <c r="BX10" i="8"/>
  <c r="BW10" i="8"/>
  <c r="BV10" i="8"/>
  <c r="BU10" i="8"/>
  <c r="BT10" i="8"/>
  <c r="BS10" i="8"/>
  <c r="BR10" i="8"/>
  <c r="BQ10" i="8"/>
  <c r="BP10" i="8"/>
  <c r="BO10" i="8"/>
  <c r="BN10" i="8"/>
  <c r="BM10" i="8"/>
  <c r="BL10" i="8"/>
  <c r="BK10" i="8"/>
  <c r="BJ10" i="8"/>
  <c r="BI10" i="8"/>
  <c r="BH10" i="8"/>
  <c r="BG10" i="8"/>
  <c r="BF10" i="8"/>
  <c r="BE10" i="8"/>
  <c r="BD10" i="8"/>
  <c r="BC10" i="8"/>
  <c r="BB10" i="8"/>
  <c r="BA10" i="8"/>
  <c r="AZ10" i="8"/>
  <c r="AY10" i="8"/>
  <c r="AX10" i="8"/>
  <c r="AW10" i="8"/>
  <c r="AV10" i="8"/>
  <c r="AU10" i="8"/>
  <c r="AT10" i="8"/>
  <c r="AS10" i="8"/>
  <c r="AR10" i="8"/>
  <c r="AQ10" i="8"/>
  <c r="AP10" i="8"/>
  <c r="AO10" i="8"/>
  <c r="AN10" i="8"/>
  <c r="AM10" i="8"/>
  <c r="AL10" i="8"/>
  <c r="AK10" i="8"/>
  <c r="AJ10" i="8"/>
  <c r="AI10" i="8"/>
  <c r="AH10" i="8"/>
  <c r="AG10" i="8"/>
  <c r="AF10" i="8"/>
  <c r="AE10" i="8"/>
  <c r="AD10" i="8"/>
  <c r="AC10" i="8"/>
  <c r="AB10" i="8"/>
  <c r="AA10" i="8"/>
  <c r="Z10" i="8"/>
  <c r="Y10" i="8"/>
  <c r="X10" i="8"/>
  <c r="W10" i="8"/>
  <c r="V10" i="8"/>
  <c r="U10" i="8"/>
  <c r="T10" i="8"/>
  <c r="S10" i="8"/>
  <c r="R10" i="8"/>
  <c r="Q10" i="8"/>
  <c r="P10" i="8"/>
  <c r="O10" i="8"/>
  <c r="N10" i="8"/>
  <c r="M10" i="8"/>
  <c r="L10" i="8"/>
  <c r="K10" i="8"/>
  <c r="J10" i="8"/>
  <c r="I10" i="8"/>
  <c r="H10" i="8"/>
  <c r="G10" i="8"/>
  <c r="F10" i="8"/>
  <c r="E10" i="8"/>
  <c r="D10" i="8"/>
  <c r="C10" i="8"/>
  <c r="C8" i="8"/>
  <c r="D6" i="8"/>
  <c r="B6" i="8"/>
  <c r="D5" i="8"/>
  <c r="B5" i="8"/>
  <c r="B3" i="8"/>
  <c r="D2" i="8"/>
  <c r="B5" i="7"/>
  <c r="CI35" i="6"/>
  <c r="CH35" i="6"/>
  <c r="CG35" i="6"/>
  <c r="CF35" i="6"/>
  <c r="CE35" i="6"/>
  <c r="CD35" i="6"/>
  <c r="CC35" i="6"/>
  <c r="CB35" i="6"/>
  <c r="CA35" i="6"/>
  <c r="BZ35" i="6"/>
  <c r="BY35" i="6"/>
  <c r="BX35" i="6"/>
  <c r="BW35" i="6"/>
  <c r="BV35" i="6"/>
  <c r="BU35" i="6"/>
  <c r="BT35" i="6"/>
  <c r="BS35" i="6"/>
  <c r="BR35" i="6"/>
  <c r="BQ35" i="6"/>
  <c r="BP35" i="6"/>
  <c r="BO35" i="6"/>
  <c r="BN35" i="6"/>
  <c r="BM35" i="6"/>
  <c r="BL35" i="6"/>
  <c r="BK35" i="6"/>
  <c r="BJ35" i="6"/>
  <c r="BI35" i="6"/>
  <c r="BH35" i="6"/>
  <c r="BG35" i="6"/>
  <c r="BF35" i="6"/>
  <c r="BE35" i="6"/>
  <c r="BD35" i="6"/>
  <c r="BC35" i="6"/>
  <c r="BB35" i="6"/>
  <c r="BA35" i="6"/>
  <c r="AZ35" i="6"/>
  <c r="AY35" i="6"/>
  <c r="AX35" i="6"/>
  <c r="AW35" i="6"/>
  <c r="AV35" i="6"/>
  <c r="AU35" i="6"/>
  <c r="AT35" i="6"/>
  <c r="AS35" i="6"/>
  <c r="AR35" i="6"/>
  <c r="AQ35" i="6"/>
  <c r="AP35" i="6"/>
  <c r="AO35" i="6"/>
  <c r="AN35" i="6"/>
  <c r="AM35" i="6"/>
  <c r="L168" i="18" s="1"/>
  <c r="AL35" i="6"/>
  <c r="L167" i="18" s="1"/>
  <c r="AK35" i="6"/>
  <c r="L166" i="18" s="1"/>
  <c r="AJ35" i="6"/>
  <c r="L165" i="18" s="1"/>
  <c r="AI35" i="6"/>
  <c r="L164" i="18" s="1"/>
  <c r="AH35" i="6"/>
  <c r="L163" i="18" s="1"/>
  <c r="AG35" i="6"/>
  <c r="L162" i="18" s="1"/>
  <c r="AF35" i="6"/>
  <c r="L161" i="18" s="1"/>
  <c r="AE35" i="6"/>
  <c r="L160" i="18" s="1"/>
  <c r="AD35" i="6"/>
  <c r="L159" i="18" s="1"/>
  <c r="AC35" i="6"/>
  <c r="L158" i="18" s="1"/>
  <c r="AB35" i="6"/>
  <c r="L157" i="18" s="1"/>
  <c r="AA35" i="6"/>
  <c r="L156" i="18" s="1"/>
  <c r="Z35" i="6"/>
  <c r="L155" i="18" s="1"/>
  <c r="Y35" i="6"/>
  <c r="L154" i="18" s="1"/>
  <c r="X35" i="6"/>
  <c r="L153" i="18" s="1"/>
  <c r="W35" i="6"/>
  <c r="L152" i="18" s="1"/>
  <c r="V35" i="6"/>
  <c r="L151" i="18" s="1"/>
  <c r="U35" i="6"/>
  <c r="L150" i="18" s="1"/>
  <c r="T35" i="6"/>
  <c r="L149" i="18" s="1"/>
  <c r="S35" i="6"/>
  <c r="L148" i="18" s="1"/>
  <c r="R35" i="6"/>
  <c r="L147" i="18" s="1"/>
  <c r="Q35" i="6"/>
  <c r="L146" i="18" s="1"/>
  <c r="P35" i="6"/>
  <c r="L145" i="18" s="1"/>
  <c r="O35" i="6"/>
  <c r="L144" i="18" s="1"/>
  <c r="N35" i="6"/>
  <c r="L143" i="18" s="1"/>
  <c r="M35" i="6"/>
  <c r="L142" i="18" s="1"/>
  <c r="L35" i="6"/>
  <c r="L141" i="18" s="1"/>
  <c r="K35" i="6"/>
  <c r="L140" i="18" s="1"/>
  <c r="J35" i="6"/>
  <c r="L139" i="18" s="1"/>
  <c r="I35" i="6"/>
  <c r="L138" i="18" s="1"/>
  <c r="H35" i="6"/>
  <c r="L137" i="18" s="1"/>
  <c r="G35" i="6"/>
  <c r="L136" i="18" s="1"/>
  <c r="F35" i="6"/>
  <c r="L135" i="18" s="1"/>
  <c r="E35" i="6"/>
  <c r="L134" i="18" s="1"/>
  <c r="D35" i="6"/>
  <c r="L133" i="18" s="1"/>
  <c r="B5" i="6"/>
  <c r="CI87" i="5"/>
  <c r="CH87" i="5"/>
  <c r="CG87" i="5"/>
  <c r="CF87" i="5"/>
  <c r="CE87" i="5"/>
  <c r="CD87" i="5"/>
  <c r="CC87" i="5"/>
  <c r="CB87" i="5"/>
  <c r="CA87" i="5"/>
  <c r="BZ87" i="5"/>
  <c r="BY87" i="5"/>
  <c r="BX87" i="5"/>
  <c r="BW87" i="5"/>
  <c r="BV87" i="5"/>
  <c r="BU87" i="5"/>
  <c r="BT87" i="5"/>
  <c r="BS87" i="5"/>
  <c r="BR87" i="5"/>
  <c r="BQ87" i="5"/>
  <c r="BP87" i="5"/>
  <c r="BO87" i="5"/>
  <c r="BN87" i="5"/>
  <c r="BM87" i="5"/>
  <c r="BL87" i="5"/>
  <c r="BK87" i="5"/>
  <c r="BJ87" i="5"/>
  <c r="BI87" i="5"/>
  <c r="BH87" i="5"/>
  <c r="BG87" i="5"/>
  <c r="BF87" i="5"/>
  <c r="BE87" i="5"/>
  <c r="BD87" i="5"/>
  <c r="BC87" i="5"/>
  <c r="BB87" i="5"/>
  <c r="BA87" i="5"/>
  <c r="AZ87" i="5"/>
  <c r="AY87" i="5"/>
  <c r="AX87" i="5"/>
  <c r="AW87" i="5"/>
  <c r="AV87" i="5"/>
  <c r="AU87" i="5"/>
  <c r="AT87" i="5"/>
  <c r="AS87" i="5"/>
  <c r="AR87" i="5"/>
  <c r="AQ87" i="5"/>
  <c r="AP87" i="5"/>
  <c r="AO87" i="5"/>
  <c r="AN87" i="5"/>
  <c r="AM87" i="5"/>
  <c r="AL87" i="5"/>
  <c r="AK87" i="5"/>
  <c r="AJ87" i="5"/>
  <c r="AI87" i="5"/>
  <c r="AH87" i="5"/>
  <c r="AG87" i="5"/>
  <c r="AF87" i="5"/>
  <c r="AE87" i="5"/>
  <c r="AD87" i="5"/>
  <c r="AC87" i="5"/>
  <c r="AB87" i="5"/>
  <c r="AA87" i="5"/>
  <c r="Z87" i="5"/>
  <c r="Y87" i="5"/>
  <c r="X87" i="5"/>
  <c r="W87" i="5"/>
  <c r="V87" i="5"/>
  <c r="U87" i="5"/>
  <c r="T87" i="5"/>
  <c r="S87" i="5"/>
  <c r="R87" i="5"/>
  <c r="Q87" i="5"/>
  <c r="P87" i="5"/>
  <c r="O87" i="5"/>
  <c r="N87" i="5"/>
  <c r="M87" i="5"/>
  <c r="L87" i="5"/>
  <c r="K87" i="5"/>
  <c r="J87" i="5"/>
  <c r="I87" i="5"/>
  <c r="H87" i="5"/>
  <c r="G87" i="5"/>
  <c r="F87" i="5"/>
  <c r="E87" i="5"/>
  <c r="D87" i="5"/>
  <c r="CI85" i="5"/>
  <c r="CH85" i="5"/>
  <c r="CG85" i="5"/>
  <c r="CF85" i="5"/>
  <c r="CE85" i="5"/>
  <c r="CD85" i="5"/>
  <c r="CC85" i="5"/>
  <c r="CB85" i="5"/>
  <c r="CA85" i="5"/>
  <c r="BZ85" i="5"/>
  <c r="BY85" i="5"/>
  <c r="BX85" i="5"/>
  <c r="BW85" i="5"/>
  <c r="BV85" i="5"/>
  <c r="BU85" i="5"/>
  <c r="BT85" i="5"/>
  <c r="BS85" i="5"/>
  <c r="BR85" i="5"/>
  <c r="BQ85" i="5"/>
  <c r="BP85" i="5"/>
  <c r="BO85" i="5"/>
  <c r="BN85" i="5"/>
  <c r="BM85" i="5"/>
  <c r="BL85" i="5"/>
  <c r="BK85" i="5"/>
  <c r="BJ85" i="5"/>
  <c r="BI85" i="5"/>
  <c r="BH85" i="5"/>
  <c r="BG85" i="5"/>
  <c r="BF85" i="5"/>
  <c r="BE85" i="5"/>
  <c r="BD85" i="5"/>
  <c r="BC85" i="5"/>
  <c r="BB85" i="5"/>
  <c r="BA85" i="5"/>
  <c r="AZ85" i="5"/>
  <c r="AY85" i="5"/>
  <c r="AX85" i="5"/>
  <c r="AW85" i="5"/>
  <c r="AV85" i="5"/>
  <c r="AU85" i="5"/>
  <c r="AT85" i="5"/>
  <c r="AS85" i="5"/>
  <c r="AR85" i="5"/>
  <c r="AQ85" i="5"/>
  <c r="AP85" i="5"/>
  <c r="AO85" i="5"/>
  <c r="AN85" i="5"/>
  <c r="AM85" i="5"/>
  <c r="AL85" i="5"/>
  <c r="AK85" i="5"/>
  <c r="AJ85" i="5"/>
  <c r="AI85" i="5"/>
  <c r="AH85" i="5"/>
  <c r="AG85" i="5"/>
  <c r="AF85" i="5"/>
  <c r="AE85" i="5"/>
  <c r="AD85" i="5"/>
  <c r="AC85" i="5"/>
  <c r="AB85" i="5"/>
  <c r="AA85" i="5"/>
  <c r="Z85" i="5"/>
  <c r="Y85" i="5"/>
  <c r="X85" i="5"/>
  <c r="W85" i="5"/>
  <c r="V85" i="5"/>
  <c r="U85" i="5"/>
  <c r="T85" i="5"/>
  <c r="S85" i="5"/>
  <c r="R85" i="5"/>
  <c r="Q85" i="5"/>
  <c r="P85" i="5"/>
  <c r="O85" i="5"/>
  <c r="N85" i="5"/>
  <c r="M85" i="5"/>
  <c r="L85" i="5"/>
  <c r="K85" i="5"/>
  <c r="J85" i="5"/>
  <c r="I85" i="5"/>
  <c r="H85" i="5"/>
  <c r="G85" i="5"/>
  <c r="F85" i="5"/>
  <c r="E85" i="5"/>
  <c r="D85" i="5"/>
  <c r="C12" i="4" s="1"/>
  <c r="CI82" i="5"/>
  <c r="CH82" i="5"/>
  <c r="CG82" i="5"/>
  <c r="CF82" i="5"/>
  <c r="CE82" i="5"/>
  <c r="CD82" i="5"/>
  <c r="CC82" i="5"/>
  <c r="CB82" i="5"/>
  <c r="CA82" i="5"/>
  <c r="BZ82" i="5"/>
  <c r="BY82" i="5"/>
  <c r="BX82" i="5"/>
  <c r="BW82" i="5"/>
  <c r="BV82" i="5"/>
  <c r="BU82" i="5"/>
  <c r="BT82" i="5"/>
  <c r="BS82" i="5"/>
  <c r="BR82" i="5"/>
  <c r="BQ82" i="5"/>
  <c r="BP82" i="5"/>
  <c r="BO82" i="5"/>
  <c r="BN82" i="5"/>
  <c r="BM82" i="5"/>
  <c r="BL82" i="5"/>
  <c r="BK82" i="5"/>
  <c r="BJ82" i="5"/>
  <c r="BI82" i="5"/>
  <c r="BH82" i="5"/>
  <c r="BG82" i="5"/>
  <c r="BF82" i="5"/>
  <c r="BE82" i="5"/>
  <c r="BD82" i="5"/>
  <c r="BC82" i="5"/>
  <c r="BB82" i="5"/>
  <c r="BA82" i="5"/>
  <c r="AZ82" i="5"/>
  <c r="AY82" i="5"/>
  <c r="AX82" i="5"/>
  <c r="AW82" i="5"/>
  <c r="AV82" i="5"/>
  <c r="AU82" i="5"/>
  <c r="AT82" i="5"/>
  <c r="AS82" i="5"/>
  <c r="AR82" i="5"/>
  <c r="AQ82" i="5"/>
  <c r="AP82" i="5"/>
  <c r="AO82" i="5"/>
  <c r="AN82" i="5"/>
  <c r="AM82" i="5"/>
  <c r="AL82" i="5"/>
  <c r="AK82" i="5"/>
  <c r="AJ82" i="5"/>
  <c r="AI82" i="5"/>
  <c r="AH82" i="5"/>
  <c r="AG82" i="5"/>
  <c r="AF82" i="5"/>
  <c r="AE82" i="5"/>
  <c r="AD82" i="5"/>
  <c r="AC82" i="5"/>
  <c r="AB82" i="5"/>
  <c r="AA82" i="5"/>
  <c r="Z82" i="5"/>
  <c r="Y82" i="5"/>
  <c r="X82" i="5"/>
  <c r="W82" i="5"/>
  <c r="V82" i="5"/>
  <c r="U82" i="5"/>
  <c r="T82" i="5"/>
  <c r="S82" i="5"/>
  <c r="R82" i="5"/>
  <c r="Q82" i="5"/>
  <c r="P82" i="5"/>
  <c r="O82" i="5"/>
  <c r="N82" i="5"/>
  <c r="M82" i="5"/>
  <c r="L82" i="5"/>
  <c r="K82" i="5"/>
  <c r="J82" i="5"/>
  <c r="I82" i="5"/>
  <c r="H82" i="5"/>
  <c r="G82" i="5"/>
  <c r="F82" i="5"/>
  <c r="E82" i="5"/>
  <c r="D82" i="5"/>
  <c r="C10" i="4" s="1"/>
  <c r="CI80" i="5"/>
  <c r="CI17" i="6" s="1"/>
  <c r="CH80" i="5"/>
  <c r="CH17" i="6" s="1"/>
  <c r="CG80" i="5"/>
  <c r="CG17" i="6" s="1"/>
  <c r="CF80" i="5"/>
  <c r="CF17" i="6" s="1"/>
  <c r="CE80" i="5"/>
  <c r="CE17" i="6" s="1"/>
  <c r="CD80" i="5"/>
  <c r="CD17" i="6" s="1"/>
  <c r="CC80" i="5"/>
  <c r="CC17" i="6" s="1"/>
  <c r="CB80" i="5"/>
  <c r="CB17" i="6" s="1"/>
  <c r="CA80" i="5"/>
  <c r="CA17" i="6" s="1"/>
  <c r="BZ80" i="5"/>
  <c r="BZ17" i="6" s="1"/>
  <c r="BY80" i="5"/>
  <c r="BY17" i="6" s="1"/>
  <c r="BX80" i="5"/>
  <c r="BX17" i="6" s="1"/>
  <c r="BW80" i="5"/>
  <c r="BW17" i="6" s="1"/>
  <c r="BV80" i="5"/>
  <c r="BV17" i="6" s="1"/>
  <c r="BU80" i="5"/>
  <c r="BU17" i="6" s="1"/>
  <c r="BT80" i="5"/>
  <c r="BT17" i="6" s="1"/>
  <c r="BS80" i="5"/>
  <c r="BS17" i="6" s="1"/>
  <c r="BR80" i="5"/>
  <c r="BR17" i="6" s="1"/>
  <c r="BQ80" i="5"/>
  <c r="BQ17" i="6" s="1"/>
  <c r="BP80" i="5"/>
  <c r="BP17" i="6" s="1"/>
  <c r="BO80" i="5"/>
  <c r="BO17" i="6" s="1"/>
  <c r="BN80" i="5"/>
  <c r="BN17" i="6" s="1"/>
  <c r="BM80" i="5"/>
  <c r="BM17" i="6" s="1"/>
  <c r="BL80" i="5"/>
  <c r="BL17" i="6" s="1"/>
  <c r="BK80" i="5"/>
  <c r="BK17" i="6" s="1"/>
  <c r="BJ80" i="5"/>
  <c r="BJ17" i="6" s="1"/>
  <c r="BI80" i="5"/>
  <c r="BI17" i="6" s="1"/>
  <c r="BH80" i="5"/>
  <c r="BH17" i="6" s="1"/>
  <c r="BG80" i="5"/>
  <c r="BG17" i="6" s="1"/>
  <c r="BF80" i="5"/>
  <c r="BF17" i="6" s="1"/>
  <c r="BE80" i="5"/>
  <c r="BE17" i="6" s="1"/>
  <c r="BD80" i="5"/>
  <c r="BD17" i="6" s="1"/>
  <c r="BC80" i="5"/>
  <c r="BC17" i="6" s="1"/>
  <c r="BB80" i="5"/>
  <c r="BB17" i="6" s="1"/>
  <c r="BA80" i="5"/>
  <c r="BA17" i="6" s="1"/>
  <c r="AZ80" i="5"/>
  <c r="AZ17" i="6" s="1"/>
  <c r="AY80" i="5"/>
  <c r="AY17" i="6" s="1"/>
  <c r="AX80" i="5"/>
  <c r="AX17" i="6" s="1"/>
  <c r="AW80" i="5"/>
  <c r="AW17" i="6" s="1"/>
  <c r="AV80" i="5"/>
  <c r="AV17" i="6" s="1"/>
  <c r="AU80" i="5"/>
  <c r="AU17" i="6" s="1"/>
  <c r="AT80" i="5"/>
  <c r="AT17" i="6" s="1"/>
  <c r="AS80" i="5"/>
  <c r="AS17" i="6" s="1"/>
  <c r="AR80" i="5"/>
  <c r="AR17" i="6" s="1"/>
  <c r="AQ80" i="5"/>
  <c r="AQ17" i="6" s="1"/>
  <c r="AP80" i="5"/>
  <c r="AP17" i="6" s="1"/>
  <c r="AO80" i="5"/>
  <c r="AO17" i="6" s="1"/>
  <c r="AN80" i="5"/>
  <c r="AN17" i="6" s="1"/>
  <c r="AM80" i="5"/>
  <c r="AM17" i="6" s="1"/>
  <c r="AL80" i="5"/>
  <c r="AL17" i="6" s="1"/>
  <c r="AK80" i="5"/>
  <c r="AK17" i="6" s="1"/>
  <c r="AJ80" i="5"/>
  <c r="AJ17" i="6" s="1"/>
  <c r="AI80" i="5"/>
  <c r="AI17" i="6" s="1"/>
  <c r="AH80" i="5"/>
  <c r="AH17" i="6" s="1"/>
  <c r="AG80" i="5"/>
  <c r="AG17" i="6" s="1"/>
  <c r="AF80" i="5"/>
  <c r="AF17" i="6" s="1"/>
  <c r="AE80" i="5"/>
  <c r="AE17" i="6" s="1"/>
  <c r="AD80" i="5"/>
  <c r="AD17" i="6" s="1"/>
  <c r="AC80" i="5"/>
  <c r="AC17" i="6" s="1"/>
  <c r="AB80" i="5"/>
  <c r="AB17" i="6" s="1"/>
  <c r="AA80" i="5"/>
  <c r="AA17" i="6" s="1"/>
  <c r="Z80" i="5"/>
  <c r="Z17" i="6" s="1"/>
  <c r="Y80" i="5"/>
  <c r="Y17" i="6" s="1"/>
  <c r="X80" i="5"/>
  <c r="X17" i="6" s="1"/>
  <c r="W80" i="5"/>
  <c r="W17" i="6" s="1"/>
  <c r="V80" i="5"/>
  <c r="V17" i="6" s="1"/>
  <c r="U80" i="5"/>
  <c r="U17" i="6" s="1"/>
  <c r="T80" i="5"/>
  <c r="T17" i="6" s="1"/>
  <c r="S80" i="5"/>
  <c r="S17" i="6" s="1"/>
  <c r="R80" i="5"/>
  <c r="R17" i="6" s="1"/>
  <c r="Q80" i="5"/>
  <c r="Q17" i="6" s="1"/>
  <c r="P80" i="5"/>
  <c r="P17" i="6" s="1"/>
  <c r="O80" i="5"/>
  <c r="O17" i="6" s="1"/>
  <c r="N80" i="5"/>
  <c r="N17" i="6" s="1"/>
  <c r="M80" i="5"/>
  <c r="M17" i="6" s="1"/>
  <c r="L80" i="5"/>
  <c r="L17" i="6" s="1"/>
  <c r="K80" i="5"/>
  <c r="K17" i="6" s="1"/>
  <c r="J80" i="5"/>
  <c r="J17" i="6" s="1"/>
  <c r="I80" i="5"/>
  <c r="I17" i="6" s="1"/>
  <c r="H80" i="5"/>
  <c r="H17" i="6" s="1"/>
  <c r="G80" i="5"/>
  <c r="G17" i="6" s="1"/>
  <c r="F80" i="5"/>
  <c r="F17" i="6" s="1"/>
  <c r="E80" i="5"/>
  <c r="E17" i="6" s="1"/>
  <c r="D80" i="5"/>
  <c r="C6" i="4" s="1"/>
  <c r="C21" i="15" s="1"/>
  <c r="C22" i="15" s="1"/>
  <c r="CI76" i="5"/>
  <c r="CI14" i="6" s="1"/>
  <c r="CH76" i="5"/>
  <c r="CH14" i="6" s="1"/>
  <c r="CG76" i="5"/>
  <c r="CG14" i="6" s="1"/>
  <c r="CF76" i="5"/>
  <c r="CF14" i="6" s="1"/>
  <c r="CE76" i="5"/>
  <c r="CE14" i="6" s="1"/>
  <c r="CD76" i="5"/>
  <c r="CD14" i="6" s="1"/>
  <c r="CC76" i="5"/>
  <c r="CC14" i="6" s="1"/>
  <c r="CB76" i="5"/>
  <c r="CB14" i="6" s="1"/>
  <c r="CA76" i="5"/>
  <c r="CA14" i="6" s="1"/>
  <c r="BZ76" i="5"/>
  <c r="BZ14" i="6" s="1"/>
  <c r="BY76" i="5"/>
  <c r="BY14" i="6" s="1"/>
  <c r="BX76" i="5"/>
  <c r="BX14" i="6" s="1"/>
  <c r="BW76" i="5"/>
  <c r="BW14" i="6" s="1"/>
  <c r="BV76" i="5"/>
  <c r="BV14" i="6" s="1"/>
  <c r="BU76" i="5"/>
  <c r="BU14" i="6" s="1"/>
  <c r="BT76" i="5"/>
  <c r="BT14" i="6" s="1"/>
  <c r="BS76" i="5"/>
  <c r="BS14" i="6" s="1"/>
  <c r="BR76" i="5"/>
  <c r="BR14" i="6" s="1"/>
  <c r="BQ76" i="5"/>
  <c r="BQ14" i="6" s="1"/>
  <c r="BP76" i="5"/>
  <c r="BP14" i="6" s="1"/>
  <c r="BO76" i="5"/>
  <c r="BO14" i="6" s="1"/>
  <c r="BN76" i="5"/>
  <c r="BN14" i="6" s="1"/>
  <c r="BM76" i="5"/>
  <c r="BM14" i="6" s="1"/>
  <c r="BL76" i="5"/>
  <c r="BL14" i="6" s="1"/>
  <c r="BK76" i="5"/>
  <c r="BK14" i="6" s="1"/>
  <c r="BJ76" i="5"/>
  <c r="BJ14" i="6" s="1"/>
  <c r="BI76" i="5"/>
  <c r="BI14" i="6" s="1"/>
  <c r="BH76" i="5"/>
  <c r="BH14" i="6" s="1"/>
  <c r="BG76" i="5"/>
  <c r="BG14" i="6" s="1"/>
  <c r="BF76" i="5"/>
  <c r="BF14" i="6" s="1"/>
  <c r="BE76" i="5"/>
  <c r="BE14" i="6" s="1"/>
  <c r="BD76" i="5"/>
  <c r="BD14" i="6" s="1"/>
  <c r="BC76" i="5"/>
  <c r="BC14" i="6" s="1"/>
  <c r="BB76" i="5"/>
  <c r="BB14" i="6" s="1"/>
  <c r="BA76" i="5"/>
  <c r="BA14" i="6" s="1"/>
  <c r="AZ76" i="5"/>
  <c r="AZ14" i="6" s="1"/>
  <c r="AY76" i="5"/>
  <c r="AY14" i="6" s="1"/>
  <c r="AX76" i="5"/>
  <c r="AX14" i="6" s="1"/>
  <c r="AW76" i="5"/>
  <c r="AW14" i="6" s="1"/>
  <c r="AV76" i="5"/>
  <c r="AV14" i="6" s="1"/>
  <c r="AU76" i="5"/>
  <c r="AU14" i="6" s="1"/>
  <c r="AT76" i="5"/>
  <c r="AT14" i="6" s="1"/>
  <c r="AS76" i="5"/>
  <c r="AS14" i="6" s="1"/>
  <c r="AR76" i="5"/>
  <c r="AR14" i="6" s="1"/>
  <c r="AQ76" i="5"/>
  <c r="AQ14" i="6" s="1"/>
  <c r="AP76" i="5"/>
  <c r="AP14" i="6" s="1"/>
  <c r="AO76" i="5"/>
  <c r="AO14" i="6" s="1"/>
  <c r="AN76" i="5"/>
  <c r="AN14" i="6" s="1"/>
  <c r="AM76" i="5"/>
  <c r="AM14" i="6" s="1"/>
  <c r="AL76" i="5"/>
  <c r="AL14" i="6" s="1"/>
  <c r="AK76" i="5"/>
  <c r="AK14" i="6" s="1"/>
  <c r="AJ76" i="5"/>
  <c r="AJ14" i="6" s="1"/>
  <c r="AI76" i="5"/>
  <c r="AI14" i="6" s="1"/>
  <c r="AH76" i="5"/>
  <c r="AH14" i="6" s="1"/>
  <c r="AG76" i="5"/>
  <c r="AG14" i="6" s="1"/>
  <c r="AF76" i="5"/>
  <c r="AF14" i="6" s="1"/>
  <c r="AE76" i="5"/>
  <c r="AE14" i="6" s="1"/>
  <c r="AD76" i="5"/>
  <c r="AD14" i="6" s="1"/>
  <c r="AC76" i="5"/>
  <c r="AC14" i="6" s="1"/>
  <c r="AB76" i="5"/>
  <c r="AB14" i="6" s="1"/>
  <c r="AA76" i="5"/>
  <c r="AA14" i="6" s="1"/>
  <c r="Z76" i="5"/>
  <c r="Z14" i="6" s="1"/>
  <c r="Y76" i="5"/>
  <c r="Y14" i="6" s="1"/>
  <c r="X76" i="5"/>
  <c r="X14" i="6" s="1"/>
  <c r="W76" i="5"/>
  <c r="W14" i="6" s="1"/>
  <c r="V76" i="5"/>
  <c r="V14" i="6" s="1"/>
  <c r="U76" i="5"/>
  <c r="U14" i="6" s="1"/>
  <c r="T76" i="5"/>
  <c r="T14" i="6" s="1"/>
  <c r="S76" i="5"/>
  <c r="S14" i="6" s="1"/>
  <c r="R76" i="5"/>
  <c r="R14" i="6" s="1"/>
  <c r="Q76" i="5"/>
  <c r="Q14" i="6" s="1"/>
  <c r="P76" i="5"/>
  <c r="P14" i="6" s="1"/>
  <c r="O76" i="5"/>
  <c r="O14" i="6" s="1"/>
  <c r="N76" i="5"/>
  <c r="N14" i="6" s="1"/>
  <c r="M76" i="5"/>
  <c r="M14" i="6" s="1"/>
  <c r="L76" i="5"/>
  <c r="L14" i="6" s="1"/>
  <c r="K76" i="5"/>
  <c r="K14" i="6" s="1"/>
  <c r="J76" i="5"/>
  <c r="J14" i="6" s="1"/>
  <c r="I76" i="5"/>
  <c r="I14" i="6" s="1"/>
  <c r="H76" i="5"/>
  <c r="H14" i="6" s="1"/>
  <c r="G76" i="5"/>
  <c r="G14" i="6" s="1"/>
  <c r="F76" i="5"/>
  <c r="F14" i="6" s="1"/>
  <c r="E76" i="5"/>
  <c r="E14" i="6" s="1"/>
  <c r="D76" i="5"/>
  <c r="CI73" i="5"/>
  <c r="CI11" i="6" s="1"/>
  <c r="CH73" i="5"/>
  <c r="CH11" i="6" s="1"/>
  <c r="CG73" i="5"/>
  <c r="CG11" i="6" s="1"/>
  <c r="CF73" i="5"/>
  <c r="CF11" i="6" s="1"/>
  <c r="CE73" i="5"/>
  <c r="CE11" i="6" s="1"/>
  <c r="CD73" i="5"/>
  <c r="CD11" i="6" s="1"/>
  <c r="CC73" i="5"/>
  <c r="CC11" i="6" s="1"/>
  <c r="CB73" i="5"/>
  <c r="CB11" i="6" s="1"/>
  <c r="CA73" i="5"/>
  <c r="CA11" i="6" s="1"/>
  <c r="BZ73" i="5"/>
  <c r="BZ11" i="6" s="1"/>
  <c r="BY73" i="5"/>
  <c r="BY11" i="6" s="1"/>
  <c r="BX73" i="5"/>
  <c r="BX11" i="6" s="1"/>
  <c r="BW73" i="5"/>
  <c r="BW11" i="6" s="1"/>
  <c r="BV73" i="5"/>
  <c r="BV11" i="6" s="1"/>
  <c r="BU73" i="5"/>
  <c r="BU11" i="6" s="1"/>
  <c r="BT73" i="5"/>
  <c r="BT11" i="6" s="1"/>
  <c r="BS73" i="5"/>
  <c r="BS11" i="6" s="1"/>
  <c r="BR73" i="5"/>
  <c r="BR11" i="6" s="1"/>
  <c r="BQ73" i="5"/>
  <c r="BQ11" i="6" s="1"/>
  <c r="BP73" i="5"/>
  <c r="BP11" i="6" s="1"/>
  <c r="BO73" i="5"/>
  <c r="BO11" i="6" s="1"/>
  <c r="BN73" i="5"/>
  <c r="BN11" i="6" s="1"/>
  <c r="BM73" i="5"/>
  <c r="BM11" i="6" s="1"/>
  <c r="BL73" i="5"/>
  <c r="BL11" i="6" s="1"/>
  <c r="BK73" i="5"/>
  <c r="BK11" i="6" s="1"/>
  <c r="BJ73" i="5"/>
  <c r="BJ11" i="6" s="1"/>
  <c r="BI73" i="5"/>
  <c r="BI11" i="6" s="1"/>
  <c r="BH73" i="5"/>
  <c r="BH11" i="6" s="1"/>
  <c r="BG73" i="5"/>
  <c r="BG11" i="6" s="1"/>
  <c r="BF73" i="5"/>
  <c r="BF11" i="6" s="1"/>
  <c r="BE73" i="5"/>
  <c r="BE11" i="6" s="1"/>
  <c r="BD73" i="5"/>
  <c r="BD11" i="6" s="1"/>
  <c r="BC73" i="5"/>
  <c r="BC11" i="6" s="1"/>
  <c r="BB73" i="5"/>
  <c r="BB11" i="6" s="1"/>
  <c r="BA73" i="5"/>
  <c r="BA11" i="6" s="1"/>
  <c r="AZ73" i="5"/>
  <c r="AZ11" i="6" s="1"/>
  <c r="AY73" i="5"/>
  <c r="AY11" i="6" s="1"/>
  <c r="AX73" i="5"/>
  <c r="AX11" i="6" s="1"/>
  <c r="AW73" i="5"/>
  <c r="AW11" i="6" s="1"/>
  <c r="AV73" i="5"/>
  <c r="AV11" i="6" s="1"/>
  <c r="AU73" i="5"/>
  <c r="AU11" i="6" s="1"/>
  <c r="AT73" i="5"/>
  <c r="AT11" i="6" s="1"/>
  <c r="AS73" i="5"/>
  <c r="AS11" i="6" s="1"/>
  <c r="AR73" i="5"/>
  <c r="AR11" i="6" s="1"/>
  <c r="AQ73" i="5"/>
  <c r="AQ11" i="6" s="1"/>
  <c r="AP73" i="5"/>
  <c r="AP11" i="6" s="1"/>
  <c r="AO73" i="5"/>
  <c r="AO11" i="6" s="1"/>
  <c r="AN73" i="5"/>
  <c r="AN11" i="6" s="1"/>
  <c r="AM73" i="5"/>
  <c r="AM11" i="6" s="1"/>
  <c r="AL73" i="5"/>
  <c r="AL11" i="6" s="1"/>
  <c r="AK73" i="5"/>
  <c r="AK11" i="6" s="1"/>
  <c r="AJ73" i="5"/>
  <c r="AJ11" i="6" s="1"/>
  <c r="AI73" i="5"/>
  <c r="AI11" i="6" s="1"/>
  <c r="AH73" i="5"/>
  <c r="AH11" i="6" s="1"/>
  <c r="AG73" i="5"/>
  <c r="AG11" i="6" s="1"/>
  <c r="AF73" i="5"/>
  <c r="AF11" i="6" s="1"/>
  <c r="AE73" i="5"/>
  <c r="AE11" i="6" s="1"/>
  <c r="AD73" i="5"/>
  <c r="AD11" i="6" s="1"/>
  <c r="AC73" i="5"/>
  <c r="AC11" i="6" s="1"/>
  <c r="AB73" i="5"/>
  <c r="AB11" i="6" s="1"/>
  <c r="AA73" i="5"/>
  <c r="AA11" i="6" s="1"/>
  <c r="Z73" i="5"/>
  <c r="Z11" i="6" s="1"/>
  <c r="Y73" i="5"/>
  <c r="Y11" i="6" s="1"/>
  <c r="X73" i="5"/>
  <c r="X11" i="6" s="1"/>
  <c r="W73" i="5"/>
  <c r="W11" i="6" s="1"/>
  <c r="V73" i="5"/>
  <c r="V11" i="6" s="1"/>
  <c r="U73" i="5"/>
  <c r="U11" i="6" s="1"/>
  <c r="T73" i="5"/>
  <c r="T11" i="6" s="1"/>
  <c r="S73" i="5"/>
  <c r="S11" i="6" s="1"/>
  <c r="R73" i="5"/>
  <c r="R11" i="6" s="1"/>
  <c r="Q73" i="5"/>
  <c r="Q11" i="6" s="1"/>
  <c r="P73" i="5"/>
  <c r="P11" i="6" s="1"/>
  <c r="O73" i="5"/>
  <c r="O11" i="6" s="1"/>
  <c r="N73" i="5"/>
  <c r="N11" i="6" s="1"/>
  <c r="M73" i="5"/>
  <c r="M11" i="6" s="1"/>
  <c r="L73" i="5"/>
  <c r="L11" i="6" s="1"/>
  <c r="K73" i="5"/>
  <c r="K11" i="6" s="1"/>
  <c r="J73" i="5"/>
  <c r="J11" i="6" s="1"/>
  <c r="I73" i="5"/>
  <c r="I11" i="6" s="1"/>
  <c r="H73" i="5"/>
  <c r="H11" i="6" s="1"/>
  <c r="G73" i="5"/>
  <c r="G11" i="6" s="1"/>
  <c r="F73" i="5"/>
  <c r="F11" i="6" s="1"/>
  <c r="E73" i="5"/>
  <c r="E11" i="6" s="1"/>
  <c r="D73" i="5"/>
  <c r="D72" i="5"/>
  <c r="CI71" i="5"/>
  <c r="CH71" i="5"/>
  <c r="CG71" i="5"/>
  <c r="CF71" i="5"/>
  <c r="CE71" i="5"/>
  <c r="CD71" i="5"/>
  <c r="CC71" i="5"/>
  <c r="CB71" i="5"/>
  <c r="CA71" i="5"/>
  <c r="BZ71" i="5"/>
  <c r="BY71" i="5"/>
  <c r="BX71" i="5"/>
  <c r="BW71" i="5"/>
  <c r="BV71" i="5"/>
  <c r="BU71" i="5"/>
  <c r="BT71" i="5"/>
  <c r="BS71" i="5"/>
  <c r="BR71" i="5"/>
  <c r="BQ71" i="5"/>
  <c r="BP71" i="5"/>
  <c r="BO71" i="5"/>
  <c r="BN71" i="5"/>
  <c r="BM71" i="5"/>
  <c r="BL71" i="5"/>
  <c r="BK71" i="5"/>
  <c r="BJ71" i="5"/>
  <c r="BI71" i="5"/>
  <c r="BH71" i="5"/>
  <c r="BG71" i="5"/>
  <c r="BF71" i="5"/>
  <c r="BE71" i="5"/>
  <c r="BD71" i="5"/>
  <c r="BC71" i="5"/>
  <c r="BB71" i="5"/>
  <c r="BA71" i="5"/>
  <c r="AZ71" i="5"/>
  <c r="AY71" i="5"/>
  <c r="AX71" i="5"/>
  <c r="AW71" i="5"/>
  <c r="AV71" i="5"/>
  <c r="AU71" i="5"/>
  <c r="AT71" i="5"/>
  <c r="AS71" i="5"/>
  <c r="AR71" i="5"/>
  <c r="AQ71" i="5"/>
  <c r="AP71" i="5"/>
  <c r="AO71" i="5"/>
  <c r="AN71" i="5"/>
  <c r="AM71" i="5"/>
  <c r="AL71" i="5"/>
  <c r="AK71" i="5"/>
  <c r="AJ71" i="5"/>
  <c r="AI71" i="5"/>
  <c r="AH71" i="5"/>
  <c r="AG71" i="5"/>
  <c r="AF71" i="5"/>
  <c r="AE71" i="5"/>
  <c r="AD71" i="5"/>
  <c r="AC71" i="5"/>
  <c r="AB71" i="5"/>
  <c r="AA71" i="5"/>
  <c r="Z71" i="5"/>
  <c r="Y71" i="5"/>
  <c r="X71" i="5"/>
  <c r="W71" i="5"/>
  <c r="V71" i="5"/>
  <c r="U71" i="5"/>
  <c r="T71" i="5"/>
  <c r="S71" i="5"/>
  <c r="R71" i="5"/>
  <c r="Q71" i="5"/>
  <c r="P71" i="5"/>
  <c r="O71" i="5"/>
  <c r="N71" i="5"/>
  <c r="M71" i="5"/>
  <c r="L71" i="5"/>
  <c r="K71" i="5"/>
  <c r="J71" i="5"/>
  <c r="I71" i="5"/>
  <c r="H71" i="5"/>
  <c r="G71" i="5"/>
  <c r="F71" i="5"/>
  <c r="E71" i="5"/>
  <c r="D71" i="5"/>
  <c r="C9" i="4" s="1"/>
  <c r="CI55" i="5"/>
  <c r="CI57" i="5" s="1"/>
  <c r="CI58" i="5" s="1"/>
  <c r="CH55" i="5"/>
  <c r="CH57" i="5" s="1"/>
  <c r="CH58" i="5" s="1"/>
  <c r="CG55" i="5"/>
  <c r="CG57" i="5" s="1"/>
  <c r="CG58" i="5" s="1"/>
  <c r="CF55" i="5"/>
  <c r="CF57" i="5" s="1"/>
  <c r="CF58" i="5" s="1"/>
  <c r="CE55" i="5"/>
  <c r="CE57" i="5" s="1"/>
  <c r="CE58" i="5" s="1"/>
  <c r="CD55" i="5"/>
  <c r="CD57" i="5" s="1"/>
  <c r="CD58" i="5" s="1"/>
  <c r="CC55" i="5"/>
  <c r="CC57" i="5" s="1"/>
  <c r="CC58" i="5" s="1"/>
  <c r="CB55" i="5"/>
  <c r="CB57" i="5" s="1"/>
  <c r="CB58" i="5" s="1"/>
  <c r="CA55" i="5"/>
  <c r="CA57" i="5" s="1"/>
  <c r="CA58" i="5" s="1"/>
  <c r="BZ55" i="5"/>
  <c r="BZ57" i="5" s="1"/>
  <c r="BZ58" i="5" s="1"/>
  <c r="BY55" i="5"/>
  <c r="BY57" i="5" s="1"/>
  <c r="BY58" i="5" s="1"/>
  <c r="BX55" i="5"/>
  <c r="BX57" i="5" s="1"/>
  <c r="BX58" i="5" s="1"/>
  <c r="BW55" i="5"/>
  <c r="BW57" i="5" s="1"/>
  <c r="BW58" i="5" s="1"/>
  <c r="BV55" i="5"/>
  <c r="BV57" i="5" s="1"/>
  <c r="BV58" i="5" s="1"/>
  <c r="BU55" i="5"/>
  <c r="BU57" i="5" s="1"/>
  <c r="BU58" i="5" s="1"/>
  <c r="BT55" i="5"/>
  <c r="BT57" i="5" s="1"/>
  <c r="BT58" i="5" s="1"/>
  <c r="BS55" i="5"/>
  <c r="BS57" i="5" s="1"/>
  <c r="BS58" i="5" s="1"/>
  <c r="BR55" i="5"/>
  <c r="BR57" i="5" s="1"/>
  <c r="BR58" i="5" s="1"/>
  <c r="BQ55" i="5"/>
  <c r="BQ57" i="5" s="1"/>
  <c r="BQ58" i="5" s="1"/>
  <c r="BP55" i="5"/>
  <c r="BP57" i="5" s="1"/>
  <c r="BP58" i="5" s="1"/>
  <c r="BO55" i="5"/>
  <c r="BO57" i="5" s="1"/>
  <c r="BO58" i="5" s="1"/>
  <c r="BN55" i="5"/>
  <c r="BN57" i="5" s="1"/>
  <c r="BN58" i="5" s="1"/>
  <c r="BM55" i="5"/>
  <c r="BM57" i="5" s="1"/>
  <c r="BM58" i="5" s="1"/>
  <c r="BL55" i="5"/>
  <c r="BL57" i="5" s="1"/>
  <c r="BL58" i="5" s="1"/>
  <c r="BK55" i="5"/>
  <c r="BK57" i="5" s="1"/>
  <c r="BK58" i="5" s="1"/>
  <c r="BJ55" i="5"/>
  <c r="BJ57" i="5" s="1"/>
  <c r="BJ58" i="5" s="1"/>
  <c r="BI55" i="5"/>
  <c r="BI57" i="5" s="1"/>
  <c r="BI58" i="5" s="1"/>
  <c r="BH55" i="5"/>
  <c r="BH57" i="5" s="1"/>
  <c r="BH58" i="5" s="1"/>
  <c r="BG55" i="5"/>
  <c r="BG57" i="5" s="1"/>
  <c r="BG58" i="5" s="1"/>
  <c r="BF55" i="5"/>
  <c r="BF57" i="5" s="1"/>
  <c r="BF58" i="5" s="1"/>
  <c r="BE55" i="5"/>
  <c r="BE57" i="5" s="1"/>
  <c r="BE58" i="5" s="1"/>
  <c r="BD55" i="5"/>
  <c r="BD57" i="5" s="1"/>
  <c r="BD58" i="5" s="1"/>
  <c r="BC55" i="5"/>
  <c r="BC57" i="5" s="1"/>
  <c r="BC58" i="5" s="1"/>
  <c r="BB55" i="5"/>
  <c r="BB57" i="5" s="1"/>
  <c r="BB58" i="5" s="1"/>
  <c r="BA55" i="5"/>
  <c r="BA57" i="5" s="1"/>
  <c r="BA58" i="5" s="1"/>
  <c r="AZ55" i="5"/>
  <c r="AZ57" i="5" s="1"/>
  <c r="AZ58" i="5" s="1"/>
  <c r="AY55" i="5"/>
  <c r="AY57" i="5" s="1"/>
  <c r="AY58" i="5" s="1"/>
  <c r="AX55" i="5"/>
  <c r="AX57" i="5" s="1"/>
  <c r="AX58" i="5" s="1"/>
  <c r="AW55" i="5"/>
  <c r="AW57" i="5" s="1"/>
  <c r="AW58" i="5" s="1"/>
  <c r="AV55" i="5"/>
  <c r="AV57" i="5" s="1"/>
  <c r="AV58" i="5" s="1"/>
  <c r="AU55" i="5"/>
  <c r="AU57" i="5" s="1"/>
  <c r="AU58" i="5" s="1"/>
  <c r="AT55" i="5"/>
  <c r="AT57" i="5" s="1"/>
  <c r="AT58" i="5" s="1"/>
  <c r="AS55" i="5"/>
  <c r="AS57" i="5" s="1"/>
  <c r="AS58" i="5" s="1"/>
  <c r="AR55" i="5"/>
  <c r="AR57" i="5" s="1"/>
  <c r="AR58" i="5" s="1"/>
  <c r="AQ55" i="5"/>
  <c r="AQ57" i="5" s="1"/>
  <c r="AQ58" i="5" s="1"/>
  <c r="AP55" i="5"/>
  <c r="AP57" i="5" s="1"/>
  <c r="AP58" i="5" s="1"/>
  <c r="AO55" i="5"/>
  <c r="AO57" i="5" s="1"/>
  <c r="AO58" i="5" s="1"/>
  <c r="AN55" i="5"/>
  <c r="AN57" i="5" s="1"/>
  <c r="AN58" i="5" s="1"/>
  <c r="AM55" i="5"/>
  <c r="AM57" i="5" s="1"/>
  <c r="AM58" i="5" s="1"/>
  <c r="AL55" i="5"/>
  <c r="AL57" i="5" s="1"/>
  <c r="AL58" i="5" s="1"/>
  <c r="AK55" i="5"/>
  <c r="AK57" i="5" s="1"/>
  <c r="AK58" i="5" s="1"/>
  <c r="AJ55" i="5"/>
  <c r="AJ57" i="5" s="1"/>
  <c r="AJ58" i="5" s="1"/>
  <c r="AI55" i="5"/>
  <c r="AI57" i="5" s="1"/>
  <c r="AI58" i="5" s="1"/>
  <c r="AH55" i="5"/>
  <c r="AH57" i="5" s="1"/>
  <c r="AH58" i="5" s="1"/>
  <c r="AG55" i="5"/>
  <c r="AG57" i="5" s="1"/>
  <c r="AG58" i="5" s="1"/>
  <c r="AF55" i="5"/>
  <c r="AF57" i="5" s="1"/>
  <c r="AF58" i="5" s="1"/>
  <c r="AE55" i="5"/>
  <c r="AE57" i="5" s="1"/>
  <c r="AE58" i="5" s="1"/>
  <c r="AD55" i="5"/>
  <c r="AD57" i="5" s="1"/>
  <c r="AD58" i="5" s="1"/>
  <c r="AC55" i="5"/>
  <c r="AC57" i="5" s="1"/>
  <c r="AC58" i="5" s="1"/>
  <c r="AB55" i="5"/>
  <c r="AB57" i="5" s="1"/>
  <c r="AB58" i="5" s="1"/>
  <c r="AA55" i="5"/>
  <c r="AA57" i="5" s="1"/>
  <c r="AA58" i="5" s="1"/>
  <c r="Z55" i="5"/>
  <c r="Z57" i="5" s="1"/>
  <c r="Z58" i="5" s="1"/>
  <c r="Y55" i="5"/>
  <c r="Y57" i="5" s="1"/>
  <c r="Y58" i="5" s="1"/>
  <c r="X55" i="5"/>
  <c r="X57" i="5" s="1"/>
  <c r="X58" i="5" s="1"/>
  <c r="W55" i="5"/>
  <c r="W57" i="5" s="1"/>
  <c r="W58" i="5" s="1"/>
  <c r="V55" i="5"/>
  <c r="V57" i="5" s="1"/>
  <c r="V58" i="5" s="1"/>
  <c r="U55" i="5"/>
  <c r="U57" i="5" s="1"/>
  <c r="U58" i="5" s="1"/>
  <c r="T55" i="5"/>
  <c r="T57" i="5" s="1"/>
  <c r="T58" i="5" s="1"/>
  <c r="S55" i="5"/>
  <c r="S57" i="5" s="1"/>
  <c r="S58" i="5" s="1"/>
  <c r="R55" i="5"/>
  <c r="R57" i="5" s="1"/>
  <c r="R58" i="5" s="1"/>
  <c r="Q55" i="5"/>
  <c r="Q57" i="5" s="1"/>
  <c r="Q58" i="5" s="1"/>
  <c r="P55" i="5"/>
  <c r="P57" i="5" s="1"/>
  <c r="P58" i="5" s="1"/>
  <c r="O55" i="5"/>
  <c r="O57" i="5" s="1"/>
  <c r="O58" i="5" s="1"/>
  <c r="N55" i="5"/>
  <c r="N57" i="5" s="1"/>
  <c r="N58" i="5" s="1"/>
  <c r="M55" i="5"/>
  <c r="M57" i="5" s="1"/>
  <c r="M58" i="5" s="1"/>
  <c r="L55" i="5"/>
  <c r="L57" i="5" s="1"/>
  <c r="L58" i="5" s="1"/>
  <c r="K55" i="5"/>
  <c r="K57" i="5" s="1"/>
  <c r="K58" i="5" s="1"/>
  <c r="J55" i="5"/>
  <c r="J57" i="5" s="1"/>
  <c r="J58" i="5" s="1"/>
  <c r="I55" i="5"/>
  <c r="I57" i="5" s="1"/>
  <c r="I58" i="5" s="1"/>
  <c r="H55" i="5"/>
  <c r="H57" i="5" s="1"/>
  <c r="H58" i="5" s="1"/>
  <c r="G55" i="5"/>
  <c r="G57" i="5" s="1"/>
  <c r="G58" i="5" s="1"/>
  <c r="F55" i="5"/>
  <c r="F57" i="5" s="1"/>
  <c r="F58" i="5" s="1"/>
  <c r="E55" i="5"/>
  <c r="E57" i="5" s="1"/>
  <c r="E58" i="5" s="1"/>
  <c r="D55" i="5"/>
  <c r="D57" i="5" s="1"/>
  <c r="D58" i="5" s="1"/>
  <c r="D54" i="5"/>
  <c r="E52" i="5"/>
  <c r="CI35" i="5"/>
  <c r="CI37" i="5" s="1"/>
  <c r="CH35" i="5"/>
  <c r="CH37" i="5" s="1"/>
  <c r="CG35" i="5"/>
  <c r="CG37" i="5" s="1"/>
  <c r="CF35" i="5"/>
  <c r="CF37" i="5" s="1"/>
  <c r="CE35" i="5"/>
  <c r="CE37" i="5" s="1"/>
  <c r="CD35" i="5"/>
  <c r="CD37" i="5" s="1"/>
  <c r="CC35" i="5"/>
  <c r="CC37" i="5" s="1"/>
  <c r="CB35" i="5"/>
  <c r="CB37" i="5" s="1"/>
  <c r="CA35" i="5"/>
  <c r="CA37" i="5" s="1"/>
  <c r="BZ35" i="5"/>
  <c r="BZ37" i="5" s="1"/>
  <c r="BY35" i="5"/>
  <c r="BY37" i="5" s="1"/>
  <c r="BX35" i="5"/>
  <c r="BX37" i="5" s="1"/>
  <c r="BW35" i="5"/>
  <c r="BW37" i="5" s="1"/>
  <c r="BV35" i="5"/>
  <c r="BV37" i="5" s="1"/>
  <c r="BU35" i="5"/>
  <c r="BU37" i="5" s="1"/>
  <c r="BT35" i="5"/>
  <c r="BT37" i="5" s="1"/>
  <c r="BS35" i="5"/>
  <c r="BS37" i="5" s="1"/>
  <c r="BR35" i="5"/>
  <c r="BR37" i="5" s="1"/>
  <c r="BQ35" i="5"/>
  <c r="BQ37" i="5" s="1"/>
  <c r="BP35" i="5"/>
  <c r="BP37" i="5" s="1"/>
  <c r="BO35" i="5"/>
  <c r="BO37" i="5" s="1"/>
  <c r="BN35" i="5"/>
  <c r="BN37" i="5" s="1"/>
  <c r="BM35" i="5"/>
  <c r="BM37" i="5" s="1"/>
  <c r="BL35" i="5"/>
  <c r="BL37" i="5" s="1"/>
  <c r="BK35" i="5"/>
  <c r="BK37" i="5" s="1"/>
  <c r="BJ35" i="5"/>
  <c r="BJ37" i="5" s="1"/>
  <c r="BI35" i="5"/>
  <c r="BI37" i="5" s="1"/>
  <c r="BH35" i="5"/>
  <c r="BH37" i="5" s="1"/>
  <c r="BG35" i="5"/>
  <c r="BG37" i="5" s="1"/>
  <c r="BF35" i="5"/>
  <c r="BF37" i="5" s="1"/>
  <c r="BE35" i="5"/>
  <c r="BE37" i="5" s="1"/>
  <c r="BD35" i="5"/>
  <c r="BD37" i="5" s="1"/>
  <c r="BC35" i="5"/>
  <c r="BC37" i="5" s="1"/>
  <c r="BB35" i="5"/>
  <c r="BB37" i="5" s="1"/>
  <c r="BA35" i="5"/>
  <c r="BA37" i="5" s="1"/>
  <c r="AZ35" i="5"/>
  <c r="AZ37" i="5" s="1"/>
  <c r="AY35" i="5"/>
  <c r="AY37" i="5" s="1"/>
  <c r="AX35" i="5"/>
  <c r="AX37" i="5" s="1"/>
  <c r="AW35" i="5"/>
  <c r="AW37" i="5" s="1"/>
  <c r="AV35" i="5"/>
  <c r="AV37" i="5" s="1"/>
  <c r="AU35" i="5"/>
  <c r="AU37" i="5" s="1"/>
  <c r="AT35" i="5"/>
  <c r="AT37" i="5" s="1"/>
  <c r="AS35" i="5"/>
  <c r="AS37" i="5" s="1"/>
  <c r="AR35" i="5"/>
  <c r="AR37" i="5" s="1"/>
  <c r="AQ35" i="5"/>
  <c r="AQ37" i="5" s="1"/>
  <c r="AP35" i="5"/>
  <c r="AP37" i="5" s="1"/>
  <c r="AO35" i="5"/>
  <c r="AO37" i="5" s="1"/>
  <c r="AN35" i="5"/>
  <c r="AN37" i="5" s="1"/>
  <c r="AM35" i="5"/>
  <c r="AM37" i="5" s="1"/>
  <c r="AL35" i="5"/>
  <c r="AL37" i="5" s="1"/>
  <c r="AK35" i="5"/>
  <c r="AK37" i="5" s="1"/>
  <c r="AJ35" i="5"/>
  <c r="AJ37" i="5" s="1"/>
  <c r="AI35" i="5"/>
  <c r="AI37" i="5" s="1"/>
  <c r="AH35" i="5"/>
  <c r="AH37" i="5" s="1"/>
  <c r="AG35" i="5"/>
  <c r="AG37" i="5" s="1"/>
  <c r="AF35" i="5"/>
  <c r="AF37" i="5" s="1"/>
  <c r="AE35" i="5"/>
  <c r="AE37" i="5" s="1"/>
  <c r="AD35" i="5"/>
  <c r="AD37" i="5" s="1"/>
  <c r="AC35" i="5"/>
  <c r="AC37" i="5" s="1"/>
  <c r="AB35" i="5"/>
  <c r="AB37" i="5" s="1"/>
  <c r="AA35" i="5"/>
  <c r="AA37" i="5" s="1"/>
  <c r="Z35" i="5"/>
  <c r="Z37" i="5" s="1"/>
  <c r="Y35" i="5"/>
  <c r="Y37" i="5" s="1"/>
  <c r="X35" i="5"/>
  <c r="X37" i="5" s="1"/>
  <c r="W35" i="5"/>
  <c r="W37" i="5" s="1"/>
  <c r="V35" i="5"/>
  <c r="V37" i="5" s="1"/>
  <c r="U35" i="5"/>
  <c r="U37" i="5" s="1"/>
  <c r="T35" i="5"/>
  <c r="T37" i="5" s="1"/>
  <c r="S35" i="5"/>
  <c r="S37" i="5" s="1"/>
  <c r="R35" i="5"/>
  <c r="R37" i="5" s="1"/>
  <c r="Q35" i="5"/>
  <c r="Q37" i="5" s="1"/>
  <c r="P35" i="5"/>
  <c r="P37" i="5" s="1"/>
  <c r="O35" i="5"/>
  <c r="O37" i="5" s="1"/>
  <c r="N35" i="5"/>
  <c r="N37" i="5" s="1"/>
  <c r="M35" i="5"/>
  <c r="M37" i="5" s="1"/>
  <c r="L35" i="5"/>
  <c r="L37" i="5" s="1"/>
  <c r="K35" i="5"/>
  <c r="K37" i="5" s="1"/>
  <c r="J35" i="5"/>
  <c r="J37" i="5" s="1"/>
  <c r="I35" i="5"/>
  <c r="I37" i="5" s="1"/>
  <c r="H35" i="5"/>
  <c r="H37" i="5" s="1"/>
  <c r="G35" i="5"/>
  <c r="G37" i="5" s="1"/>
  <c r="F35" i="5"/>
  <c r="F37" i="5" s="1"/>
  <c r="E35" i="5"/>
  <c r="E37" i="5" s="1"/>
  <c r="D35" i="5"/>
  <c r="D37" i="5" s="1"/>
  <c r="D34" i="5"/>
  <c r="E32" i="5"/>
  <c r="CI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AQ15" i="5"/>
  <c r="AP15" i="5"/>
  <c r="AO15" i="5"/>
  <c r="AN15"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D15" i="5"/>
  <c r="D14" i="5"/>
  <c r="E12" i="5"/>
  <c r="F4" i="5"/>
  <c r="C26" i="4"/>
  <c r="C25" i="4"/>
  <c r="C24" i="4"/>
  <c r="C23" i="4"/>
  <c r="C22" i="4"/>
  <c r="C21" i="4"/>
  <c r="C19" i="4"/>
  <c r="C17" i="4"/>
  <c r="C14" i="4"/>
  <c r="C13" i="4"/>
  <c r="C11" i="4"/>
  <c r="C5" i="4"/>
  <c r="F2" i="4"/>
  <c r="C18" i="3"/>
  <c r="C14" i="3"/>
  <c r="C9" i="3"/>
  <c r="C8" i="3"/>
  <c r="C6" i="3"/>
  <c r="C5" i="3"/>
  <c r="C4" i="3"/>
  <c r="F2" i="3"/>
  <c r="C139" i="2"/>
  <c r="C138" i="2"/>
  <c r="C19" i="15" s="1"/>
  <c r="C105" i="2"/>
  <c r="E8" i="14" s="1"/>
  <c r="C103" i="2"/>
  <c r="D8" i="14" s="1"/>
  <c r="C102" i="2"/>
  <c r="C8" i="14" s="1"/>
  <c r="C101" i="2"/>
  <c r="C20" i="2"/>
  <c r="C21" i="2" s="1"/>
  <c r="C15" i="4" s="1"/>
  <c r="B5" i="2"/>
  <c r="V78" i="8" l="1"/>
  <c r="U78" i="8"/>
  <c r="T78" i="8"/>
  <c r="S78" i="8"/>
  <c r="R78" i="8"/>
  <c r="Q78" i="8"/>
  <c r="P78" i="8"/>
  <c r="O78" i="8"/>
  <c r="N78" i="8"/>
  <c r="M78" i="8"/>
  <c r="L78" i="8"/>
  <c r="K78" i="8"/>
  <c r="K83" i="8" s="1"/>
  <c r="J78" i="8"/>
  <c r="J83" i="8" s="1"/>
  <c r="I78" i="8"/>
  <c r="I83" i="8" s="1"/>
  <c r="H78" i="8"/>
  <c r="H83" i="8" s="1"/>
  <c r="G78" i="8"/>
  <c r="G83" i="8" s="1"/>
  <c r="F78" i="8"/>
  <c r="F83" i="8" s="1"/>
  <c r="E78" i="8"/>
  <c r="E83" i="8" s="1"/>
  <c r="D78" i="8"/>
  <c r="D83" i="8" s="1"/>
  <c r="CI56" i="8"/>
  <c r="CI61" i="8" s="1"/>
  <c r="CH56" i="8"/>
  <c r="CH61" i="8" s="1"/>
  <c r="CG56" i="8"/>
  <c r="CG61" i="8" s="1"/>
  <c r="CF56" i="8"/>
  <c r="CF61" i="8" s="1"/>
  <c r="CE56" i="8"/>
  <c r="CE61" i="8" s="1"/>
  <c r="CD56" i="8"/>
  <c r="CD61" i="8" s="1"/>
  <c r="CC56" i="8"/>
  <c r="CC61" i="8" s="1"/>
  <c r="CB56" i="8"/>
  <c r="CB61" i="8" s="1"/>
  <c r="CA56" i="8"/>
  <c r="CA61" i="8" s="1"/>
  <c r="BZ56" i="8"/>
  <c r="BZ61" i="8" s="1"/>
  <c r="BY56" i="8"/>
  <c r="BY61" i="8" s="1"/>
  <c r="BX56" i="8"/>
  <c r="BX61" i="8" s="1"/>
  <c r="BW56" i="8"/>
  <c r="BW61" i="8" s="1"/>
  <c r="BV56" i="8"/>
  <c r="BV61" i="8" s="1"/>
  <c r="BU56" i="8"/>
  <c r="BU61" i="8" s="1"/>
  <c r="BT56" i="8"/>
  <c r="BT61" i="8" s="1"/>
  <c r="BS56" i="8"/>
  <c r="BS61" i="8" s="1"/>
  <c r="BR56" i="8"/>
  <c r="BR61" i="8" s="1"/>
  <c r="BQ56" i="8"/>
  <c r="BQ61" i="8" s="1"/>
  <c r="BP56" i="8"/>
  <c r="BP61" i="8" s="1"/>
  <c r="BO56" i="8"/>
  <c r="BO61" i="8" s="1"/>
  <c r="BN56" i="8"/>
  <c r="BN61" i="8" s="1"/>
  <c r="BM56" i="8"/>
  <c r="BM61" i="8" s="1"/>
  <c r="BL56" i="8"/>
  <c r="BL61" i="8" s="1"/>
  <c r="BK56" i="8"/>
  <c r="BK61" i="8" s="1"/>
  <c r="BJ56" i="8"/>
  <c r="BJ61" i="8" s="1"/>
  <c r="BI56" i="8"/>
  <c r="BI61" i="8" s="1"/>
  <c r="L45" i="8"/>
  <c r="K45" i="8"/>
  <c r="J45" i="8"/>
  <c r="I45" i="8"/>
  <c r="H45" i="8"/>
  <c r="G45" i="8"/>
  <c r="F45" i="8"/>
  <c r="E45" i="8"/>
  <c r="CE23" i="8"/>
  <c r="BP23" i="8"/>
  <c r="BJ23" i="8"/>
  <c r="BB23" i="8"/>
  <c r="AQ23" i="8"/>
  <c r="V23" i="8"/>
  <c r="CI16" i="10"/>
  <c r="CI30" i="10" s="1"/>
  <c r="CH16" i="10"/>
  <c r="CH30" i="10" s="1"/>
  <c r="CG16" i="10"/>
  <c r="CG30" i="10" s="1"/>
  <c r="CF16" i="10"/>
  <c r="CF30" i="10" s="1"/>
  <c r="CE16" i="10"/>
  <c r="CE30" i="10" s="1"/>
  <c r="CD16" i="10"/>
  <c r="CD30" i="10" s="1"/>
  <c r="CC16" i="10"/>
  <c r="CC30" i="10" s="1"/>
  <c r="CB16" i="10"/>
  <c r="CB30" i="10" s="1"/>
  <c r="CA16" i="10"/>
  <c r="CA30" i="10" s="1"/>
  <c r="BZ16" i="10"/>
  <c r="BZ30" i="10" s="1"/>
  <c r="BY16" i="10"/>
  <c r="BY30" i="10" s="1"/>
  <c r="BX16" i="10"/>
  <c r="BX30" i="10" s="1"/>
  <c r="BW16" i="10"/>
  <c r="BW30" i="10" s="1"/>
  <c r="BV16" i="10"/>
  <c r="BV30" i="10" s="1"/>
  <c r="BU16" i="10"/>
  <c r="BU30" i="10" s="1"/>
  <c r="CG23" i="8"/>
  <c r="BV23" i="8"/>
  <c r="BF23" i="8"/>
  <c r="AR23" i="8"/>
  <c r="AI23" i="8"/>
  <c r="Z23" i="8"/>
  <c r="L23" i="8"/>
  <c r="CD23" i="8"/>
  <c r="BL23" i="8"/>
  <c r="AZ23" i="8"/>
  <c r="AS23" i="8"/>
  <c r="AK23" i="8"/>
  <c r="AD23" i="8"/>
  <c r="W23" i="8"/>
  <c r="N23" i="8"/>
  <c r="F23" i="8"/>
  <c r="BY23" i="8"/>
  <c r="BT23" i="8"/>
  <c r="BO23" i="8"/>
  <c r="BD23" i="8"/>
  <c r="AW23" i="8"/>
  <c r="AL23" i="8"/>
  <c r="AG23" i="8"/>
  <c r="U23" i="8"/>
  <c r="M23" i="8"/>
  <c r="E23" i="8"/>
  <c r="C8" i="15"/>
  <c r="C7" i="15" s="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E32" i="12" s="1"/>
  <c r="CC23" i="8"/>
  <c r="BW23" i="8"/>
  <c r="BQ23" i="8"/>
  <c r="BC23" i="8"/>
  <c r="AT23" i="8"/>
  <c r="AN23" i="8"/>
  <c r="AF23" i="8"/>
  <c r="Y23" i="8"/>
  <c r="S23" i="8"/>
  <c r="K23" i="8"/>
  <c r="CF23" i="8"/>
  <c r="BS23" i="8"/>
  <c r="BN23" i="8"/>
  <c r="BG23" i="8"/>
  <c r="AY23" i="8"/>
  <c r="AO23" i="8"/>
  <c r="AH23" i="8"/>
  <c r="X23" i="8"/>
  <c r="P23" i="8"/>
  <c r="I23" i="8"/>
  <c r="BZ23" i="8"/>
  <c r="BI23" i="8"/>
  <c r="AX23" i="8"/>
  <c r="AC23" i="8"/>
  <c r="R23" i="8"/>
  <c r="D23" i="8"/>
  <c r="CB23" i="8"/>
  <c r="BH23" i="8"/>
  <c r="AU23" i="8"/>
  <c r="AJ23" i="8"/>
  <c r="AA23" i="8"/>
  <c r="T23" i="8"/>
  <c r="H23" i="8"/>
  <c r="BH56" i="8"/>
  <c r="BH61" i="8" s="1"/>
  <c r="BG56" i="8"/>
  <c r="BG61" i="8" s="1"/>
  <c r="BF56" i="8"/>
  <c r="BF61" i="8" s="1"/>
  <c r="BE56" i="8"/>
  <c r="BE61" i="8" s="1"/>
  <c r="BD56" i="8"/>
  <c r="BD61" i="8" s="1"/>
  <c r="BC56" i="8"/>
  <c r="BC61" i="8" s="1"/>
  <c r="BB56" i="8"/>
  <c r="BB61" i="8" s="1"/>
  <c r="BA56" i="8"/>
  <c r="BA61" i="8" s="1"/>
  <c r="AZ56" i="8"/>
  <c r="AZ61" i="8" s="1"/>
  <c r="AY56" i="8"/>
  <c r="AY61" i="8" s="1"/>
  <c r="AX56" i="8"/>
  <c r="AX61" i="8" s="1"/>
  <c r="AW56" i="8"/>
  <c r="AW61" i="8" s="1"/>
  <c r="AV56" i="8"/>
  <c r="AV61" i="8" s="1"/>
  <c r="AU56" i="8"/>
  <c r="AU61" i="8" s="1"/>
  <c r="AT56" i="8"/>
  <c r="AT61" i="8" s="1"/>
  <c r="AS56" i="8"/>
  <c r="AS61" i="8" s="1"/>
  <c r="AR56" i="8"/>
  <c r="AR61" i="8" s="1"/>
  <c r="AQ56" i="8"/>
  <c r="AQ61" i="8" s="1"/>
  <c r="AP56" i="8"/>
  <c r="AP61" i="8" s="1"/>
  <c r="AO56" i="8"/>
  <c r="AO61" i="8" s="1"/>
  <c r="AN56" i="8"/>
  <c r="AN61" i="8" s="1"/>
  <c r="AM56" i="8"/>
  <c r="AM61" i="8" s="1"/>
  <c r="AL56" i="8"/>
  <c r="AL61" i="8" s="1"/>
  <c r="AK56" i="8"/>
  <c r="AK61" i="8" s="1"/>
  <c r="AJ56" i="8"/>
  <c r="AJ61" i="8" s="1"/>
  <c r="AI56" i="8"/>
  <c r="AI61" i="8" s="1"/>
  <c r="AH56" i="8"/>
  <c r="AH61" i="8" s="1"/>
  <c r="AG56" i="8"/>
  <c r="AG61" i="8" s="1"/>
  <c r="AF56" i="8"/>
  <c r="AF61" i="8" s="1"/>
  <c r="AE56" i="8"/>
  <c r="AE61" i="8" s="1"/>
  <c r="AD56" i="8"/>
  <c r="AD61" i="8" s="1"/>
  <c r="AC56" i="8"/>
  <c r="AC61" i="8" s="1"/>
  <c r="AB56" i="8"/>
  <c r="AB61" i="8" s="1"/>
  <c r="AA56" i="8"/>
  <c r="AA61" i="8" s="1"/>
  <c r="Z56" i="8"/>
  <c r="Z61" i="8" s="1"/>
  <c r="Y56" i="8"/>
  <c r="Y61" i="8" s="1"/>
  <c r="X56" i="8"/>
  <c r="X61" i="8" s="1"/>
  <c r="W56" i="8"/>
  <c r="W61" i="8" s="1"/>
  <c r="V56" i="8"/>
  <c r="V61" i="8" s="1"/>
  <c r="U56" i="8"/>
  <c r="U61" i="8" s="1"/>
  <c r="T56" i="8"/>
  <c r="T61" i="8" s="1"/>
  <c r="S56" i="8"/>
  <c r="S61" i="8" s="1"/>
  <c r="R56" i="8"/>
  <c r="R61" i="8" s="1"/>
  <c r="Q56" i="8"/>
  <c r="Q61" i="8" s="1"/>
  <c r="P56" i="8"/>
  <c r="P61" i="8" s="1"/>
  <c r="O56" i="8"/>
  <c r="O61" i="8" s="1"/>
  <c r="N56" i="8"/>
  <c r="N61" i="8" s="1"/>
  <c r="M56" i="8"/>
  <c r="M61" i="8" s="1"/>
  <c r="L56" i="8"/>
  <c r="L61" i="8" s="1"/>
  <c r="K56" i="8"/>
  <c r="K61" i="8" s="1"/>
  <c r="J56" i="8"/>
  <c r="J61" i="8" s="1"/>
  <c r="I56" i="8"/>
  <c r="I61" i="8" s="1"/>
  <c r="H56" i="8"/>
  <c r="H61" i="8" s="1"/>
  <c r="G56" i="8"/>
  <c r="G61" i="8" s="1"/>
  <c r="F56" i="8"/>
  <c r="F61" i="8" s="1"/>
  <c r="E56" i="8"/>
  <c r="E61" i="8" s="1"/>
  <c r="D56" i="8"/>
  <c r="D61" i="8" s="1"/>
  <c r="CA23" i="8"/>
  <c r="BU23" i="8"/>
  <c r="BM23" i="8"/>
  <c r="BE23" i="8"/>
  <c r="AV23" i="8"/>
  <c r="AM23" i="8"/>
  <c r="AE23" i="8"/>
  <c r="O23" i="8"/>
  <c r="G23" i="8"/>
  <c r="D45" i="8"/>
  <c r="CH23" i="8"/>
  <c r="BX23" i="8"/>
  <c r="BR23" i="8"/>
  <c r="BK23" i="8"/>
  <c r="BA23" i="8"/>
  <c r="AP23" i="8"/>
  <c r="AB23" i="8"/>
  <c r="Q23" i="8"/>
  <c r="J23" i="8"/>
  <c r="D11" i="6"/>
  <c r="C4" i="4"/>
  <c r="D10" i="6"/>
  <c r="C8" i="4"/>
  <c r="E35" i="12"/>
  <c r="D35" i="12"/>
  <c r="G35" i="12" s="1"/>
  <c r="H25" i="8"/>
  <c r="CA47" i="8"/>
  <c r="BP47" i="8"/>
  <c r="BF47" i="8"/>
  <c r="AV47" i="8"/>
  <c r="CE36" i="8"/>
  <c r="BU36" i="8"/>
  <c r="BH36" i="8"/>
  <c r="AU36" i="8"/>
  <c r="AL36" i="8"/>
  <c r="AA36" i="8"/>
  <c r="P36" i="8"/>
  <c r="G36" i="8"/>
  <c r="M25" i="8"/>
  <c r="BT16" i="10"/>
  <c r="BT30" i="10" s="1"/>
  <c r="BS16" i="10"/>
  <c r="BS30" i="10" s="1"/>
  <c r="BR16" i="10"/>
  <c r="BR30" i="10" s="1"/>
  <c r="BQ16" i="10"/>
  <c r="BQ30" i="10" s="1"/>
  <c r="BP16" i="10"/>
  <c r="BP30" i="10" s="1"/>
  <c r="BO16" i="10"/>
  <c r="BO30" i="10" s="1"/>
  <c r="BN16" i="10"/>
  <c r="BN30" i="10" s="1"/>
  <c r="BM16" i="10"/>
  <c r="BM30" i="10" s="1"/>
  <c r="BL16" i="10"/>
  <c r="BL30" i="10" s="1"/>
  <c r="BK16" i="10"/>
  <c r="BK30" i="10" s="1"/>
  <c r="BJ16" i="10"/>
  <c r="BJ30" i="10" s="1"/>
  <c r="BI16" i="10"/>
  <c r="BI30" i="10" s="1"/>
  <c r="BH16" i="10"/>
  <c r="BH30" i="10" s="1"/>
  <c r="BG16" i="10"/>
  <c r="BG30" i="10" s="1"/>
  <c r="BF16" i="10"/>
  <c r="BF30" i="10" s="1"/>
  <c r="BE16" i="10"/>
  <c r="BE30" i="10" s="1"/>
  <c r="BD16" i="10"/>
  <c r="BD30" i="10" s="1"/>
  <c r="BC16" i="10"/>
  <c r="BC30" i="10" s="1"/>
  <c r="BB16" i="10"/>
  <c r="BB30" i="10" s="1"/>
  <c r="BA16" i="10"/>
  <c r="BA30" i="10" s="1"/>
  <c r="AZ16" i="10"/>
  <c r="AZ30" i="10" s="1"/>
  <c r="AY16" i="10"/>
  <c r="AY30" i="10" s="1"/>
  <c r="AX16" i="10"/>
  <c r="AX30" i="10" s="1"/>
  <c r="AW16" i="10"/>
  <c r="AW30" i="10" s="1"/>
  <c r="AV16" i="10"/>
  <c r="AV30" i="10" s="1"/>
  <c r="AU16" i="10"/>
  <c r="AU30" i="10" s="1"/>
  <c r="AT16" i="10"/>
  <c r="AT30" i="10" s="1"/>
  <c r="AS16" i="10"/>
  <c r="AS30" i="10" s="1"/>
  <c r="AR16" i="10"/>
  <c r="AR30" i="10" s="1"/>
  <c r="AQ16" i="10"/>
  <c r="AQ30" i="10" s="1"/>
  <c r="AP16" i="10"/>
  <c r="AP30" i="10" s="1"/>
  <c r="AO16" i="10"/>
  <c r="AO30" i="10" s="1"/>
  <c r="AN16" i="10"/>
  <c r="AN30" i="10" s="1"/>
  <c r="AM16" i="10"/>
  <c r="AM30" i="10" s="1"/>
  <c r="AL16" i="10"/>
  <c r="AL30" i="10" s="1"/>
  <c r="AK16" i="10"/>
  <c r="AK30" i="10" s="1"/>
  <c r="AJ16" i="10"/>
  <c r="AJ30" i="10" s="1"/>
  <c r="AI16" i="10"/>
  <c r="AI30" i="10" s="1"/>
  <c r="AH16" i="10"/>
  <c r="AH30" i="10" s="1"/>
  <c r="AG16" i="10"/>
  <c r="AG30" i="10" s="1"/>
  <c r="AF16" i="10"/>
  <c r="AF30" i="10" s="1"/>
  <c r="AE16" i="10"/>
  <c r="AE30" i="10" s="1"/>
  <c r="AD16" i="10"/>
  <c r="AD30" i="10" s="1"/>
  <c r="AC16" i="10"/>
  <c r="AC30" i="10" s="1"/>
  <c r="AA16" i="10"/>
  <c r="AA30" i="10" s="1"/>
  <c r="Z16" i="10"/>
  <c r="Z30" i="10" s="1"/>
  <c r="Y16" i="10"/>
  <c r="Y30" i="10" s="1"/>
  <c r="X16" i="10"/>
  <c r="X30" i="10" s="1"/>
  <c r="W16" i="10"/>
  <c r="W30" i="10" s="1"/>
  <c r="V16" i="10"/>
  <c r="V30" i="10" s="1"/>
  <c r="U16" i="10"/>
  <c r="U30" i="10" s="1"/>
  <c r="T16" i="10"/>
  <c r="T30" i="10" s="1"/>
  <c r="S16" i="10"/>
  <c r="S30" i="10" s="1"/>
  <c r="R16" i="10"/>
  <c r="R30" i="10" s="1"/>
  <c r="Q16" i="10"/>
  <c r="Q30" i="10" s="1"/>
  <c r="O16" i="10"/>
  <c r="O30" i="10" s="1"/>
  <c r="N16" i="10"/>
  <c r="N30" i="10" s="1"/>
  <c r="M16" i="10"/>
  <c r="M30" i="10" s="1"/>
  <c r="L16" i="10"/>
  <c r="L30" i="10" s="1"/>
  <c r="K16" i="10"/>
  <c r="K30" i="10" s="1"/>
  <c r="J16" i="10"/>
  <c r="J30" i="10" s="1"/>
  <c r="I16" i="10"/>
  <c r="I30" i="10" s="1"/>
  <c r="H16" i="10"/>
  <c r="H30" i="10" s="1"/>
  <c r="G16" i="10"/>
  <c r="G30" i="10" s="1"/>
  <c r="F16" i="10"/>
  <c r="F30" i="10" s="1"/>
  <c r="E16" i="10"/>
  <c r="E30" i="10" s="1"/>
  <c r="AY80" i="8"/>
  <c r="AM80" i="8"/>
  <c r="AF80" i="8"/>
  <c r="Y80" i="8"/>
  <c r="R80" i="8"/>
  <c r="BW69" i="8"/>
  <c r="BP69" i="8"/>
  <c r="BI69" i="8"/>
  <c r="AZ69" i="8"/>
  <c r="AS69" i="8"/>
  <c r="AM69" i="8"/>
  <c r="AD69" i="8"/>
  <c r="X69" i="8"/>
  <c r="CD47" i="8"/>
  <c r="BT47" i="8"/>
  <c r="BI47" i="8"/>
  <c r="BP36" i="8"/>
  <c r="BF36" i="8"/>
  <c r="AT36" i="8"/>
  <c r="AD36" i="8"/>
  <c r="T36" i="8"/>
  <c r="K25" i="8"/>
  <c r="CI36" i="11"/>
  <c r="CH36" i="11"/>
  <c r="CG36" i="11"/>
  <c r="CF36" i="11"/>
  <c r="CE36" i="11"/>
  <c r="CD36" i="11"/>
  <c r="CC36" i="11"/>
  <c r="CB36" i="11"/>
  <c r="CA36" i="11"/>
  <c r="BZ36" i="11"/>
  <c r="BY36" i="11"/>
  <c r="BX36" i="11"/>
  <c r="BW36" i="11"/>
  <c r="BV36" i="11"/>
  <c r="BU36" i="11"/>
  <c r="BT36" i="11"/>
  <c r="BS36" i="11"/>
  <c r="BR36" i="11"/>
  <c r="BQ36" i="11"/>
  <c r="BP36" i="11"/>
  <c r="BO36" i="11"/>
  <c r="BN36" i="11"/>
  <c r="BM36" i="11"/>
  <c r="BL36" i="11"/>
  <c r="BK36" i="11"/>
  <c r="BJ36" i="11"/>
  <c r="BI36" i="11"/>
  <c r="BH36" i="11"/>
  <c r="BG36" i="11"/>
  <c r="BF36" i="11"/>
  <c r="BE36" i="11"/>
  <c r="BD36" i="11"/>
  <c r="BC36" i="11"/>
  <c r="BB36" i="11"/>
  <c r="BA36" i="11"/>
  <c r="AZ36" i="11"/>
  <c r="AY36" i="11"/>
  <c r="AX36" i="11"/>
  <c r="AW36" i="11"/>
  <c r="AV36" i="11"/>
  <c r="AU36" i="11"/>
  <c r="AT36" i="11"/>
  <c r="AS36" i="11"/>
  <c r="AR36" i="11"/>
  <c r="AQ36" i="11"/>
  <c r="AP36" i="11"/>
  <c r="AO36" i="11"/>
  <c r="AN36" i="11"/>
  <c r="AM36" i="11"/>
  <c r="AL36" i="11"/>
  <c r="AK36" i="11"/>
  <c r="AJ36" i="11"/>
  <c r="AI36" i="11"/>
  <c r="AH36" i="11"/>
  <c r="AG36" i="11"/>
  <c r="AF36" i="11"/>
  <c r="AE36" i="11"/>
  <c r="AD36" i="11"/>
  <c r="AC36" i="11"/>
  <c r="AB36" i="11"/>
  <c r="F36" i="12" s="1"/>
  <c r="AA36" i="11"/>
  <c r="Z36" i="11"/>
  <c r="Y36" i="11"/>
  <c r="X36" i="11"/>
  <c r="W36" i="11"/>
  <c r="V36" i="11"/>
  <c r="U36" i="11"/>
  <c r="T36" i="11"/>
  <c r="S36" i="11"/>
  <c r="R36" i="11"/>
  <c r="Q36" i="11"/>
  <c r="P36" i="11"/>
  <c r="E36" i="12" s="1"/>
  <c r="O36" i="11"/>
  <c r="N36" i="11"/>
  <c r="M36" i="11"/>
  <c r="L36" i="11"/>
  <c r="K36" i="11"/>
  <c r="J36" i="11"/>
  <c r="I36" i="11"/>
  <c r="H36" i="11"/>
  <c r="G36" i="11"/>
  <c r="F36" i="11"/>
  <c r="E36" i="11"/>
  <c r="D36" i="11"/>
  <c r="D36" i="12" s="1"/>
  <c r="G36" i="12" s="1"/>
  <c r="BH80" i="8"/>
  <c r="AH80" i="8"/>
  <c r="BR69" i="8"/>
  <c r="BJ69" i="8"/>
  <c r="BC69" i="8"/>
  <c r="AT69" i="8"/>
  <c r="AK69" i="8"/>
  <c r="AA69" i="8"/>
  <c r="R69" i="8"/>
  <c r="CC47" i="8"/>
  <c r="BV47" i="8"/>
  <c r="BM47" i="8"/>
  <c r="BC47" i="8"/>
  <c r="CH36" i="8"/>
  <c r="BY36" i="8"/>
  <c r="BM36" i="8"/>
  <c r="BA36" i="8"/>
  <c r="AR36" i="8"/>
  <c r="AE36" i="8"/>
  <c r="S36" i="8"/>
  <c r="L25" i="8"/>
  <c r="CI23" i="8"/>
  <c r="CI33" i="11"/>
  <c r="CH33" i="11"/>
  <c r="CG33" i="11"/>
  <c r="CF33" i="11"/>
  <c r="CE33" i="11"/>
  <c r="CD33" i="11"/>
  <c r="CC33" i="11"/>
  <c r="CB33" i="11"/>
  <c r="CA33" i="11"/>
  <c r="BZ33" i="11"/>
  <c r="BY33" i="11"/>
  <c r="BX33" i="11"/>
  <c r="BW33" i="11"/>
  <c r="BV33" i="11"/>
  <c r="BU33" i="11"/>
  <c r="BT33" i="11"/>
  <c r="BS33" i="11"/>
  <c r="BR33" i="11"/>
  <c r="BQ33" i="11"/>
  <c r="BP33" i="11"/>
  <c r="BO33" i="11"/>
  <c r="BN33" i="11"/>
  <c r="BM33" i="11"/>
  <c r="BL33" i="11"/>
  <c r="BK33" i="11"/>
  <c r="BJ33" i="11"/>
  <c r="BI33" i="11"/>
  <c r="BH33" i="11"/>
  <c r="BG33" i="11"/>
  <c r="BF33" i="11"/>
  <c r="BE33" i="11"/>
  <c r="BD33" i="11"/>
  <c r="BC33" i="1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F33" i="12" s="1"/>
  <c r="AA33" i="11"/>
  <c r="Z33" i="11"/>
  <c r="Y33" i="11"/>
  <c r="X33" i="11"/>
  <c r="W33" i="11"/>
  <c r="V33" i="11"/>
  <c r="U33" i="11"/>
  <c r="T33" i="11"/>
  <c r="S33" i="11"/>
  <c r="R33" i="11"/>
  <c r="Q33" i="11"/>
  <c r="P33" i="11"/>
  <c r="E33" i="12" s="1"/>
  <c r="O33" i="11"/>
  <c r="N33" i="11"/>
  <c r="M33" i="11"/>
  <c r="L33" i="11"/>
  <c r="K33" i="11"/>
  <c r="J33" i="11"/>
  <c r="I33" i="11"/>
  <c r="H33" i="11"/>
  <c r="G33" i="11"/>
  <c r="F33" i="11"/>
  <c r="E33" i="11"/>
  <c r="D33" i="11"/>
  <c r="D33" i="12" s="1"/>
  <c r="G33" i="12" s="1"/>
  <c r="CI32" i="11"/>
  <c r="CH32" i="11"/>
  <c r="CG32" i="11"/>
  <c r="CF32" i="11"/>
  <c r="CE32" i="11"/>
  <c r="CD32" i="11"/>
  <c r="CC32" i="11"/>
  <c r="CB32" i="11"/>
  <c r="CA32" i="11"/>
  <c r="BZ32" i="11"/>
  <c r="BY32" i="11"/>
  <c r="BX32" i="11"/>
  <c r="BW32" i="11"/>
  <c r="BV32" i="11"/>
  <c r="BU32" i="11"/>
  <c r="BT32" i="11"/>
  <c r="BS32" i="11"/>
  <c r="BR32" i="11"/>
  <c r="BQ32" i="11"/>
  <c r="BP32" i="11"/>
  <c r="BO32" i="11"/>
  <c r="BN32" i="11"/>
  <c r="BM32" i="11"/>
  <c r="BL32" i="11"/>
  <c r="BK32" i="11"/>
  <c r="BJ32" i="11"/>
  <c r="BI32" i="11"/>
  <c r="BH32" i="11"/>
  <c r="BG32" i="11"/>
  <c r="BF32" i="11"/>
  <c r="BO80" i="8"/>
  <c r="AZ80" i="8"/>
  <c r="AS80" i="8"/>
  <c r="AN80" i="8"/>
  <c r="AJ80" i="8"/>
  <c r="AE80" i="8"/>
  <c r="X80" i="8"/>
  <c r="T80" i="8"/>
  <c r="P80" i="8"/>
  <c r="BX69" i="8"/>
  <c r="BQ69" i="8"/>
  <c r="BK69" i="8"/>
  <c r="BF69" i="8"/>
  <c r="BA69" i="8"/>
  <c r="AV69" i="8"/>
  <c r="AP69" i="8"/>
  <c r="AH69" i="8"/>
  <c r="AC69" i="8"/>
  <c r="W69" i="8"/>
  <c r="Q69" i="8"/>
  <c r="CE47" i="8"/>
  <c r="BY47" i="8"/>
  <c r="BQ47" i="8"/>
  <c r="BG47" i="8"/>
  <c r="AZ47" i="8"/>
  <c r="CF36" i="8"/>
  <c r="BW36" i="8"/>
  <c r="BO36" i="8"/>
  <c r="BD36" i="8"/>
  <c r="AY36" i="8"/>
  <c r="AP36" i="8"/>
  <c r="AK36" i="8"/>
  <c r="AC36" i="8"/>
  <c r="U36" i="8"/>
  <c r="L36" i="8"/>
  <c r="E36" i="8"/>
  <c r="S25" i="8"/>
  <c r="J25" i="8"/>
  <c r="AZ91" i="8"/>
  <c r="AM91" i="8"/>
  <c r="AH91" i="8"/>
  <c r="AE91" i="8"/>
  <c r="AB91" i="8"/>
  <c r="Y91" i="8"/>
  <c r="V91" i="8"/>
  <c r="CG89" i="8"/>
  <c r="CG94" i="8" s="1"/>
  <c r="CE89" i="8"/>
  <c r="CE94" i="8" s="1"/>
  <c r="CA89" i="8"/>
  <c r="CA94" i="8" s="1"/>
  <c r="BX89" i="8"/>
  <c r="BX94" i="8" s="1"/>
  <c r="BU89" i="8"/>
  <c r="BU94" i="8" s="1"/>
  <c r="BR89" i="8"/>
  <c r="BR94" i="8" s="1"/>
  <c r="BO89" i="8"/>
  <c r="BO94" i="8" s="1"/>
  <c r="BL89" i="8"/>
  <c r="BL94" i="8" s="1"/>
  <c r="BG89" i="8"/>
  <c r="BG94" i="8" s="1"/>
  <c r="BD89" i="8"/>
  <c r="BD94" i="8" s="1"/>
  <c r="BC89" i="8"/>
  <c r="BC94" i="8" s="1"/>
  <c r="AZ89" i="8"/>
  <c r="AZ94" i="8" s="1"/>
  <c r="AW89" i="8"/>
  <c r="AW94" i="8" s="1"/>
  <c r="AT89" i="8"/>
  <c r="AT94" i="8" s="1"/>
  <c r="AQ89" i="8"/>
  <c r="AQ94" i="8" s="1"/>
  <c r="AN89" i="8"/>
  <c r="AN94" i="8" s="1"/>
  <c r="AK89" i="8"/>
  <c r="AK94" i="8" s="1"/>
  <c r="AH89" i="8"/>
  <c r="AH94" i="8" s="1"/>
  <c r="AE89" i="8"/>
  <c r="AE94" i="8" s="1"/>
  <c r="AB89" i="8"/>
  <c r="AB94" i="8" s="1"/>
  <c r="Y89" i="8"/>
  <c r="V89" i="8"/>
  <c r="S89" i="8"/>
  <c r="S94" i="8" s="1"/>
  <c r="P89" i="8"/>
  <c r="P94" i="8" s="1"/>
  <c r="M89" i="8"/>
  <c r="M94" i="8" s="1"/>
  <c r="J89" i="8"/>
  <c r="J94" i="8" s="1"/>
  <c r="G89" i="8"/>
  <c r="G94" i="8" s="1"/>
  <c r="CI80" i="8"/>
  <c r="CD80" i="8"/>
  <c r="CB80" i="8"/>
  <c r="BY80" i="8"/>
  <c r="BV80" i="8"/>
  <c r="BS80" i="8"/>
  <c r="BP80" i="8"/>
  <c r="BN80" i="8"/>
  <c r="BK80" i="8"/>
  <c r="BG80" i="8"/>
  <c r="BD80" i="8"/>
  <c r="BA80" i="8"/>
  <c r="AV80" i="8"/>
  <c r="AR80" i="8"/>
  <c r="AO80" i="8"/>
  <c r="AI80" i="8"/>
  <c r="AC80" i="8"/>
  <c r="Z80" i="8"/>
  <c r="U80" i="8"/>
  <c r="BY69" i="8"/>
  <c r="BS69" i="8"/>
  <c r="BM69" i="8"/>
  <c r="BG69" i="8"/>
  <c r="BB69" i="8"/>
  <c r="AW69" i="8"/>
  <c r="AO69" i="8"/>
  <c r="AJ69" i="8"/>
  <c r="AE69" i="8"/>
  <c r="V69" i="8"/>
  <c r="P69" i="8"/>
  <c r="CH47" i="8"/>
  <c r="BW47" i="8"/>
  <c r="BN47" i="8"/>
  <c r="BJ47" i="8"/>
  <c r="BB47" i="8"/>
  <c r="CG36" i="8"/>
  <c r="BV36" i="8"/>
  <c r="BL36" i="8"/>
  <c r="BB36" i="8"/>
  <c r="AQ36" i="8"/>
  <c r="V36" i="8"/>
  <c r="O36" i="8"/>
  <c r="H36" i="8"/>
  <c r="Q25" i="8"/>
  <c r="I25" i="8"/>
  <c r="CA91" i="8"/>
  <c r="BU91" i="8"/>
  <c r="BR91" i="8"/>
  <c r="BP91" i="8"/>
  <c r="BN91" i="8"/>
  <c r="BL91" i="8"/>
  <c r="BJ91" i="8"/>
  <c r="BH91" i="8"/>
  <c r="BF91" i="8"/>
  <c r="BD91" i="8"/>
  <c r="BB91" i="8"/>
  <c r="AY91" i="8"/>
  <c r="AW91" i="8"/>
  <c r="AU91" i="8"/>
  <c r="AS91" i="8"/>
  <c r="AQ91" i="8"/>
  <c r="AN91" i="8"/>
  <c r="AK91" i="8"/>
  <c r="AJ91" i="8"/>
  <c r="AG91" i="8"/>
  <c r="AD91" i="8"/>
  <c r="AA91" i="8"/>
  <c r="X91" i="8"/>
  <c r="CH89" i="8"/>
  <c r="CH94" i="8" s="1"/>
  <c r="CD89" i="8"/>
  <c r="CD94" i="8" s="1"/>
  <c r="CB89" i="8"/>
  <c r="CB94" i="8" s="1"/>
  <c r="BZ89" i="8"/>
  <c r="BZ94" i="8" s="1"/>
  <c r="BW89" i="8"/>
  <c r="BW94" i="8" s="1"/>
  <c r="BS89" i="8"/>
  <c r="BS94" i="8" s="1"/>
  <c r="BP89" i="8"/>
  <c r="BP94" i="8" s="1"/>
  <c r="BN89" i="8"/>
  <c r="BN94" i="8" s="1"/>
  <c r="BJ89" i="8"/>
  <c r="BJ94" i="8" s="1"/>
  <c r="BH89" i="8"/>
  <c r="BH94" i="8" s="1"/>
  <c r="BE89" i="8"/>
  <c r="BE94" i="8" s="1"/>
  <c r="BA89" i="8"/>
  <c r="BA94" i="8" s="1"/>
  <c r="AY89" i="8"/>
  <c r="AY94" i="8" s="1"/>
  <c r="AV89" i="8"/>
  <c r="AV94" i="8" s="1"/>
  <c r="AR89" i="8"/>
  <c r="AR94" i="8" s="1"/>
  <c r="AO89" i="8"/>
  <c r="AO94" i="8" s="1"/>
  <c r="AM89" i="8"/>
  <c r="AM94" i="8" s="1"/>
  <c r="AI89" i="8"/>
  <c r="AI94" i="8" s="1"/>
  <c r="AG89" i="8"/>
  <c r="AG94" i="8" s="1"/>
  <c r="AD89" i="8"/>
  <c r="AD94" i="8" s="1"/>
  <c r="AA89" i="8"/>
  <c r="AA94" i="8" s="1"/>
  <c r="W89" i="8"/>
  <c r="T89" i="8"/>
  <c r="T94" i="8" s="1"/>
  <c r="R89" i="8"/>
  <c r="R94" i="8" s="1"/>
  <c r="N89" i="8"/>
  <c r="N94" i="8" s="1"/>
  <c r="K89" i="8"/>
  <c r="K94" i="8" s="1"/>
  <c r="H89" i="8"/>
  <c r="H94" i="8" s="1"/>
  <c r="CG80" i="8"/>
  <c r="CE80" i="8"/>
  <c r="CA80" i="8"/>
  <c r="BX80" i="8"/>
  <c r="BU80" i="8"/>
  <c r="BR80" i="8"/>
  <c r="BM80" i="8"/>
  <c r="BJ80" i="8"/>
  <c r="BF80" i="8"/>
  <c r="BC80" i="8"/>
  <c r="AX80" i="8"/>
  <c r="AU80" i="8"/>
  <c r="AQ80" i="8"/>
  <c r="AL80" i="8"/>
  <c r="AG80" i="8"/>
  <c r="AB80" i="8"/>
  <c r="W80" i="8"/>
  <c r="S80" i="8"/>
  <c r="CA69" i="8"/>
  <c r="BU69" i="8"/>
  <c r="BN69" i="8"/>
  <c r="BH69" i="8"/>
  <c r="BD69" i="8"/>
  <c r="AY69" i="8"/>
  <c r="AR69" i="8"/>
  <c r="AN69" i="8"/>
  <c r="AG69" i="8"/>
  <c r="Z69" i="8"/>
  <c r="U69" i="8"/>
  <c r="CI47" i="8"/>
  <c r="BZ47" i="8"/>
  <c r="BS47" i="8"/>
  <c r="BL47" i="8"/>
  <c r="BD47" i="8"/>
  <c r="AX47" i="8"/>
  <c r="CI36" i="8"/>
  <c r="BZ36" i="8"/>
  <c r="BS36" i="8"/>
  <c r="BK36" i="8"/>
  <c r="BC36" i="8"/>
  <c r="AW36" i="8"/>
  <c r="AM36" i="8"/>
  <c r="AH36" i="8"/>
  <c r="AB36" i="8"/>
  <c r="R36" i="8"/>
  <c r="K36" i="8"/>
  <c r="D36" i="8"/>
  <c r="O25" i="8"/>
  <c r="D59" i="5"/>
  <c r="CI91" i="8"/>
  <c r="CH91" i="8"/>
  <c r="CG91" i="8"/>
  <c r="CF91" i="8"/>
  <c r="CE91" i="8"/>
  <c r="CD91" i="8"/>
  <c r="CC91" i="8"/>
  <c r="CB91" i="8"/>
  <c r="BZ91" i="8"/>
  <c r="BY91" i="8"/>
  <c r="BX91" i="8"/>
  <c r="BW91" i="8"/>
  <c r="BV91" i="8"/>
  <c r="BT91" i="8"/>
  <c r="BS91" i="8"/>
  <c r="BQ91" i="8"/>
  <c r="BO91" i="8"/>
  <c r="BM91" i="8"/>
  <c r="BK91" i="8"/>
  <c r="BI91" i="8"/>
  <c r="BG91" i="8"/>
  <c r="BE91" i="8"/>
  <c r="BC91" i="8"/>
  <c r="BA91" i="8"/>
  <c r="AX91" i="8"/>
  <c r="AV91" i="8"/>
  <c r="AT91" i="8"/>
  <c r="AR91" i="8"/>
  <c r="AP91" i="8"/>
  <c r="AO91" i="8"/>
  <c r="AL91" i="8"/>
  <c r="AI91" i="8"/>
  <c r="AF91" i="8"/>
  <c r="AC91" i="8"/>
  <c r="Z91" i="8"/>
  <c r="W91" i="8"/>
  <c r="CI89" i="8"/>
  <c r="CI94" i="8" s="1"/>
  <c r="CF89" i="8"/>
  <c r="CF94" i="8" s="1"/>
  <c r="CC89" i="8"/>
  <c r="CC94" i="8" s="1"/>
  <c r="BY89" i="8"/>
  <c r="BY94" i="8" s="1"/>
  <c r="BV89" i="8"/>
  <c r="BV94" i="8" s="1"/>
  <c r="BT89" i="8"/>
  <c r="BT94" i="8" s="1"/>
  <c r="BQ89" i="8"/>
  <c r="BQ94" i="8" s="1"/>
  <c r="BM89" i="8"/>
  <c r="BM94" i="8" s="1"/>
  <c r="BK89" i="8"/>
  <c r="BK94" i="8" s="1"/>
  <c r="BI89" i="8"/>
  <c r="BI94" i="8" s="1"/>
  <c r="BF89" i="8"/>
  <c r="BF94" i="8" s="1"/>
  <c r="BB89" i="8"/>
  <c r="BB94" i="8" s="1"/>
  <c r="AX89" i="8"/>
  <c r="AX94" i="8" s="1"/>
  <c r="AU89" i="8"/>
  <c r="AU94" i="8" s="1"/>
  <c r="AS89" i="8"/>
  <c r="AS94" i="8" s="1"/>
  <c r="AP89" i="8"/>
  <c r="AP94" i="8" s="1"/>
  <c r="AL89" i="8"/>
  <c r="AL94" i="8" s="1"/>
  <c r="AJ89" i="8"/>
  <c r="AJ94" i="8" s="1"/>
  <c r="AF89" i="8"/>
  <c r="AF94" i="8" s="1"/>
  <c r="AC89" i="8"/>
  <c r="AC94" i="8" s="1"/>
  <c r="Z89" i="8"/>
  <c r="X89" i="8"/>
  <c r="U89" i="8"/>
  <c r="U94" i="8" s="1"/>
  <c r="Q89" i="8"/>
  <c r="Q94" i="8" s="1"/>
  <c r="O89" i="8"/>
  <c r="O94" i="8" s="1"/>
  <c r="L89" i="8"/>
  <c r="L94" i="8" s="1"/>
  <c r="I89" i="8"/>
  <c r="I94" i="8" s="1"/>
  <c r="F89" i="8"/>
  <c r="F94" i="8" s="1"/>
  <c r="CH80" i="8"/>
  <c r="CF80" i="8"/>
  <c r="CC80" i="8"/>
  <c r="BZ80" i="8"/>
  <c r="BW80" i="8"/>
  <c r="BT80" i="8"/>
  <c r="BQ80" i="8"/>
  <c r="BL80" i="8"/>
  <c r="BI80" i="8"/>
  <c r="BE80" i="8"/>
  <c r="BB80" i="8"/>
  <c r="AW80" i="8"/>
  <c r="AT80" i="8"/>
  <c r="AP80" i="8"/>
  <c r="AK80" i="8"/>
  <c r="AD80" i="8"/>
  <c r="AA80" i="8"/>
  <c r="V80" i="8"/>
  <c r="Q80" i="8"/>
  <c r="BZ69" i="8"/>
  <c r="BT69" i="8"/>
  <c r="BO69" i="8"/>
  <c r="AX69" i="8"/>
  <c r="AQ69" i="8"/>
  <c r="AL69" i="8"/>
  <c r="AF69" i="8"/>
  <c r="Y69" i="8"/>
  <c r="S69" i="8"/>
  <c r="CG47" i="8"/>
  <c r="BX47" i="8"/>
  <c r="BO47" i="8"/>
  <c r="BH47" i="8"/>
  <c r="AY47" i="8"/>
  <c r="CC36" i="8"/>
  <c r="BX36" i="8"/>
  <c r="BN36" i="8"/>
  <c r="BE36" i="8"/>
  <c r="AX36" i="8"/>
  <c r="AO36" i="8"/>
  <c r="AI36" i="8"/>
  <c r="Y36" i="8"/>
  <c r="Q36" i="8"/>
  <c r="I36" i="8"/>
  <c r="R25" i="8"/>
  <c r="G25" i="8"/>
  <c r="CI69" i="8"/>
  <c r="CH69" i="8"/>
  <c r="CG69" i="8"/>
  <c r="CF69" i="8"/>
  <c r="CE69" i="8"/>
  <c r="CD69" i="8"/>
  <c r="CC69" i="8"/>
  <c r="CB69" i="8"/>
  <c r="BV69" i="8"/>
  <c r="BL69" i="8"/>
  <c r="BE69" i="8"/>
  <c r="AU69" i="8"/>
  <c r="AI69" i="8"/>
  <c r="AB69" i="8"/>
  <c r="T69" i="8"/>
  <c r="CF47" i="8"/>
  <c r="BU47" i="8"/>
  <c r="BK47" i="8"/>
  <c r="BA47" i="8"/>
  <c r="CD36" i="8"/>
  <c r="BT36" i="8"/>
  <c r="BJ36" i="8"/>
  <c r="AV36" i="8"/>
  <c r="AF36" i="8"/>
  <c r="X36" i="8"/>
  <c r="J36" i="8"/>
  <c r="P25" i="8"/>
  <c r="E25" i="8"/>
  <c r="AA67" i="8"/>
  <c r="Z67" i="8"/>
  <c r="Y67" i="8"/>
  <c r="X67" i="8"/>
  <c r="W67" i="8"/>
  <c r="V67" i="8"/>
  <c r="U67" i="8"/>
  <c r="T67" i="8"/>
  <c r="S67" i="8"/>
  <c r="R67" i="8"/>
  <c r="Q67" i="8"/>
  <c r="P67" i="8"/>
  <c r="O67" i="8"/>
  <c r="N67" i="8"/>
  <c r="M67" i="8"/>
  <c r="L67" i="8"/>
  <c r="K67" i="8"/>
  <c r="J67" i="8"/>
  <c r="I67" i="8"/>
  <c r="H67" i="8"/>
  <c r="G67" i="8"/>
  <c r="F67" i="8"/>
  <c r="E67" i="8"/>
  <c r="D67" i="8"/>
  <c r="CI58" i="8"/>
  <c r="CH58" i="8"/>
  <c r="CG58" i="8"/>
  <c r="CF58" i="8"/>
  <c r="CE58" i="8"/>
  <c r="CD58" i="8"/>
  <c r="CC58" i="8"/>
  <c r="CB58" i="8"/>
  <c r="CA58" i="8"/>
  <c r="BZ58" i="8"/>
  <c r="BY58" i="8"/>
  <c r="BX58" i="8"/>
  <c r="BW58" i="8"/>
  <c r="BV58" i="8"/>
  <c r="BU58" i="8"/>
  <c r="BT58" i="8"/>
  <c r="BS58" i="8"/>
  <c r="BR58" i="8"/>
  <c r="BQ58" i="8"/>
  <c r="BP58" i="8"/>
  <c r="BO58" i="8"/>
  <c r="BN58" i="8"/>
  <c r="BM58" i="8"/>
  <c r="BL58" i="8"/>
  <c r="BK58" i="8"/>
  <c r="BJ58" i="8"/>
  <c r="BI58" i="8"/>
  <c r="BH58" i="8"/>
  <c r="BG58" i="8"/>
  <c r="BF58" i="8"/>
  <c r="BE58" i="8"/>
  <c r="BD58" i="8"/>
  <c r="BC58" i="8"/>
  <c r="BB58" i="8"/>
  <c r="BA58" i="8"/>
  <c r="AZ58" i="8"/>
  <c r="AY58" i="8"/>
  <c r="AX58" i="8"/>
  <c r="AW58" i="8"/>
  <c r="AV58" i="8"/>
  <c r="AU58" i="8"/>
  <c r="AT58" i="8"/>
  <c r="AS58" i="8"/>
  <c r="AR58" i="8"/>
  <c r="AQ58" i="8"/>
  <c r="AP58" i="8"/>
  <c r="AO58" i="8"/>
  <c r="AN58" i="8"/>
  <c r="AM58" i="8"/>
  <c r="AL58" i="8"/>
  <c r="AK58" i="8"/>
  <c r="AJ58" i="8"/>
  <c r="AI58" i="8"/>
  <c r="AH58" i="8"/>
  <c r="AG58" i="8"/>
  <c r="AF58" i="8"/>
  <c r="AE58" i="8"/>
  <c r="AD58" i="8"/>
  <c r="AC58" i="8"/>
  <c r="AB58" i="8"/>
  <c r="AA58" i="8"/>
  <c r="Z58" i="8"/>
  <c r="Y58" i="8"/>
  <c r="X58" i="8"/>
  <c r="W58" i="8"/>
  <c r="V58" i="8"/>
  <c r="U58" i="8"/>
  <c r="T58" i="8"/>
  <c r="S58" i="8"/>
  <c r="R58" i="8"/>
  <c r="Q58" i="8"/>
  <c r="P58" i="8"/>
  <c r="CB47" i="8"/>
  <c r="BR47" i="8"/>
  <c r="BE47" i="8"/>
  <c r="AW47" i="8"/>
  <c r="CA36" i="8"/>
  <c r="BR36" i="8"/>
  <c r="BI36" i="8"/>
  <c r="AZ36" i="8"/>
  <c r="AN36" i="8"/>
  <c r="AG36" i="8"/>
  <c r="W36" i="8"/>
  <c r="M36" i="8"/>
  <c r="D25" i="8"/>
  <c r="AU47" i="8"/>
  <c r="AT47" i="8"/>
  <c r="AS47" i="8"/>
  <c r="AR47" i="8"/>
  <c r="AQ47" i="8"/>
  <c r="AP47" i="8"/>
  <c r="AO47" i="8"/>
  <c r="AN47" i="8"/>
  <c r="AM47" i="8"/>
  <c r="AL47" i="8"/>
  <c r="AK47" i="8"/>
  <c r="AJ47" i="8"/>
  <c r="AI47" i="8"/>
  <c r="AH47" i="8"/>
  <c r="AG47" i="8"/>
  <c r="AF47" i="8"/>
  <c r="AE47" i="8"/>
  <c r="AD47" i="8"/>
  <c r="AC47" i="8"/>
  <c r="AB47" i="8"/>
  <c r="AA47" i="8"/>
  <c r="Z47" i="8"/>
  <c r="Y47" i="8"/>
  <c r="X47" i="8"/>
  <c r="W47" i="8"/>
  <c r="V47" i="8"/>
  <c r="U47" i="8"/>
  <c r="T47" i="8"/>
  <c r="S47" i="8"/>
  <c r="R47" i="8"/>
  <c r="Q47" i="8"/>
  <c r="P47" i="8"/>
  <c r="O47" i="8"/>
  <c r="N47" i="8"/>
  <c r="M47" i="8"/>
  <c r="L47" i="8"/>
  <c r="K47" i="8"/>
  <c r="J47" i="8"/>
  <c r="I47" i="8"/>
  <c r="H47" i="8"/>
  <c r="G47" i="8"/>
  <c r="F47" i="8"/>
  <c r="E47" i="8"/>
  <c r="D47" i="8"/>
  <c r="CB36" i="8"/>
  <c r="BQ36" i="8"/>
  <c r="BG36" i="8"/>
  <c r="AS36" i="8"/>
  <c r="AJ36" i="8"/>
  <c r="Z36" i="8"/>
  <c r="N36" i="8"/>
  <c r="F36" i="8"/>
  <c r="CI34" i="8"/>
  <c r="CH34" i="8"/>
  <c r="CG34" i="8"/>
  <c r="CF34" i="8"/>
  <c r="CE34" i="8"/>
  <c r="CD34" i="8"/>
  <c r="CC34" i="8"/>
  <c r="CB34" i="8"/>
  <c r="CA34" i="8"/>
  <c r="BZ34" i="8"/>
  <c r="BY34" i="8"/>
  <c r="BX34" i="8"/>
  <c r="BW34" i="8"/>
  <c r="BV34" i="8"/>
  <c r="BU34" i="8"/>
  <c r="BT34" i="8"/>
  <c r="BS34" i="8"/>
  <c r="BR34" i="8"/>
  <c r="BQ34" i="8"/>
  <c r="BP34" i="8"/>
  <c r="BO34" i="8"/>
  <c r="BN34" i="8"/>
  <c r="BM34" i="8"/>
  <c r="BL34" i="8"/>
  <c r="BK34" i="8"/>
  <c r="BJ34" i="8"/>
  <c r="BI34" i="8"/>
  <c r="BH34" i="8"/>
  <c r="BG34" i="8"/>
  <c r="BF34" i="8"/>
  <c r="BE34" i="8"/>
  <c r="BD34" i="8"/>
  <c r="BC34" i="8"/>
  <c r="BB34" i="8"/>
  <c r="BA34" i="8"/>
  <c r="AZ34" i="8"/>
  <c r="AY34" i="8"/>
  <c r="AX34" i="8"/>
  <c r="AW34" i="8"/>
  <c r="AV34" i="8"/>
  <c r="CI25" i="8"/>
  <c r="CH25" i="8"/>
  <c r="CG25" i="8"/>
  <c r="CF25" i="8"/>
  <c r="CE25" i="8"/>
  <c r="CD25" i="8"/>
  <c r="CC25" i="8"/>
  <c r="CB25" i="8"/>
  <c r="CA25" i="8"/>
  <c r="BZ25" i="8"/>
  <c r="BY25" i="8"/>
  <c r="BX25" i="8"/>
  <c r="BW25" i="8"/>
  <c r="BV25" i="8"/>
  <c r="BU25" i="8"/>
  <c r="BT25" i="8"/>
  <c r="BS25" i="8"/>
  <c r="BR25" i="8"/>
  <c r="BQ25" i="8"/>
  <c r="BP25" i="8"/>
  <c r="BO25" i="8"/>
  <c r="BN25" i="8"/>
  <c r="BM25" i="8"/>
  <c r="BL25" i="8"/>
  <c r="BK25" i="8"/>
  <c r="BJ25" i="8"/>
  <c r="BI25" i="8"/>
  <c r="BH25" i="8"/>
  <c r="BG25" i="8"/>
  <c r="BF25" i="8"/>
  <c r="BE25" i="8"/>
  <c r="BD25" i="8"/>
  <c r="BC25" i="8"/>
  <c r="BB25" i="8"/>
  <c r="BA25" i="8"/>
  <c r="AZ25" i="8"/>
  <c r="AY25" i="8"/>
  <c r="AX25" i="8"/>
  <c r="AW25" i="8"/>
  <c r="AV25" i="8"/>
  <c r="AU25" i="8"/>
  <c r="AT25" i="8"/>
  <c r="AS25" i="8"/>
  <c r="AR25" i="8"/>
  <c r="AQ25" i="8"/>
  <c r="AP25" i="8"/>
  <c r="AO25" i="8"/>
  <c r="AN25" i="8"/>
  <c r="AM25" i="8"/>
  <c r="AL25" i="8"/>
  <c r="AK25" i="8"/>
  <c r="AJ25" i="8"/>
  <c r="AI25" i="8"/>
  <c r="AH25" i="8"/>
  <c r="AG25" i="8"/>
  <c r="AF25" i="8"/>
  <c r="AE25" i="8"/>
  <c r="AD25" i="8"/>
  <c r="AC25" i="8"/>
  <c r="AB25" i="8"/>
  <c r="AA25" i="8"/>
  <c r="Z25" i="8"/>
  <c r="Y25" i="8"/>
  <c r="X25" i="8"/>
  <c r="W25" i="8"/>
  <c r="V25" i="8"/>
  <c r="U25" i="8"/>
  <c r="T25" i="8"/>
  <c r="N25" i="8"/>
  <c r="F25" i="8"/>
  <c r="CI100" i="8"/>
  <c r="CH100" i="8"/>
  <c r="CG100" i="8"/>
  <c r="CF100" i="8"/>
  <c r="CE100" i="8"/>
  <c r="CD100" i="8"/>
  <c r="CC100" i="8"/>
  <c r="CB100" i="8"/>
  <c r="CA100" i="8"/>
  <c r="BZ100" i="8"/>
  <c r="BY100" i="8"/>
  <c r="BX100" i="8"/>
  <c r="BW100" i="8"/>
  <c r="BV100" i="8"/>
  <c r="BU100" i="8"/>
  <c r="BT100" i="8"/>
  <c r="BS100" i="8"/>
  <c r="BR100" i="8"/>
  <c r="BQ100" i="8"/>
  <c r="BP100" i="8"/>
  <c r="BO100" i="8"/>
  <c r="BN100" i="8"/>
  <c r="BM100" i="8"/>
  <c r="BL100" i="8"/>
  <c r="BK100" i="8"/>
  <c r="BJ100" i="8"/>
  <c r="BI100" i="8"/>
  <c r="BH100" i="8"/>
  <c r="BG100" i="8"/>
  <c r="BF100" i="8"/>
  <c r="BE100" i="8"/>
  <c r="BD100" i="8"/>
  <c r="BC100" i="8"/>
  <c r="BB100" i="8"/>
  <c r="BA100" i="8"/>
  <c r="AZ100" i="8"/>
  <c r="AY100" i="8"/>
  <c r="AX100" i="8"/>
  <c r="AW100" i="8"/>
  <c r="AV100" i="8"/>
  <c r="AU100" i="8"/>
  <c r="AT100" i="8"/>
  <c r="AS100" i="8"/>
  <c r="AR100" i="8"/>
  <c r="AQ100" i="8"/>
  <c r="AP100" i="8"/>
  <c r="AO100" i="8"/>
  <c r="AN100" i="8"/>
  <c r="AM100" i="8"/>
  <c r="AL100" i="8"/>
  <c r="AK100"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CI17" i="5"/>
  <c r="CI18" i="5" s="1"/>
  <c r="CI75" i="5"/>
  <c r="CI13" i="6" s="1"/>
  <c r="CI20" i="9" s="1"/>
  <c r="CI29" i="11" s="1"/>
  <c r="CH17" i="5"/>
  <c r="CH18" i="5" s="1"/>
  <c r="CH75" i="5"/>
  <c r="CH13" i="6" s="1"/>
  <c r="CH20" i="9" s="1"/>
  <c r="CH29" i="11" s="1"/>
  <c r="CG17" i="5"/>
  <c r="CG18" i="5" s="1"/>
  <c r="CG75" i="5"/>
  <c r="CG13" i="6" s="1"/>
  <c r="CG20" i="9" s="1"/>
  <c r="CG29" i="11" s="1"/>
  <c r="CF17" i="5"/>
  <c r="CF18" i="5" s="1"/>
  <c r="CF75" i="5"/>
  <c r="CF13" i="6" s="1"/>
  <c r="CF20" i="9" s="1"/>
  <c r="CF29" i="11" s="1"/>
  <c r="CE17" i="5"/>
  <c r="CE18" i="5" s="1"/>
  <c r="CE75" i="5"/>
  <c r="CE13" i="6" s="1"/>
  <c r="CE20" i="9" s="1"/>
  <c r="CE29" i="11" s="1"/>
  <c r="CD17" i="5"/>
  <c r="CD18" i="5" s="1"/>
  <c r="CD75" i="5"/>
  <c r="CD13" i="6" s="1"/>
  <c r="CD20" i="9" s="1"/>
  <c r="CD29" i="11" s="1"/>
  <c r="CC17" i="5"/>
  <c r="CC18" i="5" s="1"/>
  <c r="CC75" i="5"/>
  <c r="CC13" i="6" s="1"/>
  <c r="CC20" i="9" s="1"/>
  <c r="CC29" i="11" s="1"/>
  <c r="CB17" i="5"/>
  <c r="CB18" i="5" s="1"/>
  <c r="CB75" i="5"/>
  <c r="CB13" i="6" s="1"/>
  <c r="CB20" i="9" s="1"/>
  <c r="CB29" i="11" s="1"/>
  <c r="CA17" i="5"/>
  <c r="CA18" i="5" s="1"/>
  <c r="CA75" i="5"/>
  <c r="CA13" i="6" s="1"/>
  <c r="CA20" i="9" s="1"/>
  <c r="CA29" i="11" s="1"/>
  <c r="BZ17" i="5"/>
  <c r="BZ18" i="5" s="1"/>
  <c r="BZ75" i="5"/>
  <c r="BZ13" i="6" s="1"/>
  <c r="BZ20" i="9" s="1"/>
  <c r="BZ29" i="11" s="1"/>
  <c r="BY17" i="5"/>
  <c r="BY18" i="5" s="1"/>
  <c r="BY75" i="5"/>
  <c r="BY13" i="6" s="1"/>
  <c r="BY20" i="9" s="1"/>
  <c r="BY29" i="11" s="1"/>
  <c r="BX17" i="5"/>
  <c r="BX18" i="5" s="1"/>
  <c r="BX75" i="5"/>
  <c r="BX13" i="6" s="1"/>
  <c r="BX20" i="9" s="1"/>
  <c r="BX29" i="11" s="1"/>
  <c r="BW17" i="5"/>
  <c r="BW18" i="5" s="1"/>
  <c r="BW75" i="5"/>
  <c r="BW13" i="6" s="1"/>
  <c r="BW20" i="9" s="1"/>
  <c r="BW29" i="11" s="1"/>
  <c r="BV17" i="5"/>
  <c r="BV18" i="5" s="1"/>
  <c r="BV75" i="5"/>
  <c r="BV13" i="6" s="1"/>
  <c r="BV20" i="9" s="1"/>
  <c r="BV29" i="11" s="1"/>
  <c r="BU17" i="5"/>
  <c r="BU18" i="5" s="1"/>
  <c r="BU75" i="5"/>
  <c r="BU13" i="6" s="1"/>
  <c r="BU20" i="9" s="1"/>
  <c r="BU29" i="11" s="1"/>
  <c r="BT17" i="5"/>
  <c r="BT18" i="5" s="1"/>
  <c r="BT75" i="5"/>
  <c r="BT13" i="6" s="1"/>
  <c r="BT20" i="9" s="1"/>
  <c r="BT29" i="11" s="1"/>
  <c r="BS17" i="5"/>
  <c r="BS18" i="5" s="1"/>
  <c r="BS75" i="5"/>
  <c r="BS13" i="6" s="1"/>
  <c r="BS20" i="9" s="1"/>
  <c r="BS29" i="11" s="1"/>
  <c r="BR17" i="5"/>
  <c r="BR18" i="5" s="1"/>
  <c r="BR75" i="5"/>
  <c r="BR13" i="6" s="1"/>
  <c r="BR20" i="9" s="1"/>
  <c r="BR29" i="11" s="1"/>
  <c r="BQ17" i="5"/>
  <c r="BQ18" i="5" s="1"/>
  <c r="BQ75" i="5"/>
  <c r="BQ13" i="6" s="1"/>
  <c r="BQ20" i="9" s="1"/>
  <c r="BQ29" i="11" s="1"/>
  <c r="BP17" i="5"/>
  <c r="BP18" i="5" s="1"/>
  <c r="BP75" i="5"/>
  <c r="BP13" i="6" s="1"/>
  <c r="BP20" i="9" s="1"/>
  <c r="BP29" i="11" s="1"/>
  <c r="BO17" i="5"/>
  <c r="BO18" i="5" s="1"/>
  <c r="BO75" i="5"/>
  <c r="BO13" i="6" s="1"/>
  <c r="BO20" i="9" s="1"/>
  <c r="BO29" i="11" s="1"/>
  <c r="BN17" i="5"/>
  <c r="BN18" i="5" s="1"/>
  <c r="BN75" i="5"/>
  <c r="BN13" i="6" s="1"/>
  <c r="BN20" i="9" s="1"/>
  <c r="BN29" i="11" s="1"/>
  <c r="BM17" i="5"/>
  <c r="BM18" i="5" s="1"/>
  <c r="BM75" i="5"/>
  <c r="BM13" i="6" s="1"/>
  <c r="BM20" i="9" s="1"/>
  <c r="BM29" i="11" s="1"/>
  <c r="BL17" i="5"/>
  <c r="BL18" i="5" s="1"/>
  <c r="BL75" i="5"/>
  <c r="BL13" i="6" s="1"/>
  <c r="BL20" i="9" s="1"/>
  <c r="BL29" i="11" s="1"/>
  <c r="BK17" i="5"/>
  <c r="BK18" i="5" s="1"/>
  <c r="BK75" i="5"/>
  <c r="BK13" i="6" s="1"/>
  <c r="BK20" i="9" s="1"/>
  <c r="BK29" i="11" s="1"/>
  <c r="BJ17" i="5"/>
  <c r="BJ18" i="5" s="1"/>
  <c r="BJ75" i="5"/>
  <c r="BJ13" i="6" s="1"/>
  <c r="BJ20" i="9" s="1"/>
  <c r="BJ29" i="11" s="1"/>
  <c r="BI17" i="5"/>
  <c r="BI18" i="5" s="1"/>
  <c r="BI75" i="5"/>
  <c r="BI13" i="6" s="1"/>
  <c r="BI20" i="9" s="1"/>
  <c r="BI29" i="11" s="1"/>
  <c r="BH17" i="5"/>
  <c r="BH18" i="5" s="1"/>
  <c r="BH75" i="5"/>
  <c r="BH13" i="6" s="1"/>
  <c r="BH20" i="9" s="1"/>
  <c r="BH29" i="11" s="1"/>
  <c r="BG17" i="5"/>
  <c r="BG18" i="5" s="1"/>
  <c r="BG75" i="5"/>
  <c r="BG13" i="6" s="1"/>
  <c r="BG20" i="9" s="1"/>
  <c r="BG29" i="11" s="1"/>
  <c r="BF17" i="5"/>
  <c r="BF18" i="5" s="1"/>
  <c r="BF75" i="5"/>
  <c r="BF13" i="6" s="1"/>
  <c r="BF20" i="9" s="1"/>
  <c r="BF29" i="11" s="1"/>
  <c r="BE17" i="5"/>
  <c r="BE18" i="5" s="1"/>
  <c r="BE75" i="5"/>
  <c r="BE13" i="6" s="1"/>
  <c r="BE20" i="9" s="1"/>
  <c r="BE29" i="11" s="1"/>
  <c r="BD17" i="5"/>
  <c r="BD18" i="5" s="1"/>
  <c r="BD75" i="5"/>
  <c r="BD13" i="6" s="1"/>
  <c r="BD20" i="9" s="1"/>
  <c r="BD29" i="11" s="1"/>
  <c r="BC17" i="5"/>
  <c r="BC18" i="5" s="1"/>
  <c r="BC75" i="5"/>
  <c r="BC13" i="6" s="1"/>
  <c r="BC20" i="9" s="1"/>
  <c r="BC29" i="11" s="1"/>
  <c r="BB17" i="5"/>
  <c r="BB18" i="5" s="1"/>
  <c r="BB75" i="5"/>
  <c r="BB13" i="6" s="1"/>
  <c r="BB20" i="9" s="1"/>
  <c r="BB29" i="11" s="1"/>
  <c r="BA17" i="5"/>
  <c r="BA18" i="5" s="1"/>
  <c r="BA75" i="5"/>
  <c r="BA13" i="6" s="1"/>
  <c r="BA20" i="9" s="1"/>
  <c r="BA29" i="11" s="1"/>
  <c r="AZ17" i="5"/>
  <c r="AZ18" i="5" s="1"/>
  <c r="AZ75" i="5"/>
  <c r="AZ13" i="6" s="1"/>
  <c r="AZ20" i="9" s="1"/>
  <c r="AZ29" i="11" s="1"/>
  <c r="AY17" i="5"/>
  <c r="AY18" i="5" s="1"/>
  <c r="AY75" i="5"/>
  <c r="AY13" i="6" s="1"/>
  <c r="AY20" i="9" s="1"/>
  <c r="AY29" i="11" s="1"/>
  <c r="AX17" i="5"/>
  <c r="AX18" i="5" s="1"/>
  <c r="AX75" i="5"/>
  <c r="AX13" i="6" s="1"/>
  <c r="AX20" i="9" s="1"/>
  <c r="AX29" i="11" s="1"/>
  <c r="AW17" i="5"/>
  <c r="AW18" i="5" s="1"/>
  <c r="AW75" i="5"/>
  <c r="AW13" i="6" s="1"/>
  <c r="AW20" i="9" s="1"/>
  <c r="AW29" i="11" s="1"/>
  <c r="AV17" i="5"/>
  <c r="AV18" i="5" s="1"/>
  <c r="AV75" i="5"/>
  <c r="AV13" i="6" s="1"/>
  <c r="AV20" i="9" s="1"/>
  <c r="AV29" i="11" s="1"/>
  <c r="AU17" i="5"/>
  <c r="AU18" i="5" s="1"/>
  <c r="AU75" i="5"/>
  <c r="AU13" i="6" s="1"/>
  <c r="AU20" i="9" s="1"/>
  <c r="AU29" i="11" s="1"/>
  <c r="AT17" i="5"/>
  <c r="AT18" i="5" s="1"/>
  <c r="AT75" i="5"/>
  <c r="AT13" i="6" s="1"/>
  <c r="AT20" i="9" s="1"/>
  <c r="AT29" i="11" s="1"/>
  <c r="AS17" i="5"/>
  <c r="AS18" i="5" s="1"/>
  <c r="AS75" i="5"/>
  <c r="AS13" i="6" s="1"/>
  <c r="AS20" i="9" s="1"/>
  <c r="AS29" i="11" s="1"/>
  <c r="AR17" i="5"/>
  <c r="AR18" i="5" s="1"/>
  <c r="AR75" i="5"/>
  <c r="AR13" i="6" s="1"/>
  <c r="AR20" i="9" s="1"/>
  <c r="AR29" i="11" s="1"/>
  <c r="AQ17" i="5"/>
  <c r="AQ18" i="5" s="1"/>
  <c r="AQ75" i="5"/>
  <c r="AQ13" i="6" s="1"/>
  <c r="AQ20" i="9" s="1"/>
  <c r="AQ29" i="11" s="1"/>
  <c r="AP17" i="5"/>
  <c r="AP18" i="5" s="1"/>
  <c r="AP75" i="5"/>
  <c r="AP13" i="6" s="1"/>
  <c r="AP20" i="9" s="1"/>
  <c r="AP29" i="11" s="1"/>
  <c r="AO17" i="5"/>
  <c r="AO18" i="5" s="1"/>
  <c r="AO75" i="5"/>
  <c r="AO13" i="6" s="1"/>
  <c r="AO20" i="9" s="1"/>
  <c r="AO29" i="11" s="1"/>
  <c r="AN17" i="5"/>
  <c r="AN18" i="5" s="1"/>
  <c r="AN75" i="5"/>
  <c r="AN13" i="6" s="1"/>
  <c r="AN20" i="9" s="1"/>
  <c r="AN29" i="11" s="1"/>
  <c r="AM17" i="5"/>
  <c r="AM18" i="5" s="1"/>
  <c r="AM75" i="5"/>
  <c r="AM13" i="6" s="1"/>
  <c r="AM20" i="9" s="1"/>
  <c r="AM29" i="11" s="1"/>
  <c r="AL17" i="5"/>
  <c r="AL18" i="5" s="1"/>
  <c r="AL75" i="5"/>
  <c r="AL13" i="6" s="1"/>
  <c r="AL20" i="9" s="1"/>
  <c r="AL29" i="11" s="1"/>
  <c r="AK17" i="5"/>
  <c r="AK18" i="5" s="1"/>
  <c r="AK75" i="5"/>
  <c r="AK13" i="6" s="1"/>
  <c r="AK20" i="9" s="1"/>
  <c r="AK29" i="11" s="1"/>
  <c r="AJ17" i="5"/>
  <c r="AJ18" i="5" s="1"/>
  <c r="AJ75" i="5"/>
  <c r="AJ13" i="6" s="1"/>
  <c r="AJ20" i="9" s="1"/>
  <c r="AJ29" i="11" s="1"/>
  <c r="AI17" i="5"/>
  <c r="AI18" i="5" s="1"/>
  <c r="AI75" i="5"/>
  <c r="AI13" i="6" s="1"/>
  <c r="AI20" i="9" s="1"/>
  <c r="AI29" i="11" s="1"/>
  <c r="AH17" i="5"/>
  <c r="AH18" i="5" s="1"/>
  <c r="AH75" i="5"/>
  <c r="AH13" i="6" s="1"/>
  <c r="AH20" i="9" s="1"/>
  <c r="AH29" i="11" s="1"/>
  <c r="AG17" i="5"/>
  <c r="AG18" i="5" s="1"/>
  <c r="AG75" i="5"/>
  <c r="AG13" i="6" s="1"/>
  <c r="AG20" i="9" s="1"/>
  <c r="AG29" i="11" s="1"/>
  <c r="AF17" i="5"/>
  <c r="AF18" i="5" s="1"/>
  <c r="AF75" i="5"/>
  <c r="AF13" i="6" s="1"/>
  <c r="AF20" i="9" s="1"/>
  <c r="AF29" i="11" s="1"/>
  <c r="AE17" i="5"/>
  <c r="AE18" i="5" s="1"/>
  <c r="AE75" i="5"/>
  <c r="AE13" i="6" s="1"/>
  <c r="AE20" i="9" s="1"/>
  <c r="AE29" i="11" s="1"/>
  <c r="AD17" i="5"/>
  <c r="AD18" i="5" s="1"/>
  <c r="AD75" i="5"/>
  <c r="AD13" i="6" s="1"/>
  <c r="AD20" i="9" s="1"/>
  <c r="AD29" i="11" s="1"/>
  <c r="AC17" i="5"/>
  <c r="AC18" i="5" s="1"/>
  <c r="AC75" i="5"/>
  <c r="AC13" i="6" s="1"/>
  <c r="AC20" i="9" s="1"/>
  <c r="AC29" i="11" s="1"/>
  <c r="AB17" i="5"/>
  <c r="AB18" i="5" s="1"/>
  <c r="AB75" i="5"/>
  <c r="AB13" i="6" s="1"/>
  <c r="AB20" i="9" s="1"/>
  <c r="AB29" i="11" s="1"/>
  <c r="AA17" i="5"/>
  <c r="AA18" i="5" s="1"/>
  <c r="AA75" i="5"/>
  <c r="AA13" i="6" s="1"/>
  <c r="AA20" i="9" s="1"/>
  <c r="AA29" i="11" s="1"/>
  <c r="Z17" i="5"/>
  <c r="Z18" i="5" s="1"/>
  <c r="Z75" i="5"/>
  <c r="Z13" i="6" s="1"/>
  <c r="Z20" i="9" s="1"/>
  <c r="Z29" i="11" s="1"/>
  <c r="Y17" i="5"/>
  <c r="Y18" i="5" s="1"/>
  <c r="Y75" i="5"/>
  <c r="Y13" i="6" s="1"/>
  <c r="Y20" i="9" s="1"/>
  <c r="Y29" i="11" s="1"/>
  <c r="X17" i="5"/>
  <c r="X18" i="5" s="1"/>
  <c r="X75" i="5"/>
  <c r="X13" i="6" s="1"/>
  <c r="X20" i="9" s="1"/>
  <c r="X29" i="11" s="1"/>
  <c r="W17" i="5"/>
  <c r="W18" i="5" s="1"/>
  <c r="W75" i="5"/>
  <c r="W13" i="6" s="1"/>
  <c r="W20" i="9" s="1"/>
  <c r="W29" i="11" s="1"/>
  <c r="V17" i="5"/>
  <c r="V18" i="5" s="1"/>
  <c r="V75" i="5"/>
  <c r="V13" i="6" s="1"/>
  <c r="V20" i="9" s="1"/>
  <c r="V29" i="11" s="1"/>
  <c r="U17" i="5"/>
  <c r="U18" i="5" s="1"/>
  <c r="U75" i="5"/>
  <c r="U13" i="6" s="1"/>
  <c r="U20" i="9" s="1"/>
  <c r="U29" i="11" s="1"/>
  <c r="T17" i="5"/>
  <c r="T18" i="5" s="1"/>
  <c r="T75" i="5"/>
  <c r="T13" i="6" s="1"/>
  <c r="T20" i="9" s="1"/>
  <c r="T29" i="11" s="1"/>
  <c r="S17" i="5"/>
  <c r="S18" i="5" s="1"/>
  <c r="S75" i="5"/>
  <c r="S13" i="6" s="1"/>
  <c r="S20" i="9" s="1"/>
  <c r="S29" i="11" s="1"/>
  <c r="R17" i="5"/>
  <c r="R18" i="5" s="1"/>
  <c r="R75" i="5"/>
  <c r="R13" i="6" s="1"/>
  <c r="R20" i="9" s="1"/>
  <c r="R29" i="11" s="1"/>
  <c r="Q17" i="5"/>
  <c r="Q18" i="5" s="1"/>
  <c r="Q75" i="5"/>
  <c r="Q13" i="6" s="1"/>
  <c r="Q20" i="9" s="1"/>
  <c r="Q29" i="11" s="1"/>
  <c r="P17" i="5"/>
  <c r="P18" i="5" s="1"/>
  <c r="P75" i="5"/>
  <c r="P13" i="6" s="1"/>
  <c r="P20" i="9" s="1"/>
  <c r="P29" i="11" s="1"/>
  <c r="E29" i="12" s="1"/>
  <c r="O17" i="5"/>
  <c r="O18" i="5" s="1"/>
  <c r="O75" i="5"/>
  <c r="O13" i="6" s="1"/>
  <c r="O20" i="9" s="1"/>
  <c r="N17" i="5"/>
  <c r="N18" i="5" s="1"/>
  <c r="N75" i="5"/>
  <c r="N13" i="6" s="1"/>
  <c r="N20" i="9" s="1"/>
  <c r="N29" i="11" s="1"/>
  <c r="M17" i="5"/>
  <c r="M18" i="5" s="1"/>
  <c r="M75" i="5"/>
  <c r="M13" i="6" s="1"/>
  <c r="M20" i="9" s="1"/>
  <c r="M29" i="11" s="1"/>
  <c r="L17" i="5"/>
  <c r="L18" i="5" s="1"/>
  <c r="L75" i="5"/>
  <c r="L13" i="6" s="1"/>
  <c r="L20" i="9" s="1"/>
  <c r="L29" i="11" s="1"/>
  <c r="K17" i="5"/>
  <c r="K18" i="5" s="1"/>
  <c r="K75" i="5"/>
  <c r="K13" i="6" s="1"/>
  <c r="K20" i="9" s="1"/>
  <c r="K29" i="11" s="1"/>
  <c r="J17" i="5"/>
  <c r="J18" i="5" s="1"/>
  <c r="J75" i="5"/>
  <c r="J13" i="6" s="1"/>
  <c r="J20" i="9" s="1"/>
  <c r="J29" i="11" s="1"/>
  <c r="I17" i="5"/>
  <c r="I18" i="5" s="1"/>
  <c r="I75" i="5"/>
  <c r="I13" i="6" s="1"/>
  <c r="I20" i="9" s="1"/>
  <c r="I29" i="11" s="1"/>
  <c r="H17" i="5"/>
  <c r="H18" i="5" s="1"/>
  <c r="H75" i="5"/>
  <c r="H13" i="6" s="1"/>
  <c r="H20" i="9" s="1"/>
  <c r="H29" i="11" s="1"/>
  <c r="G17" i="5"/>
  <c r="G18" i="5" s="1"/>
  <c r="G75" i="5"/>
  <c r="G13" i="6" s="1"/>
  <c r="G20" i="9" s="1"/>
  <c r="G29" i="11" s="1"/>
  <c r="F17" i="5"/>
  <c r="F18" i="5" s="1"/>
  <c r="F75" i="5"/>
  <c r="F13" i="6" s="1"/>
  <c r="F20" i="9" s="1"/>
  <c r="F29" i="11" s="1"/>
  <c r="E17" i="5"/>
  <c r="E18" i="5" s="1"/>
  <c r="E75" i="5"/>
  <c r="E13" i="6" s="1"/>
  <c r="E20" i="9" s="1"/>
  <c r="E29" i="11" s="1"/>
  <c r="D17" i="5"/>
  <c r="D18" i="5" s="1"/>
  <c r="D19" i="5" s="1"/>
  <c r="D75" i="5"/>
  <c r="D13" i="6" s="1"/>
  <c r="D20" i="9" s="1"/>
  <c r="D29" i="11" s="1"/>
  <c r="E15" i="12"/>
  <c r="E16" i="12" s="1"/>
  <c r="O29" i="11"/>
  <c r="D5" i="9"/>
  <c r="AN24" i="14"/>
  <c r="D23" i="14"/>
  <c r="D26" i="14" s="1"/>
  <c r="C17" i="14"/>
  <c r="C16" i="14"/>
  <c r="D32" i="10" s="1"/>
  <c r="D14" i="12" s="1"/>
  <c r="D28" i="14"/>
  <c r="CI24" i="14"/>
  <c r="CH24" i="14"/>
  <c r="CG24" i="14"/>
  <c r="CF24" i="14"/>
  <c r="CE24" i="14"/>
  <c r="CD24" i="14"/>
  <c r="CC24" i="14"/>
  <c r="CB24" i="14"/>
  <c r="CA24" i="14"/>
  <c r="BZ24" i="14"/>
  <c r="BY24" i="14"/>
  <c r="BX24" i="14"/>
  <c r="BW24" i="14"/>
  <c r="BV24" i="14"/>
  <c r="BU24" i="14"/>
  <c r="BT24" i="14"/>
  <c r="BS24" i="14"/>
  <c r="BR24" i="14"/>
  <c r="BQ24" i="14"/>
  <c r="BP24" i="14"/>
  <c r="BO24" i="14"/>
  <c r="BN24" i="14"/>
  <c r="BM24" i="14"/>
  <c r="BL24" i="14"/>
  <c r="BK24" i="14"/>
  <c r="BJ24" i="14"/>
  <c r="BI24" i="14"/>
  <c r="BH24" i="14"/>
  <c r="BG24" i="14"/>
  <c r="BF24" i="14"/>
  <c r="BE24" i="14"/>
  <c r="BD24" i="14"/>
  <c r="BC24" i="14"/>
  <c r="BB24" i="14"/>
  <c r="BA24" i="14"/>
  <c r="AZ24" i="14"/>
  <c r="AY24" i="14"/>
  <c r="AX24" i="14"/>
  <c r="AW24" i="14"/>
  <c r="AV24" i="14"/>
  <c r="AU24" i="14"/>
  <c r="AT24" i="14"/>
  <c r="AS24" i="14"/>
  <c r="AR24" i="14"/>
  <c r="AQ24" i="14"/>
  <c r="AP24" i="14"/>
  <c r="AO24" i="14"/>
  <c r="AM24" i="14"/>
  <c r="AL24" i="14"/>
  <c r="AK24" i="14"/>
  <c r="AJ24" i="14"/>
  <c r="AI24" i="14"/>
  <c r="AH24" i="14"/>
  <c r="AG24" i="14"/>
  <c r="AF24" i="14"/>
  <c r="AE24" i="14"/>
  <c r="AD24" i="14"/>
  <c r="AC24" i="14"/>
  <c r="AB24" i="14"/>
  <c r="AA24" i="14"/>
  <c r="Z24" i="14"/>
  <c r="Y24" i="14"/>
  <c r="X24" i="14"/>
  <c r="W24" i="14"/>
  <c r="V24" i="14"/>
  <c r="U24" i="14"/>
  <c r="T24" i="14"/>
  <c r="S24" i="14"/>
  <c r="R24" i="14"/>
  <c r="Q24" i="14"/>
  <c r="P24" i="14"/>
  <c r="O24" i="14"/>
  <c r="N24" i="14"/>
  <c r="M24" i="14"/>
  <c r="L24" i="14"/>
  <c r="K24" i="14"/>
  <c r="J24" i="14"/>
  <c r="I24" i="14"/>
  <c r="H24" i="14"/>
  <c r="G24" i="14"/>
  <c r="F24" i="14"/>
  <c r="E24" i="14"/>
  <c r="D24" i="14"/>
  <c r="G51" i="12"/>
  <c r="AI22" i="10"/>
  <c r="AI46" i="9" s="1"/>
  <c r="AI39" i="11" s="1"/>
  <c r="AH22" i="10"/>
  <c r="AH46" i="9" s="1"/>
  <c r="AH39" i="11" s="1"/>
  <c r="AG22" i="10"/>
  <c r="AG46" i="9" s="1"/>
  <c r="AG39" i="11" s="1"/>
  <c r="AF22" i="10"/>
  <c r="AF46" i="9" s="1"/>
  <c r="AF39" i="11" s="1"/>
  <c r="AE22" i="10"/>
  <c r="AE46" i="9" s="1"/>
  <c r="AE39" i="11" s="1"/>
  <c r="AD22" i="10"/>
  <c r="AD46" i="9" s="1"/>
  <c r="AD39" i="11" s="1"/>
  <c r="AC22" i="10"/>
  <c r="AC46" i="9" s="1"/>
  <c r="AC39" i="11" s="1"/>
  <c r="AB22" i="10"/>
  <c r="AB46" i="9" s="1"/>
  <c r="AB39" i="11" s="1"/>
  <c r="AA22" i="10"/>
  <c r="AA46" i="9" s="1"/>
  <c r="AA39" i="11" s="1"/>
  <c r="Z22" i="10"/>
  <c r="Z46" i="9" s="1"/>
  <c r="Z39" i="11" s="1"/>
  <c r="Y22" i="10"/>
  <c r="Y46" i="9" s="1"/>
  <c r="Y39" i="11" s="1"/>
  <c r="X22" i="10"/>
  <c r="X46" i="9" s="1"/>
  <c r="X39" i="11" s="1"/>
  <c r="W22" i="10"/>
  <c r="W46" i="9" s="1"/>
  <c r="W39" i="11" s="1"/>
  <c r="V22" i="10"/>
  <c r="V46" i="9" s="1"/>
  <c r="V39" i="11" s="1"/>
  <c r="U22" i="10"/>
  <c r="U46" i="9" s="1"/>
  <c r="U39" i="11" s="1"/>
  <c r="T22" i="10"/>
  <c r="T46" i="9" s="1"/>
  <c r="T39" i="11" s="1"/>
  <c r="S22" i="10"/>
  <c r="S46" i="9" s="1"/>
  <c r="S39" i="11" s="1"/>
  <c r="R22" i="10"/>
  <c r="R46" i="9" s="1"/>
  <c r="R39" i="11" s="1"/>
  <c r="Q22" i="10"/>
  <c r="Q46" i="9" s="1"/>
  <c r="Q39" i="11" s="1"/>
  <c r="P22" i="10"/>
  <c r="P46" i="9" s="1"/>
  <c r="P39" i="11" s="1"/>
  <c r="O22" i="10"/>
  <c r="O46" i="9" s="1"/>
  <c r="O39" i="11" s="1"/>
  <c r="N22" i="10"/>
  <c r="N46" i="9" s="1"/>
  <c r="N39" i="11" s="1"/>
  <c r="CI22" i="10"/>
  <c r="CI46" i="9" s="1"/>
  <c r="CI39" i="11" s="1"/>
  <c r="CH22" i="10"/>
  <c r="CH46" i="9" s="1"/>
  <c r="CH39" i="11" s="1"/>
  <c r="CF22" i="10"/>
  <c r="CF46" i="9" s="1"/>
  <c r="CF39" i="11" s="1"/>
  <c r="CE22" i="10"/>
  <c r="CE46" i="9" s="1"/>
  <c r="CE39" i="11" s="1"/>
  <c r="CD22" i="10"/>
  <c r="CD46" i="9" s="1"/>
  <c r="CD39" i="11" s="1"/>
  <c r="CC22" i="10"/>
  <c r="CC46" i="9" s="1"/>
  <c r="CC39" i="11" s="1"/>
  <c r="CB22" i="10"/>
  <c r="CB46" i="9" s="1"/>
  <c r="CB39" i="11" s="1"/>
  <c r="CA22" i="10"/>
  <c r="CA46" i="9" s="1"/>
  <c r="CA39" i="11" s="1"/>
  <c r="BZ22" i="10"/>
  <c r="BZ46" i="9" s="1"/>
  <c r="BZ39" i="11" s="1"/>
  <c r="BY22" i="10"/>
  <c r="BY46" i="9" s="1"/>
  <c r="BY39" i="11" s="1"/>
  <c r="BX22" i="10"/>
  <c r="BX46" i="9" s="1"/>
  <c r="BX39" i="11" s="1"/>
  <c r="BW22" i="10"/>
  <c r="BW46" i="9" s="1"/>
  <c r="BW39" i="11" s="1"/>
  <c r="BV22" i="10"/>
  <c r="BV46" i="9" s="1"/>
  <c r="BV39" i="11" s="1"/>
  <c r="BU22" i="10"/>
  <c r="BU46" i="9" s="1"/>
  <c r="BU39" i="11" s="1"/>
  <c r="BT22" i="10"/>
  <c r="BT46" i="9" s="1"/>
  <c r="BT39" i="11" s="1"/>
  <c r="BS22" i="10"/>
  <c r="BS46" i="9" s="1"/>
  <c r="BS39" i="11" s="1"/>
  <c r="BI22" i="10"/>
  <c r="BI46" i="9" s="1"/>
  <c r="BI39" i="11" s="1"/>
  <c r="BR22" i="10"/>
  <c r="BR46" i="9" s="1"/>
  <c r="BR39" i="11" s="1"/>
  <c r="BQ22" i="10"/>
  <c r="BQ46" i="9" s="1"/>
  <c r="BQ39" i="11" s="1"/>
  <c r="BP22" i="10"/>
  <c r="BP46" i="9" s="1"/>
  <c r="BP39" i="11" s="1"/>
  <c r="BG22" i="10"/>
  <c r="BG46" i="9" s="1"/>
  <c r="BG39" i="11" s="1"/>
  <c r="CG22" i="10"/>
  <c r="CG46" i="9" s="1"/>
  <c r="CG39" i="11" s="1"/>
  <c r="M22" i="10"/>
  <c r="M46" i="9" s="1"/>
  <c r="M39" i="11" s="1"/>
  <c r="L22" i="10"/>
  <c r="L46" i="9" s="1"/>
  <c r="L39" i="11" s="1"/>
  <c r="K22" i="10"/>
  <c r="K46" i="9" s="1"/>
  <c r="K39" i="11" s="1"/>
  <c r="J22" i="10"/>
  <c r="J46" i="9" s="1"/>
  <c r="J39" i="11" s="1"/>
  <c r="I22" i="10"/>
  <c r="I46" i="9" s="1"/>
  <c r="I39" i="11" s="1"/>
  <c r="H22" i="10"/>
  <c r="H46" i="9" s="1"/>
  <c r="H39" i="11" s="1"/>
  <c r="G22" i="10"/>
  <c r="G46" i="9" s="1"/>
  <c r="G39" i="11" s="1"/>
  <c r="F22" i="10"/>
  <c r="F46" i="9" s="1"/>
  <c r="F39" i="11" s="1"/>
  <c r="BO22" i="10"/>
  <c r="BO46" i="9" s="1"/>
  <c r="BO39" i="11" s="1"/>
  <c r="BN22" i="10"/>
  <c r="BN46" i="9" s="1"/>
  <c r="BN39" i="11" s="1"/>
  <c r="BM22" i="10"/>
  <c r="BM46" i="9" s="1"/>
  <c r="BM39" i="11" s="1"/>
  <c r="BL22" i="10"/>
  <c r="BL46" i="9" s="1"/>
  <c r="BL39" i="11" s="1"/>
  <c r="BK22" i="10"/>
  <c r="BK46" i="9" s="1"/>
  <c r="BK39" i="11" s="1"/>
  <c r="BJ22" i="10"/>
  <c r="BJ46" i="9" s="1"/>
  <c r="BJ39" i="11" s="1"/>
  <c r="E22" i="10"/>
  <c r="E46" i="9" s="1"/>
  <c r="E39" i="11" s="1"/>
  <c r="BH22" i="10"/>
  <c r="BH46" i="9" s="1"/>
  <c r="BH39" i="11" s="1"/>
  <c r="D22" i="10"/>
  <c r="D46" i="9" s="1"/>
  <c r="D39" i="11" s="1"/>
  <c r="BF22" i="10"/>
  <c r="BF46" i="9" s="1"/>
  <c r="BF39" i="11" s="1"/>
  <c r="BE22" i="10"/>
  <c r="BE46" i="9" s="1"/>
  <c r="BE39" i="11" s="1"/>
  <c r="BD22" i="10"/>
  <c r="BD46" i="9" s="1"/>
  <c r="BD39" i="11" s="1"/>
  <c r="BC22" i="10"/>
  <c r="BC46" i="9" s="1"/>
  <c r="BC39" i="11" s="1"/>
  <c r="BB22" i="10"/>
  <c r="BB46" i="9" s="1"/>
  <c r="BB39" i="11" s="1"/>
  <c r="BA22" i="10"/>
  <c r="BA46" i="9" s="1"/>
  <c r="BA39" i="11" s="1"/>
  <c r="AZ22" i="10"/>
  <c r="AZ46" i="9" s="1"/>
  <c r="AZ39" i="11" s="1"/>
  <c r="AY22" i="10"/>
  <c r="AY46" i="9" s="1"/>
  <c r="AY39" i="11" s="1"/>
  <c r="AX22" i="10"/>
  <c r="AX46" i="9" s="1"/>
  <c r="AX39" i="11" s="1"/>
  <c r="AW22" i="10"/>
  <c r="AW46" i="9" s="1"/>
  <c r="AW39" i="11" s="1"/>
  <c r="AV22" i="10"/>
  <c r="AV46" i="9" s="1"/>
  <c r="AV39" i="11" s="1"/>
  <c r="AU22" i="10"/>
  <c r="AU46" i="9" s="1"/>
  <c r="AU39" i="11" s="1"/>
  <c r="AT22" i="10"/>
  <c r="AT46" i="9" s="1"/>
  <c r="AT39" i="11" s="1"/>
  <c r="AS22" i="10"/>
  <c r="AS46" i="9" s="1"/>
  <c r="AS39" i="11" s="1"/>
  <c r="AR22" i="10"/>
  <c r="AR46" i="9" s="1"/>
  <c r="AR39" i="11" s="1"/>
  <c r="AQ22" i="10"/>
  <c r="AQ46" i="9" s="1"/>
  <c r="AQ39" i="11" s="1"/>
  <c r="AP22" i="10"/>
  <c r="AP46" i="9" s="1"/>
  <c r="AP39" i="11" s="1"/>
  <c r="AO22" i="10"/>
  <c r="AO46" i="9" s="1"/>
  <c r="AO39" i="11" s="1"/>
  <c r="AN22" i="10"/>
  <c r="AN46" i="9" s="1"/>
  <c r="AN39" i="11" s="1"/>
  <c r="AM22" i="10"/>
  <c r="AM46" i="9" s="1"/>
  <c r="AM39" i="11" s="1"/>
  <c r="AL22" i="10"/>
  <c r="AL46" i="9" s="1"/>
  <c r="AL39" i="11" s="1"/>
  <c r="AK22" i="10"/>
  <c r="AK46" i="9" s="1"/>
  <c r="AK39" i="11" s="1"/>
  <c r="AJ22" i="10"/>
  <c r="AJ46" i="9" s="1"/>
  <c r="AJ39" i="11" s="1"/>
  <c r="AT21" i="10"/>
  <c r="AU21" i="10"/>
  <c r="AV21" i="10"/>
  <c r="AW21" i="10"/>
  <c r="AX21" i="10"/>
  <c r="AY21" i="10"/>
  <c r="AZ21" i="10"/>
  <c r="BA21" i="10"/>
  <c r="BB21" i="10"/>
  <c r="BC21" i="10"/>
  <c r="BD21" i="10"/>
  <c r="BE21" i="10"/>
  <c r="BF21" i="10"/>
  <c r="BG21" i="10"/>
  <c r="BH21" i="10"/>
  <c r="BI21" i="10"/>
  <c r="BJ21" i="10"/>
  <c r="BK21" i="10"/>
  <c r="BL21" i="10"/>
  <c r="BM21" i="10"/>
  <c r="BN21" i="10"/>
  <c r="BO21" i="10"/>
  <c r="D41" i="12"/>
  <c r="G41" i="12" s="1"/>
  <c r="AA21" i="10"/>
  <c r="Z21" i="10"/>
  <c r="Y21" i="10"/>
  <c r="X21" i="10"/>
  <c r="W21" i="10"/>
  <c r="BP21" i="10"/>
  <c r="AS21" i="10"/>
  <c r="CI21" i="10"/>
  <c r="CH21" i="10"/>
  <c r="CG21" i="10"/>
  <c r="CF21" i="10"/>
  <c r="CE21" i="10"/>
  <c r="CD21" i="10"/>
  <c r="CC21" i="10"/>
  <c r="CB21" i="10"/>
  <c r="CA21" i="10"/>
  <c r="BZ21" i="10"/>
  <c r="BY21" i="10"/>
  <c r="BX21" i="10"/>
  <c r="BW21" i="10"/>
  <c r="BV21" i="10"/>
  <c r="BU21" i="10"/>
  <c r="BT21" i="10"/>
  <c r="BS21" i="10"/>
  <c r="BR21" i="10"/>
  <c r="V21" i="10"/>
  <c r="U21" i="10"/>
  <c r="T21" i="10"/>
  <c r="S21" i="10"/>
  <c r="R21" i="10"/>
  <c r="Q21" i="10"/>
  <c r="P21" i="10"/>
  <c r="O21" i="10"/>
  <c r="N21" i="10"/>
  <c r="M21" i="10"/>
  <c r="L21" i="10"/>
  <c r="K21" i="10"/>
  <c r="J21" i="10"/>
  <c r="I21" i="10"/>
  <c r="H21" i="10"/>
  <c r="G21" i="10"/>
  <c r="F21" i="10"/>
  <c r="E21" i="10"/>
  <c r="D21" i="10"/>
  <c r="AR21" i="10"/>
  <c r="BQ21" i="10"/>
  <c r="AB21" i="10"/>
  <c r="AC21" i="10"/>
  <c r="AD21" i="10"/>
  <c r="AE21" i="10"/>
  <c r="AF21" i="10"/>
  <c r="AG21" i="10"/>
  <c r="AH21" i="10"/>
  <c r="AI21" i="10"/>
  <c r="AJ21" i="10"/>
  <c r="AK21" i="10"/>
  <c r="AL21" i="10"/>
  <c r="AM21" i="10"/>
  <c r="AN21" i="10"/>
  <c r="AO21" i="10"/>
  <c r="AP21" i="10"/>
  <c r="AQ21" i="10"/>
  <c r="T20" i="10"/>
  <c r="U20" i="10"/>
  <c r="V20" i="10"/>
  <c r="W20" i="10"/>
  <c r="X20" i="10"/>
  <c r="Y20" i="10"/>
  <c r="Z20" i="10"/>
  <c r="AA20" i="10"/>
  <c r="AB20" i="10"/>
  <c r="AC20" i="10"/>
  <c r="AD20" i="10"/>
  <c r="AE20" i="10"/>
  <c r="AF20" i="10"/>
  <c r="AG20" i="10"/>
  <c r="AH20" i="10"/>
  <c r="AI20" i="10"/>
  <c r="AJ20" i="10"/>
  <c r="AK20" i="10"/>
  <c r="AL20" i="10"/>
  <c r="AM20" i="10"/>
  <c r="AN20" i="10"/>
  <c r="AO20" i="10"/>
  <c r="AP20" i="10"/>
  <c r="AQ20" i="10"/>
  <c r="AR20" i="10"/>
  <c r="AS20" i="10"/>
  <c r="AT20" i="10"/>
  <c r="AU20" i="10"/>
  <c r="AV20" i="10"/>
  <c r="AW20" i="10"/>
  <c r="AX20" i="10"/>
  <c r="AY20" i="10"/>
  <c r="AZ20" i="10"/>
  <c r="BA20" i="10"/>
  <c r="BB20" i="10"/>
  <c r="BC20" i="10"/>
  <c r="BD20" i="10"/>
  <c r="BE20" i="10"/>
  <c r="BF20" i="10"/>
  <c r="BG20" i="10"/>
  <c r="BH20" i="10"/>
  <c r="BI20" i="10"/>
  <c r="BJ20" i="10"/>
  <c r="BK20" i="10"/>
  <c r="BL20" i="10"/>
  <c r="BM20" i="10"/>
  <c r="BN20" i="10"/>
  <c r="BO20" i="10"/>
  <c r="BP20" i="10"/>
  <c r="BQ20" i="10"/>
  <c r="BR20" i="10"/>
  <c r="BS20" i="10"/>
  <c r="BT20" i="10"/>
  <c r="BU20" i="10"/>
  <c r="BV20" i="10"/>
  <c r="BW20" i="10"/>
  <c r="BX20" i="10"/>
  <c r="BY20" i="10"/>
  <c r="BZ20" i="10"/>
  <c r="CA20" i="10"/>
  <c r="CB20" i="10"/>
  <c r="CD20" i="10"/>
  <c r="CE20" i="10"/>
  <c r="CF20" i="10"/>
  <c r="CG20" i="10"/>
  <c r="CH20" i="10"/>
  <c r="CI20" i="10"/>
  <c r="CC20" i="10"/>
  <c r="D20" i="10"/>
  <c r="E20" i="10"/>
  <c r="F20" i="10"/>
  <c r="H20" i="10"/>
  <c r="I20" i="10"/>
  <c r="J20" i="10"/>
  <c r="K20" i="10"/>
  <c r="L20" i="10"/>
  <c r="M20" i="10"/>
  <c r="N20" i="10"/>
  <c r="O20" i="10"/>
  <c r="P20" i="10"/>
  <c r="Q20" i="10"/>
  <c r="R20" i="10"/>
  <c r="S20" i="10"/>
  <c r="G20" i="10"/>
  <c r="BK19" i="10"/>
  <c r="BL19" i="10"/>
  <c r="X19" i="10"/>
  <c r="BM19" i="10"/>
  <c r="BN19" i="10"/>
  <c r="BO19" i="10"/>
  <c r="BP19" i="10"/>
  <c r="BQ19" i="10"/>
  <c r="BR19" i="10"/>
  <c r="BS19" i="10"/>
  <c r="BT19" i="10"/>
  <c r="BU19" i="10"/>
  <c r="BV19" i="10"/>
  <c r="BW19" i="10"/>
  <c r="BX19" i="10"/>
  <c r="BY19" i="10"/>
  <c r="BZ19" i="10"/>
  <c r="CA19" i="10"/>
  <c r="CB19" i="10"/>
  <c r="CC19" i="10"/>
  <c r="CD19" i="10"/>
  <c r="CE19" i="10"/>
  <c r="CF19" i="10"/>
  <c r="CG19" i="10"/>
  <c r="CH19" i="10"/>
  <c r="CI19" i="10"/>
  <c r="Z19" i="10"/>
  <c r="AA19" i="10"/>
  <c r="AB19" i="10"/>
  <c r="W19" i="10"/>
  <c r="AC19" i="10"/>
  <c r="AD19" i="10"/>
  <c r="AE19" i="10"/>
  <c r="AF19" i="10"/>
  <c r="AG19" i="10"/>
  <c r="AH19" i="10"/>
  <c r="AI19" i="10"/>
  <c r="AJ19" i="10"/>
  <c r="AK19" i="10"/>
  <c r="Y19" i="10"/>
  <c r="AL19" i="10"/>
  <c r="AM19" i="10"/>
  <c r="AN19" i="10"/>
  <c r="AO19" i="10"/>
  <c r="AP19" i="10"/>
  <c r="AQ19" i="10"/>
  <c r="V19" i="10"/>
  <c r="U19" i="10"/>
  <c r="T19" i="10"/>
  <c r="S19" i="10"/>
  <c r="R19" i="10"/>
  <c r="Q19" i="10"/>
  <c r="P19" i="10"/>
  <c r="O19" i="10"/>
  <c r="N19" i="10"/>
  <c r="M19" i="10"/>
  <c r="L19" i="10"/>
  <c r="K19" i="10"/>
  <c r="J19" i="10"/>
  <c r="I19" i="10"/>
  <c r="H19" i="10"/>
  <c r="G19" i="10"/>
  <c r="F19" i="10"/>
  <c r="E19" i="10"/>
  <c r="D19" i="10"/>
  <c r="D40" i="12"/>
  <c r="G40" i="12" s="1"/>
  <c r="BI19" i="10"/>
  <c r="BJ19" i="10"/>
  <c r="AR19" i="10"/>
  <c r="AS19" i="10"/>
  <c r="AT19" i="10"/>
  <c r="AU19" i="10"/>
  <c r="AV19" i="10"/>
  <c r="AW19" i="10"/>
  <c r="AX19" i="10"/>
  <c r="AY19" i="10"/>
  <c r="AZ19" i="10"/>
  <c r="BA19" i="10"/>
  <c r="BB19" i="10"/>
  <c r="BC19" i="10"/>
  <c r="BD19" i="10"/>
  <c r="BE19" i="10"/>
  <c r="BF19" i="10"/>
  <c r="BG19" i="10"/>
  <c r="BH19" i="10"/>
  <c r="AQ18" i="10"/>
  <c r="AP18" i="10"/>
  <c r="AO18" i="10"/>
  <c r="AN18" i="10"/>
  <c r="AM18" i="10"/>
  <c r="AL18" i="10"/>
  <c r="AK18" i="10"/>
  <c r="AJ18" i="10"/>
  <c r="AI18" i="10"/>
  <c r="AH18" i="10"/>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AU18" i="10"/>
  <c r="CI18" i="10"/>
  <c r="CH18" i="10"/>
  <c r="D39" i="12"/>
  <c r="G39" i="12" s="1"/>
  <c r="CG18" i="10"/>
  <c r="CF18" i="10"/>
  <c r="CE18" i="10"/>
  <c r="CD18" i="10"/>
  <c r="CC18" i="10"/>
  <c r="CB18" i="10"/>
  <c r="CA18" i="10"/>
  <c r="BZ18" i="10"/>
  <c r="BY18" i="10"/>
  <c r="BX18" i="10"/>
  <c r="BW18" i="10"/>
  <c r="BV18" i="10"/>
  <c r="BU18" i="10"/>
  <c r="BT18" i="10"/>
  <c r="BS18" i="10"/>
  <c r="BR18" i="10"/>
  <c r="BQ18" i="10"/>
  <c r="BP18" i="10"/>
  <c r="BO18" i="10"/>
  <c r="BN18" i="10"/>
  <c r="BM18" i="10"/>
  <c r="BL18" i="10"/>
  <c r="BK18" i="10"/>
  <c r="BJ18" i="10"/>
  <c r="BI18" i="10"/>
  <c r="BH18" i="10"/>
  <c r="BG18" i="10"/>
  <c r="BF18" i="10"/>
  <c r="BE18" i="10"/>
  <c r="BD18" i="10"/>
  <c r="BC18" i="10"/>
  <c r="BB18" i="10"/>
  <c r="BA18" i="10"/>
  <c r="AZ18" i="10"/>
  <c r="AY18" i="10"/>
  <c r="AX18" i="10"/>
  <c r="AW18" i="10"/>
  <c r="AV18" i="10"/>
  <c r="AT18" i="10"/>
  <c r="AS18" i="10"/>
  <c r="AR18" i="10"/>
  <c r="F38" i="12"/>
  <c r="F43" i="12" s="1"/>
  <c r="AB16" i="10"/>
  <c r="AB30" i="10" s="1"/>
  <c r="E38" i="12"/>
  <c r="E43" i="12" s="1"/>
  <c r="P16" i="10"/>
  <c r="P30" i="10" s="1"/>
  <c r="L17" i="10"/>
  <c r="K17" i="10"/>
  <c r="J17" i="10"/>
  <c r="I17" i="10"/>
  <c r="H17" i="10"/>
  <c r="G17" i="10"/>
  <c r="F17" i="10"/>
  <c r="E17" i="10"/>
  <c r="D17" i="10"/>
  <c r="D16" i="10"/>
  <c r="D30" i="10" s="1"/>
  <c r="AM17" i="10"/>
  <c r="BJ17" i="10"/>
  <c r="BK17" i="10"/>
  <c r="BL17" i="10"/>
  <c r="BM17" i="10"/>
  <c r="BN17" i="10"/>
  <c r="BO17" i="10"/>
  <c r="BP17" i="10"/>
  <c r="BQ17" i="10"/>
  <c r="BR17" i="10"/>
  <c r="BS17" i="10"/>
  <c r="BT17" i="10"/>
  <c r="BU17" i="10"/>
  <c r="BV17" i="10"/>
  <c r="BW17" i="10"/>
  <c r="BX17" i="10"/>
  <c r="BY17" i="10"/>
  <c r="BZ17" i="10"/>
  <c r="CA17" i="10"/>
  <c r="CB17" i="10"/>
  <c r="CC17" i="10"/>
  <c r="CE17" i="10"/>
  <c r="CF17" i="10"/>
  <c r="CG17" i="10"/>
  <c r="CH17" i="10"/>
  <c r="CI17" i="10"/>
  <c r="Q17" i="10"/>
  <c r="BI17" i="10"/>
  <c r="BH17" i="10"/>
  <c r="BG17" i="10"/>
  <c r="BF17" i="10"/>
  <c r="BE17" i="10"/>
  <c r="BD17" i="10"/>
  <c r="BC17" i="10"/>
  <c r="BB17" i="10"/>
  <c r="BA17" i="10"/>
  <c r="AZ17" i="10"/>
  <c r="AY17" i="10"/>
  <c r="AX17" i="10"/>
  <c r="AW17" i="10"/>
  <c r="AV17" i="10"/>
  <c r="AU17" i="10"/>
  <c r="AT17" i="10"/>
  <c r="AS17" i="10"/>
  <c r="AR17" i="10"/>
  <c r="AQ17" i="10"/>
  <c r="AP17" i="10"/>
  <c r="AO17" i="10"/>
  <c r="AN17" i="10"/>
  <c r="AL17" i="10"/>
  <c r="AK17" i="10"/>
  <c r="AJ17" i="10"/>
  <c r="CD17" i="10"/>
  <c r="AI17" i="10"/>
  <c r="AH17" i="10"/>
  <c r="AG17" i="10"/>
  <c r="AF17" i="10"/>
  <c r="AE17" i="10"/>
  <c r="AD17" i="10"/>
  <c r="AC17" i="10"/>
  <c r="AB17" i="10"/>
  <c r="AA17" i="10"/>
  <c r="Z17" i="10"/>
  <c r="Y17" i="10"/>
  <c r="X17" i="10"/>
  <c r="W17" i="10"/>
  <c r="V17" i="10"/>
  <c r="U17" i="10"/>
  <c r="T17" i="10"/>
  <c r="D38" i="12"/>
  <c r="S17" i="10"/>
  <c r="R17" i="10"/>
  <c r="P17" i="10"/>
  <c r="O17" i="10"/>
  <c r="N17" i="10"/>
  <c r="M17" i="10"/>
  <c r="U93" i="8"/>
  <c r="U92" i="8"/>
  <c r="U96" i="8" s="1"/>
  <c r="T93" i="8"/>
  <c r="T92" i="8"/>
  <c r="T96" i="8" s="1"/>
  <c r="S93" i="8"/>
  <c r="S92" i="8"/>
  <c r="S96" i="8" s="1"/>
  <c r="R92" i="8"/>
  <c r="R96" i="8" s="1"/>
  <c r="R93" i="8"/>
  <c r="Q93" i="8"/>
  <c r="Q92" i="8"/>
  <c r="Q96" i="8" s="1"/>
  <c r="P93" i="8"/>
  <c r="P92" i="8"/>
  <c r="P96" i="8" s="1"/>
  <c r="O93" i="8"/>
  <c r="O92" i="8"/>
  <c r="O96" i="8" s="1"/>
  <c r="N92" i="8"/>
  <c r="N96" i="8" s="1"/>
  <c r="N93" i="8"/>
  <c r="M93" i="8"/>
  <c r="M92" i="8"/>
  <c r="M96" i="8" s="1"/>
  <c r="L92" i="8"/>
  <c r="L96" i="8" s="1"/>
  <c r="L93" i="8"/>
  <c r="K92" i="8"/>
  <c r="K96" i="8" s="1"/>
  <c r="K93" i="8"/>
  <c r="J93" i="8"/>
  <c r="J92" i="8"/>
  <c r="J96" i="8" s="1"/>
  <c r="I92" i="8"/>
  <c r="I96" i="8" s="1"/>
  <c r="I93" i="8"/>
  <c r="H92" i="8"/>
  <c r="H96" i="8" s="1"/>
  <c r="H93" i="8"/>
  <c r="G93" i="8"/>
  <c r="G92" i="8"/>
  <c r="G96" i="8" s="1"/>
  <c r="F92" i="8"/>
  <c r="F96" i="8" s="1"/>
  <c r="F93" i="8"/>
  <c r="E93" i="8"/>
  <c r="E92" i="8"/>
  <c r="E96" i="8" s="1"/>
  <c r="D92" i="8"/>
  <c r="D96" i="8" s="1"/>
  <c r="B119" i="8" s="1"/>
  <c r="D93" i="8"/>
  <c r="CI93" i="8"/>
  <c r="CI92" i="8"/>
  <c r="CI96" i="8" s="1"/>
  <c r="CH93" i="8"/>
  <c r="CH92" i="8"/>
  <c r="CH96" i="8" s="1"/>
  <c r="CG92" i="8"/>
  <c r="CG96" i="8" s="1"/>
  <c r="CG93" i="8"/>
  <c r="CF92" i="8"/>
  <c r="CF96" i="8" s="1"/>
  <c r="CF93" i="8"/>
  <c r="CE93" i="8"/>
  <c r="CE92" i="8"/>
  <c r="CE96" i="8" s="1"/>
  <c r="CD93" i="8"/>
  <c r="CD92" i="8"/>
  <c r="CD96" i="8" s="1"/>
  <c r="E94" i="8"/>
  <c r="D94" i="8"/>
  <c r="O82" i="8"/>
  <c r="O81" i="8"/>
  <c r="N82" i="8"/>
  <c r="N81" i="8"/>
  <c r="M82" i="8"/>
  <c r="M81" i="8"/>
  <c r="M85" i="8" s="1"/>
  <c r="L81" i="8"/>
  <c r="L85" i="8" s="1"/>
  <c r="L82" i="8"/>
  <c r="K81" i="8"/>
  <c r="K82" i="8"/>
  <c r="J81" i="8"/>
  <c r="J82" i="8"/>
  <c r="I81" i="8"/>
  <c r="I82" i="8"/>
  <c r="H82" i="8"/>
  <c r="H81" i="8"/>
  <c r="G82" i="8"/>
  <c r="G81" i="8"/>
  <c r="F82" i="8"/>
  <c r="F81" i="8"/>
  <c r="E82" i="8"/>
  <c r="E81" i="8"/>
  <c r="D82" i="8"/>
  <c r="D81" i="8"/>
  <c r="AY81" i="8"/>
  <c r="AY85" i="8" s="1"/>
  <c r="AY82" i="8"/>
  <c r="CI83" i="8"/>
  <c r="CH83" i="8"/>
  <c r="CG83" i="8"/>
  <c r="CF83" i="8"/>
  <c r="CE83" i="8"/>
  <c r="CD83" i="8"/>
  <c r="CC83" i="8"/>
  <c r="CB83" i="8"/>
  <c r="CA83" i="8"/>
  <c r="BZ83" i="8"/>
  <c r="BY83" i="8"/>
  <c r="BX83" i="8"/>
  <c r="BW83" i="8"/>
  <c r="BV83" i="8"/>
  <c r="BU83" i="8"/>
  <c r="BT83" i="8"/>
  <c r="BS83" i="8"/>
  <c r="BR83" i="8"/>
  <c r="BQ83" i="8"/>
  <c r="BP83" i="8"/>
  <c r="BO83" i="8"/>
  <c r="BN83" i="8"/>
  <c r="BM83" i="8"/>
  <c r="BL83" i="8"/>
  <c r="BK83" i="8"/>
  <c r="BJ83" i="8"/>
  <c r="BI83" i="8"/>
  <c r="BH83" i="8"/>
  <c r="BG83" i="8"/>
  <c r="BF83" i="8"/>
  <c r="BE83" i="8"/>
  <c r="BD83" i="8"/>
  <c r="BC83" i="8"/>
  <c r="BB83" i="8"/>
  <c r="BA83" i="8"/>
  <c r="AZ83" i="8"/>
  <c r="AY83" i="8"/>
  <c r="AX83" i="8"/>
  <c r="AW83" i="8"/>
  <c r="AV83" i="8"/>
  <c r="AU83" i="8"/>
  <c r="AT83" i="8"/>
  <c r="AS83" i="8"/>
  <c r="AR83" i="8"/>
  <c r="AQ83" i="8"/>
  <c r="AP83" i="8"/>
  <c r="AO83" i="8"/>
  <c r="AN83" i="8"/>
  <c r="AM83" i="8"/>
  <c r="AL83" i="8"/>
  <c r="AK83" i="8"/>
  <c r="AJ83" i="8"/>
  <c r="AI83" i="8"/>
  <c r="AH83" i="8"/>
  <c r="AG83" i="8"/>
  <c r="AF83" i="8"/>
  <c r="AE83" i="8"/>
  <c r="AD83" i="8"/>
  <c r="AC83" i="8"/>
  <c r="AB83" i="8"/>
  <c r="AA83" i="8"/>
  <c r="Z83" i="8"/>
  <c r="Y83" i="8"/>
  <c r="X83" i="8"/>
  <c r="W83" i="8"/>
  <c r="V83" i="8"/>
  <c r="U83" i="8"/>
  <c r="T83" i="8"/>
  <c r="S83" i="8"/>
  <c r="R83" i="8"/>
  <c r="Q83" i="8"/>
  <c r="P83" i="8"/>
  <c r="O83" i="8"/>
  <c r="O84" i="8"/>
  <c r="O85" i="8"/>
  <c r="N83" i="8"/>
  <c r="N84" i="8" s="1"/>
  <c r="N85" i="8"/>
  <c r="M83" i="8"/>
  <c r="L83" i="8"/>
  <c r="O70" i="8"/>
  <c r="O71" i="8"/>
  <c r="N71" i="8"/>
  <c r="N70" i="8"/>
  <c r="M70" i="8"/>
  <c r="M71" i="8"/>
  <c r="L70" i="8"/>
  <c r="L71" i="8"/>
  <c r="K71" i="8"/>
  <c r="K70" i="8"/>
  <c r="J71" i="8"/>
  <c r="J70" i="8"/>
  <c r="I71" i="8"/>
  <c r="I70" i="8"/>
  <c r="H70" i="8"/>
  <c r="H71" i="8"/>
  <c r="G71" i="8"/>
  <c r="G70" i="8"/>
  <c r="F70" i="8"/>
  <c r="F71" i="8"/>
  <c r="E71" i="8"/>
  <c r="E70" i="8"/>
  <c r="D71" i="8"/>
  <c r="D70" i="8"/>
  <c r="BW71" i="8"/>
  <c r="BW70" i="8"/>
  <c r="BW74" i="8" s="1"/>
  <c r="BP71" i="8"/>
  <c r="BP70" i="8"/>
  <c r="BP74" i="8" s="1"/>
  <c r="BI70" i="8"/>
  <c r="BI74" i="8" s="1"/>
  <c r="BI71" i="8"/>
  <c r="AZ70" i="8"/>
  <c r="AZ74" i="8" s="1"/>
  <c r="AZ71" i="8"/>
  <c r="AS71" i="8"/>
  <c r="AS70" i="8"/>
  <c r="AS74" i="8" s="1"/>
  <c r="AM70" i="8"/>
  <c r="AM74" i="8" s="1"/>
  <c r="AM71" i="8"/>
  <c r="AD70" i="8"/>
  <c r="AD74" i="8" s="1"/>
  <c r="AD71" i="8"/>
  <c r="X70" i="8"/>
  <c r="X71" i="8"/>
  <c r="CI72" i="8"/>
  <c r="CH72" i="8"/>
  <c r="CG72" i="8"/>
  <c r="CF72" i="8"/>
  <c r="CE72" i="8"/>
  <c r="CD72" i="8"/>
  <c r="CC72" i="8"/>
  <c r="CB72" i="8"/>
  <c r="CA72" i="8"/>
  <c r="BZ72" i="8"/>
  <c r="BY72" i="8"/>
  <c r="BX72" i="8"/>
  <c r="BW72" i="8"/>
  <c r="BV72" i="8"/>
  <c r="BU72" i="8"/>
  <c r="BT72" i="8"/>
  <c r="BS72" i="8"/>
  <c r="BR72" i="8"/>
  <c r="BQ72" i="8"/>
  <c r="BP72" i="8"/>
  <c r="BO72" i="8"/>
  <c r="BN72" i="8"/>
  <c r="BM72" i="8"/>
  <c r="BL72" i="8"/>
  <c r="BK72" i="8"/>
  <c r="BJ72" i="8"/>
  <c r="BI72" i="8"/>
  <c r="BH72" i="8"/>
  <c r="BG72" i="8"/>
  <c r="BF72" i="8"/>
  <c r="BE72" i="8"/>
  <c r="BD72" i="8"/>
  <c r="BC72" i="8"/>
  <c r="BB72" i="8"/>
  <c r="BA72" i="8"/>
  <c r="AZ72" i="8"/>
  <c r="AY72" i="8"/>
  <c r="AX72" i="8"/>
  <c r="AW72" i="8"/>
  <c r="AV72" i="8"/>
  <c r="AU72" i="8"/>
  <c r="AT72" i="8"/>
  <c r="AS72" i="8"/>
  <c r="AR72" i="8"/>
  <c r="AQ72" i="8"/>
  <c r="AP72" i="8"/>
  <c r="AO72" i="8"/>
  <c r="AN72" i="8"/>
  <c r="AM72" i="8"/>
  <c r="AL72" i="8"/>
  <c r="AK72" i="8"/>
  <c r="AJ72" i="8"/>
  <c r="AI72" i="8"/>
  <c r="AH72" i="8"/>
  <c r="AG72" i="8"/>
  <c r="AF72" i="8"/>
  <c r="AE72" i="8"/>
  <c r="AD72" i="8"/>
  <c r="AC72" i="8"/>
  <c r="AB72" i="8"/>
  <c r="O60" i="8"/>
  <c r="O59" i="8"/>
  <c r="N60" i="8"/>
  <c r="N59" i="8"/>
  <c r="M59" i="8"/>
  <c r="M60" i="8"/>
  <c r="L60" i="8"/>
  <c r="L59" i="8"/>
  <c r="K60" i="8"/>
  <c r="K59" i="8"/>
  <c r="J60" i="8"/>
  <c r="J59" i="8"/>
  <c r="I60" i="8"/>
  <c r="I59" i="8"/>
  <c r="H59" i="8"/>
  <c r="H60" i="8"/>
  <c r="G59" i="8"/>
  <c r="G60" i="8"/>
  <c r="F59" i="8"/>
  <c r="F60" i="8"/>
  <c r="E59" i="8"/>
  <c r="E60" i="8"/>
  <c r="D59" i="8"/>
  <c r="D60" i="8"/>
  <c r="CI52" i="8"/>
  <c r="CI50" i="8"/>
  <c r="CI51" i="8" s="1"/>
  <c r="CH52" i="8"/>
  <c r="CH50" i="8"/>
  <c r="CH51" i="8" s="1"/>
  <c r="CG52" i="8"/>
  <c r="CG50" i="8"/>
  <c r="CG51" i="8" s="1"/>
  <c r="CF52" i="8"/>
  <c r="CF50" i="8"/>
  <c r="CF51" i="8" s="1"/>
  <c r="CE50" i="8"/>
  <c r="CE51" i="8"/>
  <c r="CE52" i="8"/>
  <c r="CD52" i="8"/>
  <c r="CD50" i="8"/>
  <c r="CD51" i="8"/>
  <c r="CC50" i="8"/>
  <c r="CC52" i="8"/>
  <c r="CC51" i="8"/>
  <c r="CB52" i="8"/>
  <c r="CB50" i="8"/>
  <c r="CB51" i="8"/>
  <c r="CA52" i="8"/>
  <c r="CA50" i="8"/>
  <c r="CA51" i="8"/>
  <c r="BZ50" i="8"/>
  <c r="BZ51" i="8" s="1"/>
  <c r="BZ52" i="8"/>
  <c r="BY50" i="8"/>
  <c r="BY52" i="8"/>
  <c r="BY51" i="8"/>
  <c r="BX52" i="8"/>
  <c r="BX50" i="8"/>
  <c r="BX51" i="8" s="1"/>
  <c r="BW52" i="8"/>
  <c r="BW50" i="8"/>
  <c r="BW51" i="8" s="1"/>
  <c r="BV50" i="8"/>
  <c r="BV51" i="8" s="1"/>
  <c r="BV52" i="8"/>
  <c r="BU50" i="8"/>
  <c r="BU51" i="8" s="1"/>
  <c r="BU52" i="8"/>
  <c r="BT50" i="8"/>
  <c r="BT52" i="8"/>
  <c r="BT51" i="8"/>
  <c r="BS50" i="8"/>
  <c r="BS52" i="8"/>
  <c r="BS51" i="8"/>
  <c r="BR52" i="8"/>
  <c r="BR50" i="8"/>
  <c r="BR51" i="8" s="1"/>
  <c r="BQ52" i="8"/>
  <c r="BQ50" i="8"/>
  <c r="BQ51" i="8" s="1"/>
  <c r="BP52" i="8"/>
  <c r="BP50" i="8"/>
  <c r="BP51" i="8" s="1"/>
  <c r="BO52" i="8"/>
  <c r="BO50" i="8"/>
  <c r="BO51" i="8" s="1"/>
  <c r="BN52" i="8"/>
  <c r="BN50" i="8"/>
  <c r="BN51" i="8" s="1"/>
  <c r="BM50" i="8"/>
  <c r="BM51" i="8"/>
  <c r="BM52" i="8"/>
  <c r="BL50" i="8"/>
  <c r="BL51" i="8" s="1"/>
  <c r="BL52" i="8"/>
  <c r="BK50" i="8"/>
  <c r="BK52" i="8"/>
  <c r="BK51" i="8"/>
  <c r="BJ52" i="8"/>
  <c r="BJ50" i="8"/>
  <c r="BJ51" i="8" s="1"/>
  <c r="BI50" i="8"/>
  <c r="BI52" i="8"/>
  <c r="BI51" i="8"/>
  <c r="BH50" i="8"/>
  <c r="BH52" i="8"/>
  <c r="BH51" i="8"/>
  <c r="BG50" i="8"/>
  <c r="BG51" i="8"/>
  <c r="BG52" i="8"/>
  <c r="BF52" i="8"/>
  <c r="BF50" i="8"/>
  <c r="BF51" i="8" s="1"/>
  <c r="BE50" i="8"/>
  <c r="BE51" i="8" s="1"/>
  <c r="BE52" i="8"/>
  <c r="BD50" i="8"/>
  <c r="BD51" i="8"/>
  <c r="BD52" i="8"/>
  <c r="BC50" i="8"/>
  <c r="BC51" i="8" s="1"/>
  <c r="BC52" i="8"/>
  <c r="BB50" i="8"/>
  <c r="BB51" i="8" s="1"/>
  <c r="BB52" i="8"/>
  <c r="BA50" i="8"/>
  <c r="BA51" i="8" s="1"/>
  <c r="BA52" i="8"/>
  <c r="AZ50" i="8"/>
  <c r="AZ51" i="8"/>
  <c r="AZ52" i="8"/>
  <c r="AY50" i="8"/>
  <c r="AY51" i="8" s="1"/>
  <c r="AY52" i="8"/>
  <c r="AX50" i="8"/>
  <c r="AX51" i="8" s="1"/>
  <c r="AX52" i="8"/>
  <c r="AW50" i="8"/>
  <c r="AW51" i="8" s="1"/>
  <c r="AW52" i="8"/>
  <c r="AV50" i="8"/>
  <c r="AV51" i="8"/>
  <c r="AV52" i="8"/>
  <c r="AU50" i="8"/>
  <c r="AU51" i="8" s="1"/>
  <c r="AU52" i="8"/>
  <c r="AT50" i="8"/>
  <c r="AT51" i="8"/>
  <c r="AT52" i="8"/>
  <c r="AS50" i="8"/>
  <c r="AS51" i="8"/>
  <c r="AS52" i="8"/>
  <c r="AR50" i="8"/>
  <c r="AR51" i="8" s="1"/>
  <c r="AR52" i="8"/>
  <c r="AQ50" i="8"/>
  <c r="AQ51" i="8" s="1"/>
  <c r="AQ52" i="8"/>
  <c r="AP50" i="8"/>
  <c r="AP51" i="8" s="1"/>
  <c r="AP52" i="8"/>
  <c r="AO50" i="8"/>
  <c r="AO51" i="8" s="1"/>
  <c r="AO52" i="8"/>
  <c r="AN50" i="8"/>
  <c r="AN51" i="8" s="1"/>
  <c r="AN52" i="8"/>
  <c r="AM50" i="8"/>
  <c r="AM51" i="8" s="1"/>
  <c r="AM52" i="8"/>
  <c r="AL50" i="8"/>
  <c r="AL51" i="8" s="1"/>
  <c r="AL52" i="8"/>
  <c r="AK50" i="8"/>
  <c r="AK51" i="8" s="1"/>
  <c r="AK52" i="8"/>
  <c r="AJ50" i="8"/>
  <c r="AJ51" i="8"/>
  <c r="AJ52" i="8"/>
  <c r="AI50" i="8"/>
  <c r="AI51" i="8"/>
  <c r="AI52" i="8"/>
  <c r="AH50" i="8"/>
  <c r="AH51" i="8" s="1"/>
  <c r="AH52" i="8"/>
  <c r="AG50" i="8"/>
  <c r="AG51" i="8"/>
  <c r="AG52" i="8"/>
  <c r="AF50" i="8"/>
  <c r="AF51" i="8"/>
  <c r="AF52" i="8"/>
  <c r="AE50" i="8"/>
  <c r="AE51" i="8" s="1"/>
  <c r="AE52" i="8"/>
  <c r="AD50" i="8"/>
  <c r="AD51" i="8" s="1"/>
  <c r="AD52" i="8"/>
  <c r="AC50" i="8"/>
  <c r="AC51" i="8" s="1"/>
  <c r="AC52" i="8"/>
  <c r="AB50" i="8"/>
  <c r="AB51" i="8" s="1"/>
  <c r="AB52" i="8"/>
  <c r="AA50" i="8"/>
  <c r="AA51" i="8" s="1"/>
  <c r="AA52" i="8"/>
  <c r="Z50" i="8"/>
  <c r="Z51" i="8" s="1"/>
  <c r="Z52" i="8"/>
  <c r="Y50" i="8"/>
  <c r="Y51" i="8" s="1"/>
  <c r="Y52" i="8"/>
  <c r="X50" i="8"/>
  <c r="X51" i="8"/>
  <c r="X52" i="8"/>
  <c r="W50" i="8"/>
  <c r="W51" i="8" s="1"/>
  <c r="W52" i="8"/>
  <c r="V50" i="8"/>
  <c r="V51" i="8" s="1"/>
  <c r="V52" i="8"/>
  <c r="U50" i="8"/>
  <c r="U51" i="8" s="1"/>
  <c r="U52" i="8"/>
  <c r="T50" i="8"/>
  <c r="T51" i="8" s="1"/>
  <c r="T52" i="8"/>
  <c r="S50" i="8"/>
  <c r="S51" i="8" s="1"/>
  <c r="S52" i="8"/>
  <c r="R50" i="8"/>
  <c r="R51" i="8" s="1"/>
  <c r="R52" i="8"/>
  <c r="Q50" i="8"/>
  <c r="Q51" i="8" s="1"/>
  <c r="Q52" i="8"/>
  <c r="P50" i="8"/>
  <c r="P51" i="8" s="1"/>
  <c r="P52" i="8"/>
  <c r="O50" i="8"/>
  <c r="O51" i="8" s="1"/>
  <c r="O52" i="8"/>
  <c r="N50" i="8"/>
  <c r="N51" i="8" s="1"/>
  <c r="N52" i="8"/>
  <c r="M50" i="8"/>
  <c r="M51" i="8"/>
  <c r="M52" i="8"/>
  <c r="AU39" i="8"/>
  <c r="AU40" i="8"/>
  <c r="AU41" i="8"/>
  <c r="AT39" i="8"/>
  <c r="AT40" i="8"/>
  <c r="AT41" i="8"/>
  <c r="AS39" i="8"/>
  <c r="AS40" i="8" s="1"/>
  <c r="AS41" i="8"/>
  <c r="AR39" i="8"/>
  <c r="AR40" i="8" s="1"/>
  <c r="AR41" i="8"/>
  <c r="AQ39" i="8"/>
  <c r="AQ40" i="8"/>
  <c r="AQ41" i="8"/>
  <c r="AP39" i="8"/>
  <c r="AP40" i="8"/>
  <c r="AP41" i="8"/>
  <c r="AO39" i="8"/>
  <c r="AO40" i="8" s="1"/>
  <c r="AO41" i="8"/>
  <c r="AN39" i="8"/>
  <c r="AN40" i="8"/>
  <c r="AN41" i="8"/>
  <c r="AM39" i="8"/>
  <c r="AM40" i="8"/>
  <c r="AM41" i="8"/>
  <c r="AL39" i="8"/>
  <c r="AL40" i="8"/>
  <c r="AL41" i="8"/>
  <c r="AK39" i="8"/>
  <c r="AK40" i="8"/>
  <c r="AK41" i="8"/>
  <c r="AJ39" i="8"/>
  <c r="AJ40" i="8" s="1"/>
  <c r="AJ41" i="8"/>
  <c r="AI39" i="8"/>
  <c r="AI40" i="8"/>
  <c r="AI41" i="8"/>
  <c r="AH39" i="8"/>
  <c r="AH40" i="8"/>
  <c r="AH41" i="8"/>
  <c r="AG39" i="8"/>
  <c r="AG40" i="8"/>
  <c r="AG41" i="8"/>
  <c r="AF39" i="8"/>
  <c r="AF40" i="8" s="1"/>
  <c r="AF41" i="8"/>
  <c r="AE39" i="8"/>
  <c r="AE40" i="8"/>
  <c r="AE41" i="8"/>
  <c r="AD39" i="8"/>
  <c r="AD40" i="8" s="1"/>
  <c r="AD41" i="8"/>
  <c r="AC39" i="8"/>
  <c r="AC40" i="8"/>
  <c r="AC41" i="8"/>
  <c r="AB39" i="8"/>
  <c r="AB40" i="8"/>
  <c r="AB41" i="8"/>
  <c r="AA39" i="8"/>
  <c r="AA40" i="8"/>
  <c r="AA41" i="8"/>
  <c r="Z39" i="8"/>
  <c r="Z40" i="8"/>
  <c r="Z41" i="8"/>
  <c r="Y39" i="8"/>
  <c r="Y40" i="8"/>
  <c r="Y41" i="8"/>
  <c r="X39" i="8"/>
  <c r="X40" i="8"/>
  <c r="X41" i="8"/>
  <c r="W39" i="8"/>
  <c r="W40" i="8"/>
  <c r="W41" i="8"/>
  <c r="V39" i="8"/>
  <c r="V40" i="8"/>
  <c r="V41" i="8"/>
  <c r="U39" i="8"/>
  <c r="U40" i="8" s="1"/>
  <c r="U41" i="8"/>
  <c r="T39" i="8"/>
  <c r="T40" i="8"/>
  <c r="T41" i="8"/>
  <c r="S39" i="8"/>
  <c r="S40" i="8"/>
  <c r="S41" i="8"/>
  <c r="R39" i="8"/>
  <c r="R40" i="8"/>
  <c r="R41" i="8"/>
  <c r="Q39" i="8"/>
  <c r="Q40" i="8"/>
  <c r="Q41" i="8"/>
  <c r="P39" i="8"/>
  <c r="P40" i="8"/>
  <c r="P41" i="8"/>
  <c r="O39" i="8"/>
  <c r="O40" i="8"/>
  <c r="O41" i="8"/>
  <c r="N39" i="8"/>
  <c r="N40" i="8"/>
  <c r="N41" i="8"/>
  <c r="M39" i="8"/>
  <c r="M40" i="8" s="1"/>
  <c r="M41" i="8"/>
  <c r="L39" i="8"/>
  <c r="L40" i="8"/>
  <c r="L41" i="8"/>
  <c r="K39" i="8"/>
  <c r="K40" i="8" s="1"/>
  <c r="K41" i="8"/>
  <c r="J39" i="8"/>
  <c r="J40" i="8" s="1"/>
  <c r="J41" i="8"/>
  <c r="I39" i="8"/>
  <c r="I40" i="8"/>
  <c r="I41" i="8"/>
  <c r="H39" i="8"/>
  <c r="H40" i="8"/>
  <c r="H41" i="8"/>
  <c r="G39" i="8"/>
  <c r="G40" i="8"/>
  <c r="G41" i="8"/>
  <c r="F39" i="8"/>
  <c r="F40" i="8" s="1"/>
  <c r="F41" i="8"/>
  <c r="E39" i="8"/>
  <c r="E40" i="8"/>
  <c r="E41" i="8"/>
  <c r="D39" i="8"/>
  <c r="D40" i="8"/>
  <c r="D41" i="8"/>
  <c r="CI14" i="8"/>
  <c r="CI102" i="8"/>
  <c r="CH102" i="8"/>
  <c r="CH14" i="8"/>
  <c r="CG14" i="8"/>
  <c r="CG102" i="8"/>
  <c r="CF102" i="8"/>
  <c r="CF14" i="8"/>
  <c r="CE102" i="8"/>
  <c r="CE14" i="8"/>
  <c r="CD14" i="8"/>
  <c r="CD102" i="8"/>
  <c r="CC14" i="8"/>
  <c r="CC102" i="8"/>
  <c r="CB102" i="8"/>
  <c r="CB14" i="8"/>
  <c r="CA14" i="8"/>
  <c r="CA102" i="8"/>
  <c r="BZ102" i="8"/>
  <c r="BZ14" i="8"/>
  <c r="BY102" i="8"/>
  <c r="BY14" i="8"/>
  <c r="BX14" i="8"/>
  <c r="BX102" i="8"/>
  <c r="BW102" i="8"/>
  <c r="BW14" i="8"/>
  <c r="BV102" i="8"/>
  <c r="BV14" i="8"/>
  <c r="BU102" i="8"/>
  <c r="BU14" i="8"/>
  <c r="BT102" i="8"/>
  <c r="BT14" i="8"/>
  <c r="BS102" i="8"/>
  <c r="BS14" i="8"/>
  <c r="BR102" i="8"/>
  <c r="BR14" i="8"/>
  <c r="BQ102" i="8"/>
  <c r="BQ14" i="8"/>
  <c r="BP14" i="8"/>
  <c r="BP102" i="8"/>
  <c r="BO14" i="8"/>
  <c r="BO102" i="8"/>
  <c r="BN102" i="8"/>
  <c r="BN14" i="8"/>
  <c r="BM14" i="8"/>
  <c r="BM102" i="8"/>
  <c r="BL102" i="8"/>
  <c r="BL14" i="8"/>
  <c r="BK14" i="8"/>
  <c r="BK102" i="8"/>
  <c r="BJ102" i="8"/>
  <c r="BJ14" i="8"/>
  <c r="BI102" i="8"/>
  <c r="BI14" i="8"/>
  <c r="BH102" i="8"/>
  <c r="BH14" i="8"/>
  <c r="BG14" i="8"/>
  <c r="BG102" i="8"/>
  <c r="BF14" i="8"/>
  <c r="BF102" i="8"/>
  <c r="BE14" i="8"/>
  <c r="BE102" i="8"/>
  <c r="BD14" i="8"/>
  <c r="BD102" i="8"/>
  <c r="BC14" i="8"/>
  <c r="BC102" i="8"/>
  <c r="BB14" i="8"/>
  <c r="BB102" i="8"/>
  <c r="BA14" i="8"/>
  <c r="BA102" i="8"/>
  <c r="AZ102" i="8"/>
  <c r="AZ14" i="8"/>
  <c r="AY102" i="8"/>
  <c r="AY14" i="8"/>
  <c r="AX14" i="8"/>
  <c r="AX102" i="8"/>
  <c r="AW14" i="8"/>
  <c r="AW102" i="8"/>
  <c r="AV14" i="8"/>
  <c r="AV102" i="8"/>
  <c r="AU102" i="8"/>
  <c r="AU14" i="8"/>
  <c r="AT102" i="8"/>
  <c r="AT14" i="8"/>
  <c r="AS14" i="8"/>
  <c r="AS102" i="8"/>
  <c r="AR102" i="8"/>
  <c r="AR14" i="8"/>
  <c r="AQ102" i="8"/>
  <c r="AQ14" i="8"/>
  <c r="AP14" i="8"/>
  <c r="AP102" i="8"/>
  <c r="AO14" i="8"/>
  <c r="AO102" i="8"/>
  <c r="AN14" i="8"/>
  <c r="AN102" i="8"/>
  <c r="AM102" i="8"/>
  <c r="AM14" i="8"/>
  <c r="AL14" i="8"/>
  <c r="AL102" i="8"/>
  <c r="AK102" i="8"/>
  <c r="AK14" i="8"/>
  <c r="AJ14" i="8"/>
  <c r="AJ102" i="8"/>
  <c r="AI102" i="8"/>
  <c r="AI14" i="8"/>
  <c r="AH14" i="8"/>
  <c r="AH102" i="8"/>
  <c r="AG102" i="8"/>
  <c r="AG14" i="8"/>
  <c r="AF102" i="8"/>
  <c r="AF14" i="8"/>
  <c r="AE14" i="8"/>
  <c r="AE102" i="8"/>
  <c r="AD102" i="8"/>
  <c r="AD14" i="8"/>
  <c r="AC102" i="8"/>
  <c r="AC14" i="8"/>
  <c r="AB102" i="8"/>
  <c r="AB14" i="8"/>
  <c r="AA102" i="8"/>
  <c r="AA14" i="8"/>
  <c r="Z102" i="8"/>
  <c r="Z14" i="8"/>
  <c r="Y102" i="8"/>
  <c r="Y14" i="8"/>
  <c r="X14" i="8"/>
  <c r="X102" i="8"/>
  <c r="W14" i="8"/>
  <c r="W102" i="8"/>
  <c r="V14" i="8"/>
  <c r="V102" i="8"/>
  <c r="U14" i="8"/>
  <c r="U102" i="8"/>
  <c r="T14" i="8"/>
  <c r="T102" i="8"/>
  <c r="S14" i="8"/>
  <c r="S102" i="8"/>
  <c r="R102" i="8"/>
  <c r="R14" i="8"/>
  <c r="Q14" i="8"/>
  <c r="Q102" i="8"/>
  <c r="P102" i="8"/>
  <c r="P14" i="8"/>
  <c r="O14" i="8"/>
  <c r="O102" i="8"/>
  <c r="N102" i="8"/>
  <c r="N14" i="8"/>
  <c r="M102" i="8"/>
  <c r="M14" i="8"/>
  <c r="L102" i="8"/>
  <c r="L14" i="8"/>
  <c r="K14" i="8"/>
  <c r="K102" i="8"/>
  <c r="J14" i="8"/>
  <c r="J102" i="8"/>
  <c r="I14" i="8"/>
  <c r="I102" i="8"/>
  <c r="H102" i="8"/>
  <c r="H14" i="8"/>
  <c r="G14" i="8"/>
  <c r="G102" i="8"/>
  <c r="F102" i="8"/>
  <c r="F14" i="8"/>
  <c r="E102" i="8"/>
  <c r="E14" i="8"/>
  <c r="D14" i="8"/>
  <c r="D102" i="8"/>
  <c r="CI99" i="8"/>
  <c r="CI12" i="8"/>
  <c r="CH99" i="8"/>
  <c r="CH12" i="8"/>
  <c r="CG99" i="8"/>
  <c r="CG12" i="8"/>
  <c r="CF99" i="8"/>
  <c r="CF12" i="8"/>
  <c r="CE99" i="8"/>
  <c r="CE12" i="8"/>
  <c r="CD99" i="8"/>
  <c r="CD12" i="8"/>
  <c r="CC99" i="8"/>
  <c r="CC12" i="8"/>
  <c r="CB99" i="8"/>
  <c r="CB12" i="8"/>
  <c r="CA99" i="8"/>
  <c r="CA12" i="8"/>
  <c r="BZ99" i="8"/>
  <c r="BZ12" i="8"/>
  <c r="BY99" i="8"/>
  <c r="BY12" i="8"/>
  <c r="BX12" i="8"/>
  <c r="BX99" i="8"/>
  <c r="BW12" i="8"/>
  <c r="BW99" i="8"/>
  <c r="BV12" i="8"/>
  <c r="BV99" i="8"/>
  <c r="BU12" i="8"/>
  <c r="BU99" i="8"/>
  <c r="BT12" i="8"/>
  <c r="BT99" i="8"/>
  <c r="BS12" i="8"/>
  <c r="BS99" i="8"/>
  <c r="BR12" i="8"/>
  <c r="BR99" i="8"/>
  <c r="BQ12" i="8"/>
  <c r="BQ99" i="8"/>
  <c r="BP12" i="8"/>
  <c r="BP99" i="8"/>
  <c r="BO12" i="8"/>
  <c r="BO99" i="8"/>
  <c r="BN99" i="8"/>
  <c r="BN12" i="8"/>
  <c r="BM99" i="8"/>
  <c r="BM12" i="8"/>
  <c r="BL12" i="8"/>
  <c r="BL99" i="8"/>
  <c r="BK99" i="8"/>
  <c r="BK12" i="8"/>
  <c r="BJ99" i="8"/>
  <c r="BJ12" i="8"/>
  <c r="BI99" i="8"/>
  <c r="BI12" i="8"/>
  <c r="BH99" i="8"/>
  <c r="BH12" i="8"/>
  <c r="BG99" i="8"/>
  <c r="BG12" i="8"/>
  <c r="BF99" i="8"/>
  <c r="BF12" i="8"/>
  <c r="BE12" i="8"/>
  <c r="BE99" i="8"/>
  <c r="BD99" i="8"/>
  <c r="BD12" i="8"/>
  <c r="BC12" i="8"/>
  <c r="BC99" i="8"/>
  <c r="BB12" i="8"/>
  <c r="BB99" i="8"/>
  <c r="BA12" i="8"/>
  <c r="BA99" i="8"/>
  <c r="AZ12" i="8"/>
  <c r="AZ99" i="8"/>
  <c r="AY12" i="8"/>
  <c r="AY99" i="8"/>
  <c r="AX12" i="8"/>
  <c r="AX99" i="8"/>
  <c r="AW12" i="8"/>
  <c r="AW99" i="8"/>
  <c r="AV99" i="8"/>
  <c r="AV12" i="8"/>
  <c r="AU99" i="8"/>
  <c r="AU12" i="8"/>
  <c r="AT99" i="8"/>
  <c r="AT12" i="8"/>
  <c r="AS12" i="8"/>
  <c r="AS99" i="8"/>
  <c r="AR12" i="8"/>
  <c r="AR99" i="8"/>
  <c r="AQ12" i="8"/>
  <c r="AQ99" i="8"/>
  <c r="AP12" i="8"/>
  <c r="AP99" i="8"/>
  <c r="AO99" i="8"/>
  <c r="AO12" i="8"/>
  <c r="AN99" i="8"/>
  <c r="AN12" i="8"/>
  <c r="AM12" i="8"/>
  <c r="AM99" i="8"/>
  <c r="AL12" i="8"/>
  <c r="AL99" i="8"/>
  <c r="AK12" i="8"/>
  <c r="AK99" i="8"/>
  <c r="AJ99" i="8"/>
  <c r="AJ12" i="8"/>
  <c r="AI12" i="8"/>
  <c r="AI99" i="8"/>
  <c r="AH12" i="8"/>
  <c r="AH99" i="8"/>
  <c r="AG99" i="8"/>
  <c r="AG12" i="8"/>
  <c r="AF12" i="8"/>
  <c r="AF99" i="8"/>
  <c r="AE12" i="8"/>
  <c r="AE99" i="8"/>
  <c r="AD12" i="8"/>
  <c r="AD99" i="8"/>
  <c r="AC12" i="8"/>
  <c r="AC99" i="8"/>
  <c r="AB12" i="8"/>
  <c r="AB99" i="8"/>
  <c r="AA12" i="8"/>
  <c r="AA99" i="8"/>
  <c r="Z12" i="8"/>
  <c r="Z99" i="8"/>
  <c r="Y12" i="8"/>
  <c r="Y99" i="8"/>
  <c r="X99" i="8"/>
  <c r="X12" i="8"/>
  <c r="W12" i="8"/>
  <c r="W99" i="8"/>
  <c r="V12" i="8"/>
  <c r="V99" i="8"/>
  <c r="U12" i="8"/>
  <c r="U99" i="8"/>
  <c r="T12" i="8"/>
  <c r="T99" i="8"/>
  <c r="S12" i="8"/>
  <c r="S99" i="8"/>
  <c r="R12" i="8"/>
  <c r="R99" i="8"/>
  <c r="Q12" i="8"/>
  <c r="Q99" i="8"/>
  <c r="P99" i="8"/>
  <c r="P12" i="8"/>
  <c r="O99" i="8"/>
  <c r="O12" i="8"/>
  <c r="N12" i="8"/>
  <c r="N99" i="8"/>
  <c r="M12" i="8"/>
  <c r="M99" i="8"/>
  <c r="L99" i="8"/>
  <c r="L12" i="8"/>
  <c r="K99" i="8"/>
  <c r="K12" i="8"/>
  <c r="J12" i="8"/>
  <c r="J99" i="8"/>
  <c r="I12" i="8"/>
  <c r="I99" i="8"/>
  <c r="H12" i="8"/>
  <c r="H99" i="8"/>
  <c r="G12" i="8"/>
  <c r="G99" i="8"/>
  <c r="F12" i="8"/>
  <c r="F99" i="8"/>
  <c r="E99" i="8"/>
  <c r="E12" i="8"/>
  <c r="D99" i="8"/>
  <c r="D12" i="8"/>
  <c r="D17" i="6"/>
  <c r="E14" i="17"/>
  <c r="D14" i="6"/>
  <c r="E13" i="17"/>
  <c r="C20" i="4"/>
  <c r="B3" i="4" s="1"/>
  <c r="F52" i="5"/>
  <c r="E54" i="5"/>
  <c r="E59" i="5" s="1"/>
  <c r="E64" i="5" s="1"/>
  <c r="CI38" i="5"/>
  <c r="CI78" i="5" s="1"/>
  <c r="CI15" i="6" s="1"/>
  <c r="CI77" i="5"/>
  <c r="CH38" i="5"/>
  <c r="CH78" i="5" s="1"/>
  <c r="CH15" i="6" s="1"/>
  <c r="CH77" i="5"/>
  <c r="CG38" i="5"/>
  <c r="CG78" i="5" s="1"/>
  <c r="CG15" i="6" s="1"/>
  <c r="CG77" i="5"/>
  <c r="CF38" i="5"/>
  <c r="CF78" i="5" s="1"/>
  <c r="CF15" i="6" s="1"/>
  <c r="CF77" i="5"/>
  <c r="CE38" i="5"/>
  <c r="CE78" i="5" s="1"/>
  <c r="CE15" i="6" s="1"/>
  <c r="CE77" i="5"/>
  <c r="CD38" i="5"/>
  <c r="CD78" i="5" s="1"/>
  <c r="CD15" i="6" s="1"/>
  <c r="CD77" i="5"/>
  <c r="CC38" i="5"/>
  <c r="CC78" i="5" s="1"/>
  <c r="CC15" i="6" s="1"/>
  <c r="CC77" i="5"/>
  <c r="CB38" i="5"/>
  <c r="CB78" i="5" s="1"/>
  <c r="CB15" i="6" s="1"/>
  <c r="CB77" i="5"/>
  <c r="CA38" i="5"/>
  <c r="CA78" i="5" s="1"/>
  <c r="CA15" i="6" s="1"/>
  <c r="CA77" i="5"/>
  <c r="BZ38" i="5"/>
  <c r="BZ78" i="5" s="1"/>
  <c r="BZ15" i="6" s="1"/>
  <c r="BZ77" i="5"/>
  <c r="BY38" i="5"/>
  <c r="BY78" i="5" s="1"/>
  <c r="BY15" i="6" s="1"/>
  <c r="BY77" i="5"/>
  <c r="BX38" i="5"/>
  <c r="BX78" i="5" s="1"/>
  <c r="BX15" i="6" s="1"/>
  <c r="BX77" i="5"/>
  <c r="BW38" i="5"/>
  <c r="BW78" i="5" s="1"/>
  <c r="BW15" i="6" s="1"/>
  <c r="BW77" i="5"/>
  <c r="BV38" i="5"/>
  <c r="BV78" i="5" s="1"/>
  <c r="BV15" i="6" s="1"/>
  <c r="BV77" i="5"/>
  <c r="BU38" i="5"/>
  <c r="BU78" i="5" s="1"/>
  <c r="BU15" i="6" s="1"/>
  <c r="BU77" i="5"/>
  <c r="BT38" i="5"/>
  <c r="BT78" i="5" s="1"/>
  <c r="BT15" i="6" s="1"/>
  <c r="BT77" i="5"/>
  <c r="BS38" i="5"/>
  <c r="BS78" i="5" s="1"/>
  <c r="BS15" i="6" s="1"/>
  <c r="BS77" i="5"/>
  <c r="BR38" i="5"/>
  <c r="BR78" i="5" s="1"/>
  <c r="BR15" i="6" s="1"/>
  <c r="BR77" i="5"/>
  <c r="BQ38" i="5"/>
  <c r="BQ78" i="5" s="1"/>
  <c r="BQ15" i="6" s="1"/>
  <c r="BQ77" i="5"/>
  <c r="BP38" i="5"/>
  <c r="BP78" i="5" s="1"/>
  <c r="BP15" i="6" s="1"/>
  <c r="BP77" i="5"/>
  <c r="BO38" i="5"/>
  <c r="BO78" i="5" s="1"/>
  <c r="BO15" i="6" s="1"/>
  <c r="BO77" i="5"/>
  <c r="BN38" i="5"/>
  <c r="BN78" i="5" s="1"/>
  <c r="BN15" i="6" s="1"/>
  <c r="BN77" i="5"/>
  <c r="BM38" i="5"/>
  <c r="BM78" i="5" s="1"/>
  <c r="BM15" i="6" s="1"/>
  <c r="BM77" i="5"/>
  <c r="BL38" i="5"/>
  <c r="BL78" i="5" s="1"/>
  <c r="BL15" i="6" s="1"/>
  <c r="BL77" i="5"/>
  <c r="BK38" i="5"/>
  <c r="BK78" i="5" s="1"/>
  <c r="BK15" i="6" s="1"/>
  <c r="BK77" i="5"/>
  <c r="BJ38" i="5"/>
  <c r="BJ78" i="5" s="1"/>
  <c r="BJ15" i="6" s="1"/>
  <c r="BJ77" i="5"/>
  <c r="BI38" i="5"/>
  <c r="BI78" i="5" s="1"/>
  <c r="BI15" i="6" s="1"/>
  <c r="BI77" i="5"/>
  <c r="BH38" i="5"/>
  <c r="BH78" i="5" s="1"/>
  <c r="BH15" i="6" s="1"/>
  <c r="BH77" i="5"/>
  <c r="BG38" i="5"/>
  <c r="BG78" i="5" s="1"/>
  <c r="BG15" i="6" s="1"/>
  <c r="BG77" i="5"/>
  <c r="BF38" i="5"/>
  <c r="BF78" i="5" s="1"/>
  <c r="BF15" i="6" s="1"/>
  <c r="BF77" i="5"/>
  <c r="BE38" i="5"/>
  <c r="BE78" i="5" s="1"/>
  <c r="BE15" i="6" s="1"/>
  <c r="BE77" i="5"/>
  <c r="BD38" i="5"/>
  <c r="BD78" i="5" s="1"/>
  <c r="BD15" i="6" s="1"/>
  <c r="BD77" i="5"/>
  <c r="BC38" i="5"/>
  <c r="BC78" i="5" s="1"/>
  <c r="BC15" i="6" s="1"/>
  <c r="BC77" i="5"/>
  <c r="BB38" i="5"/>
  <c r="BB78" i="5" s="1"/>
  <c r="BB15" i="6" s="1"/>
  <c r="BB77" i="5"/>
  <c r="BA38" i="5"/>
  <c r="BA78" i="5" s="1"/>
  <c r="BA15" i="6" s="1"/>
  <c r="BA77" i="5"/>
  <c r="AZ38" i="5"/>
  <c r="AZ78" i="5" s="1"/>
  <c r="AZ15" i="6" s="1"/>
  <c r="AZ77" i="5"/>
  <c r="AY38" i="5"/>
  <c r="AY78" i="5" s="1"/>
  <c r="AY15" i="6" s="1"/>
  <c r="AY77" i="5"/>
  <c r="AX38" i="5"/>
  <c r="AX78" i="5" s="1"/>
  <c r="AX15" i="6" s="1"/>
  <c r="AX77" i="5"/>
  <c r="AW38" i="5"/>
  <c r="AW78" i="5" s="1"/>
  <c r="AW15" i="6" s="1"/>
  <c r="AW77" i="5"/>
  <c r="AV38" i="5"/>
  <c r="AV78" i="5" s="1"/>
  <c r="AV15" i="6" s="1"/>
  <c r="AV77" i="5"/>
  <c r="AU38" i="5"/>
  <c r="AU78" i="5" s="1"/>
  <c r="AU15" i="6" s="1"/>
  <c r="AU77" i="5"/>
  <c r="AT38" i="5"/>
  <c r="AT78" i="5" s="1"/>
  <c r="AT15" i="6" s="1"/>
  <c r="AT77" i="5"/>
  <c r="AS38" i="5"/>
  <c r="AS78" i="5" s="1"/>
  <c r="AS15" i="6" s="1"/>
  <c r="AS77" i="5"/>
  <c r="AR38" i="5"/>
  <c r="AR78" i="5" s="1"/>
  <c r="AR15" i="6" s="1"/>
  <c r="AR77" i="5"/>
  <c r="AQ38" i="5"/>
  <c r="AQ78" i="5" s="1"/>
  <c r="AQ15" i="6" s="1"/>
  <c r="AQ77" i="5"/>
  <c r="AP38" i="5"/>
  <c r="AP78" i="5" s="1"/>
  <c r="AP15" i="6" s="1"/>
  <c r="AP77" i="5"/>
  <c r="AO38" i="5"/>
  <c r="AO78" i="5" s="1"/>
  <c r="AO15" i="6" s="1"/>
  <c r="AO77" i="5"/>
  <c r="AN38" i="5"/>
  <c r="AN78" i="5" s="1"/>
  <c r="AN15" i="6" s="1"/>
  <c r="AN77" i="5"/>
  <c r="AM38" i="5"/>
  <c r="AM78" i="5" s="1"/>
  <c r="AM15" i="6" s="1"/>
  <c r="AM77" i="5"/>
  <c r="AL38" i="5"/>
  <c r="AL78" i="5" s="1"/>
  <c r="AL15" i="6" s="1"/>
  <c r="AL77" i="5"/>
  <c r="AK38" i="5"/>
  <c r="AK78" i="5" s="1"/>
  <c r="AK15" i="6" s="1"/>
  <c r="AK77" i="5"/>
  <c r="AJ38" i="5"/>
  <c r="AJ78" i="5" s="1"/>
  <c r="AJ15" i="6" s="1"/>
  <c r="AJ77" i="5"/>
  <c r="AI38" i="5"/>
  <c r="AI78" i="5" s="1"/>
  <c r="AI15" i="6" s="1"/>
  <c r="AI77" i="5"/>
  <c r="AH38" i="5"/>
  <c r="AH78" i="5" s="1"/>
  <c r="AH15" i="6" s="1"/>
  <c r="AH77" i="5"/>
  <c r="AG38" i="5"/>
  <c r="AG78" i="5" s="1"/>
  <c r="AG15" i="6" s="1"/>
  <c r="AG77" i="5"/>
  <c r="AF38" i="5"/>
  <c r="AF78" i="5" s="1"/>
  <c r="AF15" i="6" s="1"/>
  <c r="AF77" i="5"/>
  <c r="AE38" i="5"/>
  <c r="AE78" i="5" s="1"/>
  <c r="AE15" i="6" s="1"/>
  <c r="AE77" i="5"/>
  <c r="AD38" i="5"/>
  <c r="AD78" i="5" s="1"/>
  <c r="AD15" i="6" s="1"/>
  <c r="AD77" i="5"/>
  <c r="AC38" i="5"/>
  <c r="AC78" i="5" s="1"/>
  <c r="AC15" i="6" s="1"/>
  <c r="AC77" i="5"/>
  <c r="AB38" i="5"/>
  <c r="AB78" i="5" s="1"/>
  <c r="AB15" i="6" s="1"/>
  <c r="AB77" i="5"/>
  <c r="AA38" i="5"/>
  <c r="AA78" i="5" s="1"/>
  <c r="AA15" i="6" s="1"/>
  <c r="AA77" i="5"/>
  <c r="Z38" i="5"/>
  <c r="Z78" i="5" s="1"/>
  <c r="Z15" i="6" s="1"/>
  <c r="Z77" i="5"/>
  <c r="Y38" i="5"/>
  <c r="Y78" i="5" s="1"/>
  <c r="Y15" i="6" s="1"/>
  <c r="Y77" i="5"/>
  <c r="X38" i="5"/>
  <c r="X78" i="5" s="1"/>
  <c r="X15" i="6" s="1"/>
  <c r="X77" i="5"/>
  <c r="W38" i="5"/>
  <c r="W78" i="5" s="1"/>
  <c r="W15" i="6" s="1"/>
  <c r="W77" i="5"/>
  <c r="V38" i="5"/>
  <c r="V78" i="5" s="1"/>
  <c r="V15" i="6" s="1"/>
  <c r="V77" i="5"/>
  <c r="U38" i="5"/>
  <c r="U78" i="5" s="1"/>
  <c r="U15" i="6" s="1"/>
  <c r="U77" i="5"/>
  <c r="T38" i="5"/>
  <c r="T78" i="5" s="1"/>
  <c r="T15" i="6" s="1"/>
  <c r="T77" i="5"/>
  <c r="S38" i="5"/>
  <c r="S78" i="5" s="1"/>
  <c r="S15" i="6" s="1"/>
  <c r="S77" i="5"/>
  <c r="R38" i="5"/>
  <c r="R78" i="5" s="1"/>
  <c r="R15" i="6" s="1"/>
  <c r="R77" i="5"/>
  <c r="Q38" i="5"/>
  <c r="Q78" i="5" s="1"/>
  <c r="Q15" i="6" s="1"/>
  <c r="Q77" i="5"/>
  <c r="P38" i="5"/>
  <c r="P78" i="5" s="1"/>
  <c r="P15" i="6" s="1"/>
  <c r="P77" i="5"/>
  <c r="O38" i="5"/>
  <c r="O78" i="5" s="1"/>
  <c r="O15" i="6" s="1"/>
  <c r="O77" i="5"/>
  <c r="C13" i="16" s="1"/>
  <c r="N38" i="5"/>
  <c r="N78" i="5" s="1"/>
  <c r="N15" i="6" s="1"/>
  <c r="N77" i="5"/>
  <c r="M38" i="5"/>
  <c r="M78" i="5" s="1"/>
  <c r="M15" i="6" s="1"/>
  <c r="M77" i="5"/>
  <c r="L38" i="5"/>
  <c r="L78" i="5" s="1"/>
  <c r="L15" i="6" s="1"/>
  <c r="L77" i="5"/>
  <c r="K38" i="5"/>
  <c r="K78" i="5" s="1"/>
  <c r="K15" i="6" s="1"/>
  <c r="K77" i="5"/>
  <c r="J38" i="5"/>
  <c r="J78" i="5" s="1"/>
  <c r="J15" i="6" s="1"/>
  <c r="J77" i="5"/>
  <c r="I38" i="5"/>
  <c r="I78" i="5" s="1"/>
  <c r="I15" i="6" s="1"/>
  <c r="I77" i="5"/>
  <c r="H38" i="5"/>
  <c r="H78" i="5" s="1"/>
  <c r="H15" i="6" s="1"/>
  <c r="H77" i="5"/>
  <c r="G38" i="5"/>
  <c r="G78" i="5" s="1"/>
  <c r="G15" i="6" s="1"/>
  <c r="G77" i="5"/>
  <c r="F38" i="5"/>
  <c r="F78" i="5" s="1"/>
  <c r="F15" i="6" s="1"/>
  <c r="F77" i="5"/>
  <c r="E38" i="5"/>
  <c r="E78" i="5" s="1"/>
  <c r="E15" i="6" s="1"/>
  <c r="E77" i="5"/>
  <c r="D38" i="5"/>
  <c r="D77" i="5"/>
  <c r="D74" i="5"/>
  <c r="D12" i="6" s="1"/>
  <c r="E34" i="5"/>
  <c r="F32" i="5"/>
  <c r="E72" i="5"/>
  <c r="E10" i="6" s="1"/>
  <c r="F12" i="5"/>
  <c r="E14" i="5"/>
  <c r="C23" i="15"/>
  <c r="C31" i="15"/>
  <c r="E13" i="14"/>
  <c r="E43" i="14"/>
  <c r="E44" i="14"/>
  <c r="E84" i="18" s="1"/>
  <c r="E45" i="14"/>
  <c r="E85" i="18" s="1"/>
  <c r="D13" i="14"/>
  <c r="D43" i="14"/>
  <c r="D44" i="14"/>
  <c r="D84" i="18" s="1"/>
  <c r="D45" i="14"/>
  <c r="D85" i="18" s="1"/>
  <c r="B3" i="14"/>
  <c r="C13" i="14"/>
  <c r="C43" i="14"/>
  <c r="C44" i="14"/>
  <c r="C84" i="18" s="1"/>
  <c r="C45" i="14"/>
  <c r="C85" i="18" s="1"/>
  <c r="F16" i="12"/>
  <c r="L23" i="10" l="1"/>
  <c r="BI73" i="8"/>
  <c r="AM73" i="8"/>
  <c r="AD73" i="8"/>
  <c r="E19" i="5"/>
  <c r="E24" i="5" s="1"/>
  <c r="CC92" i="8"/>
  <c r="CC96" i="8" s="1"/>
  <c r="CC93" i="8"/>
  <c r="CB93" i="8"/>
  <c r="CB92" i="8"/>
  <c r="CB96" i="8" s="1"/>
  <c r="F29" i="12"/>
  <c r="K85" i="8"/>
  <c r="J85" i="8"/>
  <c r="I85" i="8"/>
  <c r="H85" i="8"/>
  <c r="G85" i="8"/>
  <c r="F85" i="8"/>
  <c r="E85" i="8"/>
  <c r="D85" i="8"/>
  <c r="B118" i="8" s="1"/>
  <c r="O63" i="8"/>
  <c r="N63" i="8"/>
  <c r="M63" i="8"/>
  <c r="L63" i="8"/>
  <c r="K63" i="8"/>
  <c r="J63" i="8"/>
  <c r="I63" i="8"/>
  <c r="H63" i="8"/>
  <c r="G63" i="8"/>
  <c r="F63" i="8"/>
  <c r="E63" i="8"/>
  <c r="D63" i="8"/>
  <c r="B116" i="8" s="1"/>
  <c r="F32" i="12"/>
  <c r="G32" i="12" s="1"/>
  <c r="L50" i="8"/>
  <c r="L51" i="8" s="1"/>
  <c r="L52" i="8"/>
  <c r="K50" i="8"/>
  <c r="K51" i="8" s="1"/>
  <c r="K52" i="8"/>
  <c r="J52" i="8"/>
  <c r="J50" i="8"/>
  <c r="J51" i="8" s="1"/>
  <c r="I52" i="8"/>
  <c r="I50" i="8"/>
  <c r="I51" i="8" s="1"/>
  <c r="H52" i="8"/>
  <c r="H50" i="8"/>
  <c r="H51" i="8" s="1"/>
  <c r="G52" i="8"/>
  <c r="G50" i="8"/>
  <c r="G51" i="8" s="1"/>
  <c r="F50" i="8"/>
  <c r="F51" i="8" s="1"/>
  <c r="F52" i="8"/>
  <c r="E50" i="8"/>
  <c r="E51" i="8" s="1"/>
  <c r="E52" i="8"/>
  <c r="CE30" i="8"/>
  <c r="CE28" i="8"/>
  <c r="CE29" i="8" s="1"/>
  <c r="BP28" i="8"/>
  <c r="BP29" i="8" s="1"/>
  <c r="BP30" i="8"/>
  <c r="BJ30" i="8"/>
  <c r="BJ28" i="8"/>
  <c r="BJ29" i="8" s="1"/>
  <c r="BB30" i="8"/>
  <c r="BB28" i="8"/>
  <c r="BB29" i="8" s="1"/>
  <c r="AQ30" i="8"/>
  <c r="AQ28" i="8"/>
  <c r="AQ29" i="8" s="1"/>
  <c r="V28" i="8"/>
  <c r="V29" i="8" s="1"/>
  <c r="V30" i="8"/>
  <c r="CG28" i="8"/>
  <c r="CG29" i="8" s="1"/>
  <c r="CG30" i="8"/>
  <c r="BV30" i="8"/>
  <c r="BV28" i="8"/>
  <c r="BV29" i="8"/>
  <c r="BF30" i="8"/>
  <c r="BF28" i="8"/>
  <c r="BF29" i="8" s="1"/>
  <c r="AR28" i="8"/>
  <c r="AR30" i="8"/>
  <c r="AR29" i="8"/>
  <c r="AI30" i="8"/>
  <c r="AI28" i="8"/>
  <c r="AI29" i="8"/>
  <c r="Z28" i="8"/>
  <c r="Z29" i="8"/>
  <c r="Z30" i="8"/>
  <c r="L28" i="8"/>
  <c r="L29" i="8" s="1"/>
  <c r="L30" i="8"/>
  <c r="CD30" i="8"/>
  <c r="CD28" i="8"/>
  <c r="CD29" i="8"/>
  <c r="BL28" i="8"/>
  <c r="BL29" i="8"/>
  <c r="BL30" i="8"/>
  <c r="AZ30" i="8"/>
  <c r="AZ28" i="8"/>
  <c r="AZ29" i="8" s="1"/>
  <c r="AS28" i="8"/>
  <c r="AS29" i="8" s="1"/>
  <c r="AS30" i="8"/>
  <c r="AK28" i="8"/>
  <c r="AK29" i="8"/>
  <c r="AK30" i="8"/>
  <c r="AD28" i="8"/>
  <c r="AD30" i="8"/>
  <c r="AD29" i="8"/>
  <c r="W30" i="8"/>
  <c r="W28" i="8"/>
  <c r="W29" i="8" s="1"/>
  <c r="N28" i="8"/>
  <c r="N29" i="8" s="1"/>
  <c r="N30" i="8"/>
  <c r="F30" i="8"/>
  <c r="F28" i="8"/>
  <c r="F29" i="8" s="1"/>
  <c r="BY28" i="8"/>
  <c r="BY29" i="8" s="1"/>
  <c r="BY30" i="8"/>
  <c r="BT30" i="8"/>
  <c r="BT28" i="8"/>
  <c r="BT29" i="8" s="1"/>
  <c r="BO30" i="8"/>
  <c r="BO28" i="8"/>
  <c r="BO29" i="8" s="1"/>
  <c r="BD28" i="8"/>
  <c r="BD29" i="8" s="1"/>
  <c r="BD30" i="8"/>
  <c r="AW30" i="8"/>
  <c r="AW28" i="8"/>
  <c r="AW29" i="8" s="1"/>
  <c r="AL30" i="8"/>
  <c r="AL28" i="8"/>
  <c r="AL29" i="8" s="1"/>
  <c r="AG30" i="8"/>
  <c r="AG28" i="8"/>
  <c r="AG29" i="8" s="1"/>
  <c r="U28" i="8"/>
  <c r="U29" i="8" s="1"/>
  <c r="U30" i="8"/>
  <c r="M30" i="8"/>
  <c r="M28" i="8"/>
  <c r="M29" i="8" s="1"/>
  <c r="E28" i="8"/>
  <c r="E29" i="8" s="1"/>
  <c r="E30" i="8"/>
  <c r="Y30" i="8"/>
  <c r="Y28" i="8"/>
  <c r="Y29" i="8" s="1"/>
  <c r="S28" i="8"/>
  <c r="S29" i="8" s="1"/>
  <c r="S30" i="8"/>
  <c r="K28" i="8"/>
  <c r="K29" i="8" s="1"/>
  <c r="K30" i="8"/>
  <c r="CF28" i="8"/>
  <c r="CF29" i="8" s="1"/>
  <c r="CF30" i="8"/>
  <c r="X30" i="8"/>
  <c r="X28" i="8"/>
  <c r="X29" i="8" s="1"/>
  <c r="P30" i="8"/>
  <c r="P28" i="8"/>
  <c r="P29" i="8" s="1"/>
  <c r="I28" i="8"/>
  <c r="I29" i="8" s="1"/>
  <c r="I30" i="8"/>
  <c r="AC30" i="8"/>
  <c r="AC28" i="8"/>
  <c r="AC29" i="8" s="1"/>
  <c r="R28" i="8"/>
  <c r="R29" i="8" s="1"/>
  <c r="R30" i="8"/>
  <c r="D30" i="8"/>
  <c r="D28" i="8"/>
  <c r="D29" i="8" s="1"/>
  <c r="AA30" i="8"/>
  <c r="AA28" i="8"/>
  <c r="AA29" i="8"/>
  <c r="T30" i="8"/>
  <c r="T28" i="8"/>
  <c r="T29" i="8" s="1"/>
  <c r="H30" i="8"/>
  <c r="H28" i="8"/>
  <c r="H29" i="8" s="1"/>
  <c r="G28" i="8"/>
  <c r="G29" i="8" s="1"/>
  <c r="G30" i="8"/>
  <c r="D50" i="8"/>
  <c r="D51" i="8" s="1"/>
  <c r="D52" i="8"/>
  <c r="CH28" i="8"/>
  <c r="CH29" i="8"/>
  <c r="CH30" i="8"/>
  <c r="BO82" i="8"/>
  <c r="BO81" i="8"/>
  <c r="BO85" i="8" s="1"/>
  <c r="AZ82" i="8"/>
  <c r="AZ81" i="8"/>
  <c r="AZ85" i="8" s="1"/>
  <c r="AS82" i="8"/>
  <c r="AS105" i="8" s="1"/>
  <c r="AS81" i="8"/>
  <c r="BX70" i="8"/>
  <c r="BX74" i="8" s="1"/>
  <c r="BX71" i="8"/>
  <c r="BX73" i="8" s="1"/>
  <c r="BQ71" i="8"/>
  <c r="BQ73" i="8" s="1"/>
  <c r="BQ70" i="8"/>
  <c r="BQ74" i="8" s="1"/>
  <c r="BK71" i="8"/>
  <c r="BK73" i="8" s="1"/>
  <c r="BK70" i="8"/>
  <c r="BK74" i="8" s="1"/>
  <c r="BF70" i="8"/>
  <c r="BF74" i="8" s="1"/>
  <c r="BF71" i="8"/>
  <c r="BF73" i="8" s="1"/>
  <c r="BA70" i="8"/>
  <c r="BA74" i="8" s="1"/>
  <c r="BA71" i="8"/>
  <c r="AV71" i="8"/>
  <c r="AV70" i="8"/>
  <c r="AP70" i="8"/>
  <c r="AP71" i="8"/>
  <c r="AH70" i="8"/>
  <c r="AH74" i="8" s="1"/>
  <c r="AH71" i="8"/>
  <c r="AH73" i="8" s="1"/>
  <c r="AC70" i="8"/>
  <c r="AC71" i="8"/>
  <c r="W71" i="8"/>
  <c r="W70" i="8"/>
  <c r="CA93" i="8"/>
  <c r="CA92" i="8"/>
  <c r="CA96" i="8" s="1"/>
  <c r="BU92" i="8"/>
  <c r="BU96" i="8" s="1"/>
  <c r="BU93" i="8"/>
  <c r="BR93" i="8"/>
  <c r="BR95" i="8" s="1"/>
  <c r="BR92" i="8"/>
  <c r="BR96" i="8" s="1"/>
  <c r="BP93" i="8"/>
  <c r="BP92" i="8"/>
  <c r="BP96" i="8" s="1"/>
  <c r="BN92" i="8"/>
  <c r="BN96" i="8" s="1"/>
  <c r="BN93" i="8"/>
  <c r="BN95" i="8" s="1"/>
  <c r="BL92" i="8"/>
  <c r="BL96" i="8" s="1"/>
  <c r="BL93" i="8"/>
  <c r="BZ92" i="8"/>
  <c r="BZ96" i="8" s="1"/>
  <c r="BZ93" i="8"/>
  <c r="BZ95" i="8" s="1"/>
  <c r="BY92" i="8"/>
  <c r="BY96" i="8" s="1"/>
  <c r="BY93" i="8"/>
  <c r="BY95" i="8" s="1"/>
  <c r="BX92" i="8"/>
  <c r="BX96" i="8" s="1"/>
  <c r="BX93" i="8"/>
  <c r="BX95" i="8" s="1"/>
  <c r="BW93" i="8"/>
  <c r="BW95" i="8" s="1"/>
  <c r="BW92" i="8"/>
  <c r="BW96" i="8" s="1"/>
  <c r="BV93" i="8"/>
  <c r="BV95" i="8" s="1"/>
  <c r="BV92" i="8"/>
  <c r="BV96" i="8" s="1"/>
  <c r="BT92" i="8"/>
  <c r="BT96" i="8" s="1"/>
  <c r="BT93" i="8"/>
  <c r="BS92" i="8"/>
  <c r="BS96" i="8" s="1"/>
  <c r="BS93" i="8"/>
  <c r="BS95" i="8" s="1"/>
  <c r="BQ92" i="8"/>
  <c r="BQ96" i="8" s="1"/>
  <c r="BQ93" i="8"/>
  <c r="BQ95" i="8" s="1"/>
  <c r="BO93" i="8"/>
  <c r="BO92" i="8"/>
  <c r="BO96" i="8" s="1"/>
  <c r="BM92" i="8"/>
  <c r="BM96" i="8" s="1"/>
  <c r="BM93" i="8"/>
  <c r="BK92" i="8"/>
  <c r="BK96" i="8" s="1"/>
  <c r="BK93" i="8"/>
  <c r="BK95" i="8" s="1"/>
  <c r="BM95" i="8"/>
  <c r="CF95" i="8"/>
  <c r="BT95" i="8"/>
  <c r="CE95" i="8"/>
  <c r="CA95" i="8"/>
  <c r="BU95" i="8"/>
  <c r="BO95" i="8"/>
  <c r="BL95" i="8"/>
  <c r="S95" i="8"/>
  <c r="P95" i="8"/>
  <c r="G95" i="8"/>
  <c r="CH95" i="8"/>
  <c r="BP95" i="8"/>
  <c r="T95" i="8"/>
  <c r="R95" i="8"/>
  <c r="N95" i="8"/>
  <c r="CC95" i="8"/>
  <c r="Q95" i="8"/>
  <c r="AY84" i="8"/>
  <c r="BW73" i="8"/>
  <c r="BP73" i="8"/>
  <c r="AZ73" i="8"/>
  <c r="AS73" i="8"/>
  <c r="O62" i="8"/>
  <c r="N62" i="8"/>
  <c r="M62" i="8"/>
  <c r="L62" i="8"/>
  <c r="K62" i="8"/>
  <c r="J62" i="8"/>
  <c r="I62" i="8"/>
  <c r="H62" i="8"/>
  <c r="G62" i="8"/>
  <c r="F62" i="8"/>
  <c r="E62" i="8"/>
  <c r="D62" i="8"/>
  <c r="D95" i="8"/>
  <c r="B114" i="8"/>
  <c r="E95" i="8"/>
  <c r="CC30" i="8"/>
  <c r="CC28" i="8"/>
  <c r="CC29" i="8" s="1"/>
  <c r="BW28" i="8"/>
  <c r="BW30" i="8"/>
  <c r="BW29" i="8"/>
  <c r="BQ28" i="8"/>
  <c r="BQ29" i="8" s="1"/>
  <c r="BQ30" i="8"/>
  <c r="BC28" i="8"/>
  <c r="BC30" i="8"/>
  <c r="BC29" i="8"/>
  <c r="AT30" i="8"/>
  <c r="AT28" i="8"/>
  <c r="AT29" i="8" s="1"/>
  <c r="AN30" i="8"/>
  <c r="AN28" i="8"/>
  <c r="AN29" i="8" s="1"/>
  <c r="AF30" i="8"/>
  <c r="AF28" i="8"/>
  <c r="AF29" i="8" s="1"/>
  <c r="BS28" i="8"/>
  <c r="BS30" i="8"/>
  <c r="BS29" i="8"/>
  <c r="BN28" i="8"/>
  <c r="BN29" i="8" s="1"/>
  <c r="BN30" i="8"/>
  <c r="BG28" i="8"/>
  <c r="BG29" i="8" s="1"/>
  <c r="BG30" i="8"/>
  <c r="AY30" i="8"/>
  <c r="AY28" i="8"/>
  <c r="AY29" i="8" s="1"/>
  <c r="AO28" i="8"/>
  <c r="AO30" i="8"/>
  <c r="AO29" i="8"/>
  <c r="AH30" i="8"/>
  <c r="AH28" i="8"/>
  <c r="AH29" i="8" s="1"/>
  <c r="BZ28" i="8"/>
  <c r="BZ30" i="8"/>
  <c r="BZ29" i="8"/>
  <c r="BI28" i="8"/>
  <c r="BI30" i="8"/>
  <c r="BI29" i="8"/>
  <c r="AX30" i="8"/>
  <c r="AX28" i="8"/>
  <c r="AX29" i="8" s="1"/>
  <c r="CB28" i="8"/>
  <c r="CB29" i="8" s="1"/>
  <c r="CB30" i="8"/>
  <c r="BH30" i="8"/>
  <c r="BH28" i="8"/>
  <c r="BH29" i="8" s="1"/>
  <c r="AU30" i="8"/>
  <c r="AU28" i="8"/>
  <c r="AU29" i="8" s="1"/>
  <c r="AJ28" i="8"/>
  <c r="AJ29" i="8" s="1"/>
  <c r="AJ30" i="8"/>
  <c r="CA28" i="8"/>
  <c r="CA29" i="8"/>
  <c r="CA30" i="8"/>
  <c r="BU30" i="8"/>
  <c r="BU28" i="8"/>
  <c r="BU29" i="8" s="1"/>
  <c r="BM28" i="8"/>
  <c r="BM29" i="8" s="1"/>
  <c r="BM30" i="8"/>
  <c r="BE28" i="8"/>
  <c r="BE29" i="8" s="1"/>
  <c r="BE30" i="8"/>
  <c r="AV28" i="8"/>
  <c r="AV29" i="8" s="1"/>
  <c r="AV30" i="8"/>
  <c r="AM30" i="8"/>
  <c r="AM28" i="8"/>
  <c r="AM29" i="8" s="1"/>
  <c r="AE30" i="8"/>
  <c r="AE28" i="8"/>
  <c r="AE29" i="8" s="1"/>
  <c r="O30" i="8"/>
  <c r="O28" i="8"/>
  <c r="O29" i="8" s="1"/>
  <c r="BX30" i="8"/>
  <c r="BX28" i="8"/>
  <c r="BX29" i="8" s="1"/>
  <c r="BR28" i="8"/>
  <c r="BR30" i="8"/>
  <c r="BR29" i="8"/>
  <c r="BK28" i="8"/>
  <c r="BK29" i="8" s="1"/>
  <c r="BK30" i="8"/>
  <c r="BA28" i="8"/>
  <c r="BA29" i="8" s="1"/>
  <c r="BA30" i="8"/>
  <c r="AP30" i="8"/>
  <c r="AP28" i="8"/>
  <c r="AP29" i="8"/>
  <c r="AB30" i="8"/>
  <c r="AB28" i="8"/>
  <c r="AB29" i="8" s="1"/>
  <c r="Q30" i="8"/>
  <c r="Q28" i="8"/>
  <c r="Q29" i="8" s="1"/>
  <c r="J30" i="8"/>
  <c r="J28" i="8"/>
  <c r="J29" i="8" s="1"/>
  <c r="Q70" i="8"/>
  <c r="Q74" i="8" s="1"/>
  <c r="Q71" i="8"/>
  <c r="P70" i="8"/>
  <c r="P74" i="8" s="1"/>
  <c r="P71" i="8"/>
  <c r="I72" i="8"/>
  <c r="I73" i="8" s="1"/>
  <c r="I74" i="8"/>
  <c r="H74" i="8"/>
  <c r="H72" i="8"/>
  <c r="H73" i="8"/>
  <c r="G74" i="8"/>
  <c r="G72" i="8"/>
  <c r="G73" i="8" s="1"/>
  <c r="F72" i="8"/>
  <c r="F73" i="8" s="1"/>
  <c r="F74" i="8"/>
  <c r="E72" i="8"/>
  <c r="E73" i="8" s="1"/>
  <c r="E74" i="8"/>
  <c r="D74" i="8"/>
  <c r="D72" i="8"/>
  <c r="D73" i="8" s="1"/>
  <c r="CI59" i="8"/>
  <c r="CI63" i="8" s="1"/>
  <c r="CI60" i="8"/>
  <c r="CI62" i="8" s="1"/>
  <c r="CH60" i="8"/>
  <c r="CH62" i="8" s="1"/>
  <c r="CH59" i="8"/>
  <c r="CH63" i="8" s="1"/>
  <c r="CG59" i="8"/>
  <c r="CG63" i="8" s="1"/>
  <c r="CG60" i="8"/>
  <c r="CG62" i="8" s="1"/>
  <c r="CF60" i="8"/>
  <c r="CF62" i="8" s="1"/>
  <c r="CF59" i="8"/>
  <c r="CF63" i="8" s="1"/>
  <c r="L95" i="8"/>
  <c r="I95" i="8"/>
  <c r="K95" i="8"/>
  <c r="CI95" i="8"/>
  <c r="CB95" i="8"/>
  <c r="CD95" i="8"/>
  <c r="D29" i="12"/>
  <c r="U95" i="8"/>
  <c r="J95" i="8"/>
  <c r="CG95" i="8"/>
  <c r="O95" i="8"/>
  <c r="H95" i="8"/>
  <c r="E8" i="17"/>
  <c r="M95" i="8"/>
  <c r="F95" i="8"/>
  <c r="M84" i="8"/>
  <c r="L84" i="8"/>
  <c r="K84" i="8"/>
  <c r="J84" i="8"/>
  <c r="I84" i="8"/>
  <c r="H84" i="8"/>
  <c r="G84" i="8"/>
  <c r="F84" i="8"/>
  <c r="E84" i="8"/>
  <c r="D84" i="8"/>
  <c r="Z103" i="8"/>
  <c r="V103" i="8"/>
  <c r="P103" i="8"/>
  <c r="L103" i="8"/>
  <c r="G103" i="8"/>
  <c r="BO84" i="8"/>
  <c r="AZ84" i="8"/>
  <c r="AS84" i="8"/>
  <c r="AH103" i="8"/>
  <c r="R103" i="8"/>
  <c r="M103" i="8"/>
  <c r="I103" i="8"/>
  <c r="CG103" i="8"/>
  <c r="CE103" i="8"/>
  <c r="CB103" i="8"/>
  <c r="BZ103" i="8"/>
  <c r="BX103" i="8"/>
  <c r="AX103" i="8"/>
  <c r="AV103" i="8"/>
  <c r="AP103" i="8"/>
  <c r="AN103" i="8"/>
  <c r="AK103" i="8"/>
  <c r="AI103" i="8"/>
  <c r="AC103" i="8"/>
  <c r="AA103" i="8"/>
  <c r="Y103" i="8"/>
  <c r="T103" i="8"/>
  <c r="Q103" i="8"/>
  <c r="N103" i="8"/>
  <c r="K103" i="8"/>
  <c r="D103" i="8"/>
  <c r="C15" i="14"/>
  <c r="CI103" i="8"/>
  <c r="CF103" i="8"/>
  <c r="BY103" i="8"/>
  <c r="AW103" i="8"/>
  <c r="AT103" i="8"/>
  <c r="AQ103" i="8"/>
  <c r="AM103" i="8"/>
  <c r="AE103" i="8"/>
  <c r="AB103" i="8"/>
  <c r="X103" i="8"/>
  <c r="O103" i="8"/>
  <c r="CH103" i="8"/>
  <c r="CD103" i="8"/>
  <c r="CC103" i="8"/>
  <c r="CA103" i="8"/>
  <c r="AU103" i="8"/>
  <c r="AR103" i="8"/>
  <c r="AO103" i="8"/>
  <c r="AL103" i="8"/>
  <c r="AJ103" i="8"/>
  <c r="AF103" i="8"/>
  <c r="AD103" i="8"/>
  <c r="W103" i="8"/>
  <c r="U103" i="8"/>
  <c r="J103" i="8"/>
  <c r="H103" i="8"/>
  <c r="E103" i="8"/>
  <c r="BW103" i="8"/>
  <c r="BV103" i="8"/>
  <c r="BU103" i="8"/>
  <c r="BT103" i="8"/>
  <c r="BS103" i="8"/>
  <c r="BR103" i="8"/>
  <c r="BQ103" i="8"/>
  <c r="BP103" i="8"/>
  <c r="BO103" i="8"/>
  <c r="BN103" i="8"/>
  <c r="BM103" i="8"/>
  <c r="BL103" i="8"/>
  <c r="BK103" i="8"/>
  <c r="BJ103" i="8"/>
  <c r="BI103" i="8"/>
  <c r="BH103" i="8"/>
  <c r="BG103" i="8"/>
  <c r="BF103" i="8"/>
  <c r="BE103" i="8"/>
  <c r="BD103" i="8"/>
  <c r="BC103" i="8"/>
  <c r="BB103" i="8"/>
  <c r="BA103" i="8"/>
  <c r="AZ103" i="8"/>
  <c r="AY103" i="8"/>
  <c r="AS103" i="8"/>
  <c r="AG103" i="8"/>
  <c r="S103" i="8"/>
  <c r="F103" i="8"/>
  <c r="AM81" i="8"/>
  <c r="AM82" i="8"/>
  <c r="AF81" i="8"/>
  <c r="AF82" i="8"/>
  <c r="Y82" i="8"/>
  <c r="Y81" i="8"/>
  <c r="R82" i="8"/>
  <c r="R84" i="8" s="1"/>
  <c r="R81" i="8"/>
  <c r="BH82" i="8"/>
  <c r="BH84" i="8" s="1"/>
  <c r="BH81" i="8"/>
  <c r="BH85" i="8" s="1"/>
  <c r="AH82" i="8"/>
  <c r="AH81" i="8"/>
  <c r="BR70" i="8"/>
  <c r="BR71" i="8"/>
  <c r="BJ70" i="8"/>
  <c r="BJ74" i="8" s="1"/>
  <c r="BJ71" i="8"/>
  <c r="BJ73" i="8" s="1"/>
  <c r="BC71" i="8"/>
  <c r="BC70" i="8"/>
  <c r="BC74" i="8" s="1"/>
  <c r="AT70" i="8"/>
  <c r="AT74" i="8" s="1"/>
  <c r="AT71" i="8"/>
  <c r="AT73" i="8" s="1"/>
  <c r="AK70" i="8"/>
  <c r="AK74" i="8" s="1"/>
  <c r="AK71" i="8"/>
  <c r="AK73" i="8" s="1"/>
  <c r="AA71" i="8"/>
  <c r="AA70" i="8"/>
  <c r="AA74" i="8" s="1"/>
  <c r="R70" i="8"/>
  <c r="R74" i="8" s="1"/>
  <c r="R71" i="8"/>
  <c r="R73" i="8" s="1"/>
  <c r="CI28" i="8"/>
  <c r="CI30" i="8"/>
  <c r="CI29" i="8"/>
  <c r="AN82" i="8"/>
  <c r="AN84" i="8" s="1"/>
  <c r="AN81" i="8"/>
  <c r="AN85" i="8" s="1"/>
  <c r="AJ82" i="8"/>
  <c r="AJ84" i="8" s="1"/>
  <c r="AJ81" i="8"/>
  <c r="AJ85" i="8" s="1"/>
  <c r="AE82" i="8"/>
  <c r="AE84" i="8" s="1"/>
  <c r="AE81" i="8"/>
  <c r="AE85" i="8" s="1"/>
  <c r="X82" i="8"/>
  <c r="X84" i="8" s="1"/>
  <c r="X81" i="8"/>
  <c r="X85" i="8" s="1"/>
  <c r="T82" i="8"/>
  <c r="T84" i="8" s="1"/>
  <c r="T81" i="8"/>
  <c r="T85" i="8" s="1"/>
  <c r="P82" i="8"/>
  <c r="P84" i="8" s="1"/>
  <c r="P81" i="8"/>
  <c r="P85" i="8" s="1"/>
  <c r="AZ93" i="8"/>
  <c r="AZ95" i="8" s="1"/>
  <c r="AZ92" i="8"/>
  <c r="AZ96" i="8" s="1"/>
  <c r="AM92" i="8"/>
  <c r="AM96" i="8" s="1"/>
  <c r="AM93" i="8"/>
  <c r="AM95" i="8" s="1"/>
  <c r="AH93" i="8"/>
  <c r="AH95" i="8" s="1"/>
  <c r="AH92" i="8"/>
  <c r="AH96" i="8" s="1"/>
  <c r="AE92" i="8"/>
  <c r="AE96" i="8" s="1"/>
  <c r="AE93" i="8"/>
  <c r="AE95" i="8" s="1"/>
  <c r="AB93" i="8"/>
  <c r="AB95" i="8" s="1"/>
  <c r="AB92" i="8"/>
  <c r="AB96" i="8" s="1"/>
  <c r="Y93" i="8"/>
  <c r="Y92" i="8"/>
  <c r="V92" i="8"/>
  <c r="V96" i="8" s="1"/>
  <c r="V93" i="8"/>
  <c r="Y96" i="8"/>
  <c r="Y94" i="8"/>
  <c r="Y95" i="8" s="1"/>
  <c r="V94" i="8"/>
  <c r="CI82" i="8"/>
  <c r="CI84" i="8" s="1"/>
  <c r="CI81" i="8"/>
  <c r="CI85" i="8" s="1"/>
  <c r="CD81" i="8"/>
  <c r="CD85" i="8" s="1"/>
  <c r="CD82" i="8"/>
  <c r="CD84" i="8" s="1"/>
  <c r="CB81" i="8"/>
  <c r="CB85" i="8" s="1"/>
  <c r="CB82" i="8"/>
  <c r="CB84" i="8" s="1"/>
  <c r="BY81" i="8"/>
  <c r="BY85" i="8" s="1"/>
  <c r="BY82" i="8"/>
  <c r="BY84" i="8" s="1"/>
  <c r="BV81" i="8"/>
  <c r="BV85" i="8" s="1"/>
  <c r="BV82" i="8"/>
  <c r="BV84" i="8" s="1"/>
  <c r="BS81" i="8"/>
  <c r="BS85" i="8" s="1"/>
  <c r="BS82" i="8"/>
  <c r="BS84" i="8" s="1"/>
  <c r="BP82" i="8"/>
  <c r="BP84" i="8" s="1"/>
  <c r="BP81" i="8"/>
  <c r="BP85" i="8" s="1"/>
  <c r="BN82" i="8"/>
  <c r="BN84" i="8" s="1"/>
  <c r="BN81" i="8"/>
  <c r="BN85" i="8" s="1"/>
  <c r="BK81" i="8"/>
  <c r="BK85" i="8" s="1"/>
  <c r="BK82" i="8"/>
  <c r="BK84" i="8" s="1"/>
  <c r="BG81" i="8"/>
  <c r="BG85" i="8" s="1"/>
  <c r="BG82" i="8"/>
  <c r="BG84" i="8" s="1"/>
  <c r="BD82" i="8"/>
  <c r="BD84" i="8" s="1"/>
  <c r="BD81" i="8"/>
  <c r="BD85" i="8" s="1"/>
  <c r="BA82" i="8"/>
  <c r="BA84" i="8" s="1"/>
  <c r="BA81" i="8"/>
  <c r="BA85" i="8" s="1"/>
  <c r="AV82" i="8"/>
  <c r="AV84" i="8" s="1"/>
  <c r="AV81" i="8"/>
  <c r="AV85" i="8" s="1"/>
  <c r="AR82" i="8"/>
  <c r="AR84" i="8" s="1"/>
  <c r="AR81" i="8"/>
  <c r="AR85" i="8" s="1"/>
  <c r="AO81" i="8"/>
  <c r="AO85" i="8" s="1"/>
  <c r="AO82" i="8"/>
  <c r="AO84" i="8" s="1"/>
  <c r="AI81" i="8"/>
  <c r="AI85" i="8" s="1"/>
  <c r="AI82" i="8"/>
  <c r="AI84" i="8" s="1"/>
  <c r="AC82" i="8"/>
  <c r="AC84" i="8" s="1"/>
  <c r="AC81" i="8"/>
  <c r="AC85" i="8" s="1"/>
  <c r="Z81" i="8"/>
  <c r="Z85" i="8" s="1"/>
  <c r="Z82" i="8"/>
  <c r="Z84" i="8" s="1"/>
  <c r="U81" i="8"/>
  <c r="U85" i="8" s="1"/>
  <c r="U82" i="8"/>
  <c r="U84" i="8" s="1"/>
  <c r="BY71" i="8"/>
  <c r="BY73" i="8" s="1"/>
  <c r="BY70" i="8"/>
  <c r="BY74" i="8" s="1"/>
  <c r="BS71" i="8"/>
  <c r="BS73" i="8" s="1"/>
  <c r="BS70" i="8"/>
  <c r="BS74" i="8" s="1"/>
  <c r="BM70" i="8"/>
  <c r="BM74" i="8" s="1"/>
  <c r="BM71" i="8"/>
  <c r="BM73" i="8" s="1"/>
  <c r="BG70" i="8"/>
  <c r="BG74" i="8" s="1"/>
  <c r="BG71" i="8"/>
  <c r="BG73" i="8" s="1"/>
  <c r="BB71" i="8"/>
  <c r="BB73" i="8" s="1"/>
  <c r="BB70" i="8"/>
  <c r="BB74" i="8" s="1"/>
  <c r="AW71" i="8"/>
  <c r="AW73" i="8" s="1"/>
  <c r="AW70" i="8"/>
  <c r="AW74" i="8" s="1"/>
  <c r="AO71" i="8"/>
  <c r="AO73" i="8" s="1"/>
  <c r="AO70" i="8"/>
  <c r="AO74" i="8" s="1"/>
  <c r="AJ70" i="8"/>
  <c r="AJ74" i="8" s="1"/>
  <c r="AJ71" i="8"/>
  <c r="AJ73" i="8" s="1"/>
  <c r="AE70" i="8"/>
  <c r="AE74" i="8" s="1"/>
  <c r="AE71" i="8"/>
  <c r="AE73" i="8" s="1"/>
  <c r="V70" i="8"/>
  <c r="V74" i="8" s="1"/>
  <c r="V71" i="8"/>
  <c r="V73" i="8" s="1"/>
  <c r="BJ93" i="8"/>
  <c r="BJ95" i="8" s="1"/>
  <c r="BJ92" i="8"/>
  <c r="BJ96" i="8" s="1"/>
  <c r="BH92" i="8"/>
  <c r="BH96" i="8" s="1"/>
  <c r="BH93" i="8"/>
  <c r="BH95" i="8" s="1"/>
  <c r="BF92" i="8"/>
  <c r="BF96" i="8" s="1"/>
  <c r="BF93" i="8"/>
  <c r="BF95" i="8" s="1"/>
  <c r="BD93" i="8"/>
  <c r="BD95" i="8" s="1"/>
  <c r="BD92" i="8"/>
  <c r="BD96" i="8" s="1"/>
  <c r="BB92" i="8"/>
  <c r="BB96" i="8" s="1"/>
  <c r="BB93" i="8"/>
  <c r="BB95" i="8" s="1"/>
  <c r="AY92" i="8"/>
  <c r="AY96" i="8" s="1"/>
  <c r="AY93" i="8"/>
  <c r="AY95" i="8" s="1"/>
  <c r="AW93" i="8"/>
  <c r="AW95" i="8" s="1"/>
  <c r="AW92" i="8"/>
  <c r="AW96" i="8" s="1"/>
  <c r="AU92" i="8"/>
  <c r="AU96" i="8" s="1"/>
  <c r="AU93" i="8"/>
  <c r="AU95" i="8" s="1"/>
  <c r="AS92" i="8"/>
  <c r="AS96" i="8" s="1"/>
  <c r="AS93" i="8"/>
  <c r="AS95" i="8" s="1"/>
  <c r="AQ92" i="8"/>
  <c r="AQ96" i="8" s="1"/>
  <c r="AQ93" i="8"/>
  <c r="AQ95" i="8" s="1"/>
  <c r="AN92" i="8"/>
  <c r="AN96" i="8" s="1"/>
  <c r="AN93" i="8"/>
  <c r="AN95" i="8" s="1"/>
  <c r="AK92" i="8"/>
  <c r="AK96" i="8" s="1"/>
  <c r="AK93" i="8"/>
  <c r="AK95" i="8" s="1"/>
  <c r="AJ92" i="8"/>
  <c r="AJ96" i="8" s="1"/>
  <c r="AJ93" i="8"/>
  <c r="AJ95" i="8" s="1"/>
  <c r="AG93" i="8"/>
  <c r="AG95" i="8" s="1"/>
  <c r="AG92" i="8"/>
  <c r="AG96" i="8" s="1"/>
  <c r="AD93" i="8"/>
  <c r="AD95" i="8" s="1"/>
  <c r="AD92" i="8"/>
  <c r="AD96" i="8" s="1"/>
  <c r="AA92" i="8"/>
  <c r="AA96" i="8" s="1"/>
  <c r="AA93" i="8"/>
  <c r="AA95" i="8" s="1"/>
  <c r="X92" i="8"/>
  <c r="X96" i="8" s="1"/>
  <c r="X93" i="8"/>
  <c r="W94" i="8"/>
  <c r="CG82" i="8"/>
  <c r="CG84" i="8" s="1"/>
  <c r="CG81" i="8"/>
  <c r="CG85" i="8" s="1"/>
  <c r="CE82" i="8"/>
  <c r="CE84" i="8" s="1"/>
  <c r="CE81" i="8"/>
  <c r="CE85" i="8" s="1"/>
  <c r="CA82" i="8"/>
  <c r="CA84" i="8" s="1"/>
  <c r="CA81" i="8"/>
  <c r="CA85" i="8" s="1"/>
  <c r="BX81" i="8"/>
  <c r="BX85" i="8" s="1"/>
  <c r="BX82" i="8"/>
  <c r="BX84" i="8" s="1"/>
  <c r="BU82" i="8"/>
  <c r="BU84" i="8" s="1"/>
  <c r="BU81" i="8"/>
  <c r="BU85" i="8" s="1"/>
  <c r="BR81" i="8"/>
  <c r="BR85" i="8" s="1"/>
  <c r="BR82" i="8"/>
  <c r="BR84" i="8" s="1"/>
  <c r="BM81" i="8"/>
  <c r="BM85" i="8" s="1"/>
  <c r="BM82" i="8"/>
  <c r="BM84" i="8" s="1"/>
  <c r="BJ82" i="8"/>
  <c r="BJ84" i="8" s="1"/>
  <c r="BJ81" i="8"/>
  <c r="BJ85" i="8" s="1"/>
  <c r="BF81" i="8"/>
  <c r="BF82" i="8"/>
  <c r="BF84" i="8" s="1"/>
  <c r="BC81" i="8"/>
  <c r="BC85" i="8" s="1"/>
  <c r="BC82" i="8"/>
  <c r="BC84" i="8" s="1"/>
  <c r="AX82" i="8"/>
  <c r="AX84" i="8" s="1"/>
  <c r="AX81" i="8"/>
  <c r="AX85" i="8" s="1"/>
  <c r="AU81" i="8"/>
  <c r="AU85" i="8" s="1"/>
  <c r="AU82" i="8"/>
  <c r="AU84" i="8" s="1"/>
  <c r="AQ82" i="8"/>
  <c r="AQ84" i="8" s="1"/>
  <c r="AQ81" i="8"/>
  <c r="AQ85" i="8" s="1"/>
  <c r="AL82" i="8"/>
  <c r="AL84" i="8" s="1"/>
  <c r="AL81" i="8"/>
  <c r="AL85" i="8" s="1"/>
  <c r="AG81" i="8"/>
  <c r="AG85" i="8" s="1"/>
  <c r="AG82" i="8"/>
  <c r="AG84" i="8" s="1"/>
  <c r="AB81" i="8"/>
  <c r="AB85" i="8" s="1"/>
  <c r="AB82" i="8"/>
  <c r="AB84" i="8" s="1"/>
  <c r="W81" i="8"/>
  <c r="W85" i="8" s="1"/>
  <c r="W82" i="8"/>
  <c r="W84" i="8" s="1"/>
  <c r="S82" i="8"/>
  <c r="S84" i="8" s="1"/>
  <c r="S81" i="8"/>
  <c r="S85" i="8" s="1"/>
  <c r="CA71" i="8"/>
  <c r="CA73" i="8" s="1"/>
  <c r="CA70" i="8"/>
  <c r="CA74" i="8" s="1"/>
  <c r="BU71" i="8"/>
  <c r="BU73" i="8" s="1"/>
  <c r="BU70" i="8"/>
  <c r="BU74" i="8" s="1"/>
  <c r="BN70" i="8"/>
  <c r="BN74" i="8" s="1"/>
  <c r="BN71" i="8"/>
  <c r="BN73" i="8" s="1"/>
  <c r="BH70" i="8"/>
  <c r="BH74" i="8" s="1"/>
  <c r="BH71" i="8"/>
  <c r="BH73" i="8" s="1"/>
  <c r="BD70" i="8"/>
  <c r="BD74" i="8" s="1"/>
  <c r="BD71" i="8"/>
  <c r="AY71" i="8"/>
  <c r="AY70" i="8"/>
  <c r="AY74" i="8" s="1"/>
  <c r="AR70" i="8"/>
  <c r="AR74" i="8" s="1"/>
  <c r="AR71" i="8"/>
  <c r="AR73" i="8" s="1"/>
  <c r="AN70" i="8"/>
  <c r="AN74" i="8" s="1"/>
  <c r="AN71" i="8"/>
  <c r="AN73" i="8" s="1"/>
  <c r="AG70" i="8"/>
  <c r="AG74" i="8" s="1"/>
  <c r="AG71" i="8"/>
  <c r="AG73" i="8" s="1"/>
  <c r="Z70" i="8"/>
  <c r="Z74" i="8" s="1"/>
  <c r="Z71" i="8"/>
  <c r="Z73" i="8" s="1"/>
  <c r="U71" i="8"/>
  <c r="U70" i="8"/>
  <c r="U74" i="8" s="1"/>
  <c r="D64" i="5"/>
  <c r="D61" i="5"/>
  <c r="BI92" i="8"/>
  <c r="BI96" i="8" s="1"/>
  <c r="BI93" i="8"/>
  <c r="BI95" i="8" s="1"/>
  <c r="BG93" i="8"/>
  <c r="BG95" i="8" s="1"/>
  <c r="BG92" i="8"/>
  <c r="BG96" i="8" s="1"/>
  <c r="BE93" i="8"/>
  <c r="BE95" i="8" s="1"/>
  <c r="BE92" i="8"/>
  <c r="BE96" i="8" s="1"/>
  <c r="BC92" i="8"/>
  <c r="BC96" i="8" s="1"/>
  <c r="BC93" i="8"/>
  <c r="BC95" i="8" s="1"/>
  <c r="BA92" i="8"/>
  <c r="BA93" i="8"/>
  <c r="BA95" i="8" s="1"/>
  <c r="AX92" i="8"/>
  <c r="AX96" i="8" s="1"/>
  <c r="AX93" i="8"/>
  <c r="AX95" i="8" s="1"/>
  <c r="AV92" i="8"/>
  <c r="AV96" i="8" s="1"/>
  <c r="AV93" i="8"/>
  <c r="AV95" i="8" s="1"/>
  <c r="AT92" i="8"/>
  <c r="AT96" i="8" s="1"/>
  <c r="AT93" i="8"/>
  <c r="AT95" i="8" s="1"/>
  <c r="AR92" i="8"/>
  <c r="AR96" i="8" s="1"/>
  <c r="AR93" i="8"/>
  <c r="AR95" i="8" s="1"/>
  <c r="AP93" i="8"/>
  <c r="AP95" i="8" s="1"/>
  <c r="AP92" i="8"/>
  <c r="AP96" i="8" s="1"/>
  <c r="AO93" i="8"/>
  <c r="AO95" i="8" s="1"/>
  <c r="AO92" i="8"/>
  <c r="AO96" i="8" s="1"/>
  <c r="AL92" i="8"/>
  <c r="AL96" i="8" s="1"/>
  <c r="AL93" i="8"/>
  <c r="AL95" i="8" s="1"/>
  <c r="AI92" i="8"/>
  <c r="AI96" i="8" s="1"/>
  <c r="AI93" i="8"/>
  <c r="AI95" i="8" s="1"/>
  <c r="AF93" i="8"/>
  <c r="AF95" i="8" s="1"/>
  <c r="AF92" i="8"/>
  <c r="AF96" i="8" s="1"/>
  <c r="AC92" i="8"/>
  <c r="AC96" i="8" s="1"/>
  <c r="AC93" i="8"/>
  <c r="AC95" i="8" s="1"/>
  <c r="Z92" i="8"/>
  <c r="Z96" i="8" s="1"/>
  <c r="Z93" i="8"/>
  <c r="W93" i="8"/>
  <c r="W92" i="8"/>
  <c r="W96" i="8" s="1"/>
  <c r="Z94" i="8"/>
  <c r="X94" i="8"/>
  <c r="CH81" i="8"/>
  <c r="CH85" i="8" s="1"/>
  <c r="CH82" i="8"/>
  <c r="CH84" i="8" s="1"/>
  <c r="CF82" i="8"/>
  <c r="CF84" i="8" s="1"/>
  <c r="CF81" i="8"/>
  <c r="CF85" i="8" s="1"/>
  <c r="CC82" i="8"/>
  <c r="CC84" i="8" s="1"/>
  <c r="CC81" i="8"/>
  <c r="CC85" i="8" s="1"/>
  <c r="BZ82" i="8"/>
  <c r="BZ84" i="8" s="1"/>
  <c r="BZ81" i="8"/>
  <c r="BZ85" i="8" s="1"/>
  <c r="BW82" i="8"/>
  <c r="BW84" i="8" s="1"/>
  <c r="BW81" i="8"/>
  <c r="BW85" i="8" s="1"/>
  <c r="BT81" i="8"/>
  <c r="BT85" i="8" s="1"/>
  <c r="BT82" i="8"/>
  <c r="BT84" i="8" s="1"/>
  <c r="BQ81" i="8"/>
  <c r="BQ85" i="8" s="1"/>
  <c r="BQ82" i="8"/>
  <c r="BQ84" i="8" s="1"/>
  <c r="BL81" i="8"/>
  <c r="BL85" i="8" s="1"/>
  <c r="BL82" i="8"/>
  <c r="BL84" i="8" s="1"/>
  <c r="BI82" i="8"/>
  <c r="BI81" i="8"/>
  <c r="BE81" i="8"/>
  <c r="BE82" i="8"/>
  <c r="BE84" i="8" s="1"/>
  <c r="BB81" i="8"/>
  <c r="BB85" i="8" s="1"/>
  <c r="BB82" i="8"/>
  <c r="BB84" i="8" s="1"/>
  <c r="AW82" i="8"/>
  <c r="AW84" i="8" s="1"/>
  <c r="AW81" i="8"/>
  <c r="AW85" i="8" s="1"/>
  <c r="AT81" i="8"/>
  <c r="AT85" i="8" s="1"/>
  <c r="AT82" i="8"/>
  <c r="AT84" i="8" s="1"/>
  <c r="AP81" i="8"/>
  <c r="AP85" i="8" s="1"/>
  <c r="AP82" i="8"/>
  <c r="AP84" i="8" s="1"/>
  <c r="AK81" i="8"/>
  <c r="AK85" i="8" s="1"/>
  <c r="AK82" i="8"/>
  <c r="AK84" i="8" s="1"/>
  <c r="AD82" i="8"/>
  <c r="AD84" i="8" s="1"/>
  <c r="AD81" i="8"/>
  <c r="AD85" i="8" s="1"/>
  <c r="AA82" i="8"/>
  <c r="AA84" i="8" s="1"/>
  <c r="AA81" i="8"/>
  <c r="AA85" i="8" s="1"/>
  <c r="V81" i="8"/>
  <c r="V85" i="8" s="1"/>
  <c r="V82" i="8"/>
  <c r="V84" i="8" s="1"/>
  <c r="Q81" i="8"/>
  <c r="Q85" i="8" s="1"/>
  <c r="Q82" i="8"/>
  <c r="Q84" i="8" s="1"/>
  <c r="BZ70" i="8"/>
  <c r="BZ74" i="8" s="1"/>
  <c r="BZ71" i="8"/>
  <c r="BZ73" i="8" s="1"/>
  <c r="BT70" i="8"/>
  <c r="BT74" i="8" s="1"/>
  <c r="BT71" i="8"/>
  <c r="BT73" i="8" s="1"/>
  <c r="BO70" i="8"/>
  <c r="BO74" i="8" s="1"/>
  <c r="BO71" i="8"/>
  <c r="BO73" i="8" s="1"/>
  <c r="AX70" i="8"/>
  <c r="AX74" i="8" s="1"/>
  <c r="AX71" i="8"/>
  <c r="AX73" i="8" s="1"/>
  <c r="AQ70" i="8"/>
  <c r="AQ74" i="8" s="1"/>
  <c r="AQ71" i="8"/>
  <c r="AQ73" i="8" s="1"/>
  <c r="AL71" i="8"/>
  <c r="AL73" i="8" s="1"/>
  <c r="AL70" i="8"/>
  <c r="AL74" i="8" s="1"/>
  <c r="AF71" i="8"/>
  <c r="AF73" i="8" s="1"/>
  <c r="AF70" i="8"/>
  <c r="AF74" i="8" s="1"/>
  <c r="Y70" i="8"/>
  <c r="Y74" i="8" s="1"/>
  <c r="Y71" i="8"/>
  <c r="S70" i="8"/>
  <c r="S74" i="8" s="1"/>
  <c r="S71" i="8"/>
  <c r="CI71" i="8"/>
  <c r="CI70" i="8"/>
  <c r="CH71" i="8"/>
  <c r="CH70" i="8"/>
  <c r="CG70" i="8"/>
  <c r="CG71" i="8"/>
  <c r="CF71" i="8"/>
  <c r="CF70" i="8"/>
  <c r="CE70" i="8"/>
  <c r="CE74" i="8" s="1"/>
  <c r="CE71" i="8"/>
  <c r="CE73" i="8" s="1"/>
  <c r="CD70" i="8"/>
  <c r="CD74" i="8" s="1"/>
  <c r="CD71" i="8"/>
  <c r="CD73" i="8" s="1"/>
  <c r="CC71" i="8"/>
  <c r="CC73" i="8" s="1"/>
  <c r="CC70" i="8"/>
  <c r="CC74" i="8" s="1"/>
  <c r="CB70" i="8"/>
  <c r="CB74" i="8" s="1"/>
  <c r="CB71" i="8"/>
  <c r="CB73" i="8" s="1"/>
  <c r="BV70" i="8"/>
  <c r="BV74" i="8" s="1"/>
  <c r="BV71" i="8"/>
  <c r="BV73" i="8" s="1"/>
  <c r="BL71" i="8"/>
  <c r="BL73" i="8" s="1"/>
  <c r="BL70" i="8"/>
  <c r="BL74" i="8" s="1"/>
  <c r="BE71" i="8"/>
  <c r="BE73" i="8" s="1"/>
  <c r="BE70" i="8"/>
  <c r="BE74" i="8" s="1"/>
  <c r="AU71" i="8"/>
  <c r="AU73" i="8" s="1"/>
  <c r="AU70" i="8"/>
  <c r="AU74" i="8" s="1"/>
  <c r="AI70" i="8"/>
  <c r="AI74" i="8" s="1"/>
  <c r="AI71" i="8"/>
  <c r="AI73" i="8" s="1"/>
  <c r="AB70" i="8"/>
  <c r="AB74" i="8" s="1"/>
  <c r="AB71" i="8"/>
  <c r="AB73" i="8" s="1"/>
  <c r="T70" i="8"/>
  <c r="T74" i="8" s="1"/>
  <c r="T71" i="8"/>
  <c r="AA72" i="8"/>
  <c r="Z72" i="8"/>
  <c r="Y72" i="8"/>
  <c r="X74" i="8"/>
  <c r="X72" i="8"/>
  <c r="X73" i="8"/>
  <c r="W72" i="8"/>
  <c r="V72" i="8"/>
  <c r="U72" i="8"/>
  <c r="T72" i="8"/>
  <c r="S72" i="8"/>
  <c r="R72" i="8"/>
  <c r="Q72" i="8"/>
  <c r="P72" i="8"/>
  <c r="O74" i="8"/>
  <c r="O72" i="8"/>
  <c r="O73" i="8" s="1"/>
  <c r="N74" i="8"/>
  <c r="N72" i="8"/>
  <c r="N73" i="8" s="1"/>
  <c r="M74" i="8"/>
  <c r="M72" i="8"/>
  <c r="M73" i="8" s="1"/>
  <c r="L72" i="8"/>
  <c r="L73" i="8" s="1"/>
  <c r="L74" i="8"/>
  <c r="K72" i="8"/>
  <c r="K73" i="8" s="1"/>
  <c r="K74" i="8"/>
  <c r="J72" i="8"/>
  <c r="J74" i="8"/>
  <c r="J73" i="8"/>
  <c r="CE59" i="8"/>
  <c r="CE60" i="8"/>
  <c r="CD59" i="8"/>
  <c r="CD60" i="8"/>
  <c r="CC59" i="8"/>
  <c r="CC60" i="8"/>
  <c r="CB59" i="8"/>
  <c r="CB60" i="8"/>
  <c r="CA59" i="8"/>
  <c r="CA60" i="8"/>
  <c r="BZ59" i="8"/>
  <c r="BZ60" i="8"/>
  <c r="BY59" i="8"/>
  <c r="BY60" i="8"/>
  <c r="BX59" i="8"/>
  <c r="BX60" i="8"/>
  <c r="BW59" i="8"/>
  <c r="BW60" i="8"/>
  <c r="BV59" i="8"/>
  <c r="BV60" i="8"/>
  <c r="BU60" i="8"/>
  <c r="BU59" i="8"/>
  <c r="BT60" i="8"/>
  <c r="BT59" i="8"/>
  <c r="BS59" i="8"/>
  <c r="BS60" i="8"/>
  <c r="BR59" i="8"/>
  <c r="BR63" i="8" s="1"/>
  <c r="BR60" i="8"/>
  <c r="BR62" i="8" s="1"/>
  <c r="BQ59" i="8"/>
  <c r="BQ60" i="8"/>
  <c r="BP59" i="8"/>
  <c r="BP60" i="8"/>
  <c r="BO59" i="8"/>
  <c r="BO60" i="8"/>
  <c r="BN59" i="8"/>
  <c r="BN60" i="8"/>
  <c r="BM59" i="8"/>
  <c r="BM60" i="8"/>
  <c r="BL59" i="8"/>
  <c r="BL60" i="8"/>
  <c r="BK59" i="8"/>
  <c r="BK60" i="8"/>
  <c r="BJ59" i="8"/>
  <c r="BJ60" i="8"/>
  <c r="BI59" i="8"/>
  <c r="BI63" i="8" s="1"/>
  <c r="BI60" i="8"/>
  <c r="BI62" i="8" s="1"/>
  <c r="BH59" i="8"/>
  <c r="BH60" i="8"/>
  <c r="BG59" i="8"/>
  <c r="BG63" i="8" s="1"/>
  <c r="BG60" i="8"/>
  <c r="BF59" i="8"/>
  <c r="BF63" i="8" s="1"/>
  <c r="BF60" i="8"/>
  <c r="BE59" i="8"/>
  <c r="BE63" i="8" s="1"/>
  <c r="BE60" i="8"/>
  <c r="BD59" i="8"/>
  <c r="BD60" i="8"/>
  <c r="BD62" i="8" s="1"/>
  <c r="BC60" i="8"/>
  <c r="BC62" i="8" s="1"/>
  <c r="BC59" i="8"/>
  <c r="BB60" i="8"/>
  <c r="BB59" i="8"/>
  <c r="BA59" i="8"/>
  <c r="BA63" i="8" s="1"/>
  <c r="BA60" i="8"/>
  <c r="BA62" i="8" s="1"/>
  <c r="AZ59" i="8"/>
  <c r="AZ60" i="8"/>
  <c r="AY59" i="8"/>
  <c r="AY63" i="8" s="1"/>
  <c r="AY60" i="8"/>
  <c r="AY62" i="8" s="1"/>
  <c r="AX60" i="8"/>
  <c r="AX59" i="8"/>
  <c r="AW59" i="8"/>
  <c r="AW63" i="8" s="1"/>
  <c r="AW60" i="8"/>
  <c r="AW62" i="8" s="1"/>
  <c r="AV59" i="8"/>
  <c r="AV63" i="8" s="1"/>
  <c r="AV60" i="8"/>
  <c r="AV62" i="8" s="1"/>
  <c r="AU59" i="8"/>
  <c r="AU63" i="8" s="1"/>
  <c r="AU60" i="8"/>
  <c r="AU62" i="8" s="1"/>
  <c r="AT60" i="8"/>
  <c r="AT62" i="8" s="1"/>
  <c r="AT59" i="8"/>
  <c r="AT63" i="8" s="1"/>
  <c r="AS59" i="8"/>
  <c r="AS63" i="8" s="1"/>
  <c r="AS60" i="8"/>
  <c r="AS62" i="8" s="1"/>
  <c r="AR59" i="8"/>
  <c r="AR63" i="8" s="1"/>
  <c r="AR60" i="8"/>
  <c r="AR62" i="8" s="1"/>
  <c r="AQ59" i="8"/>
  <c r="AQ63" i="8" s="1"/>
  <c r="AQ60" i="8"/>
  <c r="AQ62" i="8" s="1"/>
  <c r="AP59" i="8"/>
  <c r="AP63" i="8" s="1"/>
  <c r="AP60" i="8"/>
  <c r="AP62" i="8" s="1"/>
  <c r="AO59" i="8"/>
  <c r="AO63" i="8" s="1"/>
  <c r="AO60" i="8"/>
  <c r="AO62" i="8" s="1"/>
  <c r="AN59" i="8"/>
  <c r="AN63" i="8" s="1"/>
  <c r="AN60" i="8"/>
  <c r="AN62" i="8" s="1"/>
  <c r="AM59" i="8"/>
  <c r="AM63" i="8" s="1"/>
  <c r="AM60" i="8"/>
  <c r="AM62" i="8" s="1"/>
  <c r="AL60" i="8"/>
  <c r="AL62" i="8" s="1"/>
  <c r="AL59" i="8"/>
  <c r="AL63" i="8" s="1"/>
  <c r="AK60" i="8"/>
  <c r="AK62" i="8" s="1"/>
  <c r="AK59" i="8"/>
  <c r="AK63" i="8" s="1"/>
  <c r="AJ59" i="8"/>
  <c r="AJ63" i="8" s="1"/>
  <c r="AJ60" i="8"/>
  <c r="AJ62" i="8" s="1"/>
  <c r="AI59" i="8"/>
  <c r="AI63" i="8" s="1"/>
  <c r="AI60" i="8"/>
  <c r="AI62" i="8" s="1"/>
  <c r="AH59" i="8"/>
  <c r="AH63" i="8" s="1"/>
  <c r="AH60" i="8"/>
  <c r="AH62" i="8" s="1"/>
  <c r="AG59" i="8"/>
  <c r="AG63" i="8" s="1"/>
  <c r="AG60" i="8"/>
  <c r="AG62" i="8" s="1"/>
  <c r="AF59" i="8"/>
  <c r="AF63" i="8" s="1"/>
  <c r="AF60" i="8"/>
  <c r="AF62" i="8" s="1"/>
  <c r="AE59" i="8"/>
  <c r="AE63" i="8" s="1"/>
  <c r="AE60" i="8"/>
  <c r="AE62" i="8" s="1"/>
  <c r="AD59" i="8"/>
  <c r="AD63" i="8" s="1"/>
  <c r="AD60" i="8"/>
  <c r="AD62" i="8" s="1"/>
  <c r="AC59" i="8"/>
  <c r="AC63" i="8" s="1"/>
  <c r="AC60" i="8"/>
  <c r="AC62" i="8" s="1"/>
  <c r="AB59" i="8"/>
  <c r="AB63" i="8" s="1"/>
  <c r="AB60" i="8"/>
  <c r="AB62" i="8" s="1"/>
  <c r="AA59" i="8"/>
  <c r="AA63" i="8" s="1"/>
  <c r="AA60" i="8"/>
  <c r="AA62" i="8" s="1"/>
  <c r="Z59" i="8"/>
  <c r="Z63" i="8" s="1"/>
  <c r="Z60" i="8"/>
  <c r="Z62" i="8" s="1"/>
  <c r="Y59" i="8"/>
  <c r="Y63" i="8" s="1"/>
  <c r="Y60" i="8"/>
  <c r="Y62" i="8" s="1"/>
  <c r="X59" i="8"/>
  <c r="X63" i="8" s="1"/>
  <c r="X60" i="8"/>
  <c r="X62" i="8" s="1"/>
  <c r="W59" i="8"/>
  <c r="W63" i="8" s="1"/>
  <c r="W60" i="8"/>
  <c r="W62" i="8" s="1"/>
  <c r="V59" i="8"/>
  <c r="V63" i="8" s="1"/>
  <c r="V60" i="8"/>
  <c r="V62" i="8" s="1"/>
  <c r="U59" i="8"/>
  <c r="U63" i="8" s="1"/>
  <c r="U60" i="8"/>
  <c r="U62" i="8" s="1"/>
  <c r="T60" i="8"/>
  <c r="T62" i="8" s="1"/>
  <c r="T59" i="8"/>
  <c r="T63" i="8" s="1"/>
  <c r="S60" i="8"/>
  <c r="S62" i="8" s="1"/>
  <c r="S59" i="8"/>
  <c r="S63" i="8" s="1"/>
  <c r="R59" i="8"/>
  <c r="R63" i="8" s="1"/>
  <c r="R60" i="8"/>
  <c r="R62" i="8" s="1"/>
  <c r="Q59" i="8"/>
  <c r="Q63" i="8" s="1"/>
  <c r="Q60" i="8"/>
  <c r="Q62" i="8" s="1"/>
  <c r="P59" i="8"/>
  <c r="P63" i="8" s="1"/>
  <c r="P60" i="8"/>
  <c r="P62" i="8" s="1"/>
  <c r="CI41" i="8"/>
  <c r="CI39" i="8"/>
  <c r="CI40" i="8" s="1"/>
  <c r="CH39" i="8"/>
  <c r="CH40" i="8" s="1"/>
  <c r="CH41" i="8"/>
  <c r="CG41" i="8"/>
  <c r="CG39" i="8"/>
  <c r="CG40" i="8" s="1"/>
  <c r="CF39" i="8"/>
  <c r="CF40" i="8"/>
  <c r="CF41" i="8"/>
  <c r="CE39" i="8"/>
  <c r="CE40" i="8" s="1"/>
  <c r="CE41" i="8"/>
  <c r="CD39" i="8"/>
  <c r="CD41" i="8"/>
  <c r="CD40" i="8"/>
  <c r="CC41" i="8"/>
  <c r="CC39" i="8"/>
  <c r="CC40" i="8" s="1"/>
  <c r="CB39" i="8"/>
  <c r="CB40" i="8"/>
  <c r="CB41" i="8"/>
  <c r="CA39" i="8"/>
  <c r="CA40" i="8"/>
  <c r="CA41" i="8"/>
  <c r="BZ39" i="8"/>
  <c r="BZ40" i="8"/>
  <c r="BZ41" i="8"/>
  <c r="BY41" i="8"/>
  <c r="BY39" i="8"/>
  <c r="BY40" i="8" s="1"/>
  <c r="BX41" i="8"/>
  <c r="BX39" i="8"/>
  <c r="BX40" i="8" s="1"/>
  <c r="BW39" i="8"/>
  <c r="BW40" i="8" s="1"/>
  <c r="BW41" i="8"/>
  <c r="BV41" i="8"/>
  <c r="BV39" i="8"/>
  <c r="BV40" i="8"/>
  <c r="BU39" i="8"/>
  <c r="BU41" i="8"/>
  <c r="BU40" i="8"/>
  <c r="BT39" i="8"/>
  <c r="BT40" i="8" s="1"/>
  <c r="BT41" i="8"/>
  <c r="BS41" i="8"/>
  <c r="BS39" i="8"/>
  <c r="BS40" i="8" s="1"/>
  <c r="BR39" i="8"/>
  <c r="BR40" i="8" s="1"/>
  <c r="BR41" i="8"/>
  <c r="BQ39" i="8"/>
  <c r="BQ40" i="8"/>
  <c r="BQ41" i="8"/>
  <c r="BP41" i="8"/>
  <c r="BP39" i="8"/>
  <c r="BP40" i="8" s="1"/>
  <c r="BO39" i="8"/>
  <c r="BO41" i="8"/>
  <c r="BO40" i="8"/>
  <c r="BN41" i="8"/>
  <c r="BN39" i="8"/>
  <c r="BN40" i="8" s="1"/>
  <c r="BM41" i="8"/>
  <c r="BM39" i="8"/>
  <c r="BM40" i="8" s="1"/>
  <c r="BL41" i="8"/>
  <c r="BL39" i="8"/>
  <c r="BL40" i="8"/>
  <c r="BK41" i="8"/>
  <c r="BK39" i="8"/>
  <c r="BK40" i="8"/>
  <c r="BJ41" i="8"/>
  <c r="BJ39" i="8"/>
  <c r="BJ40" i="8" s="1"/>
  <c r="BI41" i="8"/>
  <c r="BI39" i="8"/>
  <c r="BI40" i="8" s="1"/>
  <c r="BH41" i="8"/>
  <c r="BH39" i="8"/>
  <c r="BH40" i="8" s="1"/>
  <c r="BG41" i="8"/>
  <c r="BG39" i="8"/>
  <c r="BG40" i="8" s="1"/>
  <c r="BF41" i="8"/>
  <c r="BF39" i="8"/>
  <c r="BF40" i="8" s="1"/>
  <c r="BE39" i="8"/>
  <c r="BE40" i="8" s="1"/>
  <c r="BE41" i="8"/>
  <c r="BD41" i="8"/>
  <c r="BD39" i="8"/>
  <c r="BD40" i="8" s="1"/>
  <c r="BC39" i="8"/>
  <c r="BC41" i="8"/>
  <c r="BC40" i="8"/>
  <c r="BB39" i="8"/>
  <c r="BB41" i="8"/>
  <c r="BB40" i="8"/>
  <c r="BA39" i="8"/>
  <c r="BA40" i="8" s="1"/>
  <c r="BA41" i="8"/>
  <c r="AZ39" i="8"/>
  <c r="AZ40" i="8" s="1"/>
  <c r="AZ41" i="8"/>
  <c r="AY39" i="8"/>
  <c r="AY40" i="8" s="1"/>
  <c r="AY41" i="8"/>
  <c r="AX39" i="8"/>
  <c r="AX40" i="8" s="1"/>
  <c r="AX41" i="8"/>
  <c r="AW39" i="8"/>
  <c r="AW40" i="8" s="1"/>
  <c r="AW41" i="8"/>
  <c r="AV39" i="8"/>
  <c r="AV41" i="8"/>
  <c r="AV40" i="8"/>
  <c r="D78" i="5"/>
  <c r="D15" i="6" s="1"/>
  <c r="C11" i="15" s="1"/>
  <c r="C13" i="15" s="1"/>
  <c r="D39" i="5"/>
  <c r="D33" i="10"/>
  <c r="D15" i="12" s="1"/>
  <c r="G14" i="12"/>
  <c r="G38" i="12"/>
  <c r="G43" i="12" s="1"/>
  <c r="D43" i="12"/>
  <c r="CI17" i="8"/>
  <c r="CI18" i="8"/>
  <c r="CI19" i="8"/>
  <c r="CI101" i="8"/>
  <c r="CH17" i="8"/>
  <c r="CH18" i="8" s="1"/>
  <c r="CH19" i="8"/>
  <c r="CH101" i="8"/>
  <c r="CG17" i="8"/>
  <c r="CG18" i="8"/>
  <c r="CG19" i="8"/>
  <c r="CG101" i="8"/>
  <c r="CF17" i="8"/>
  <c r="CF18" i="8"/>
  <c r="CF19" i="8"/>
  <c r="CF101" i="8"/>
  <c r="CE17" i="8"/>
  <c r="CE18" i="8" s="1"/>
  <c r="CE19" i="8"/>
  <c r="CE101" i="8"/>
  <c r="CD17" i="8"/>
  <c r="CD18" i="8"/>
  <c r="CD19" i="8"/>
  <c r="CD101" i="8"/>
  <c r="CC17" i="8"/>
  <c r="CC18" i="8" s="1"/>
  <c r="CC19" i="8"/>
  <c r="CC101" i="8"/>
  <c r="CB17" i="8"/>
  <c r="CB18" i="8"/>
  <c r="CB19" i="8"/>
  <c r="CB101" i="8"/>
  <c r="CA17" i="8"/>
  <c r="CA18" i="8"/>
  <c r="CA19" i="8"/>
  <c r="CA101" i="8"/>
  <c r="BZ17" i="8"/>
  <c r="BZ18" i="8" s="1"/>
  <c r="BZ19" i="8"/>
  <c r="BZ101" i="8"/>
  <c r="BY17" i="8"/>
  <c r="BY18" i="8"/>
  <c r="BY19" i="8"/>
  <c r="BY101" i="8"/>
  <c r="BX17" i="8"/>
  <c r="BX18" i="8"/>
  <c r="BX19" i="8"/>
  <c r="BX101" i="8"/>
  <c r="BW17" i="8"/>
  <c r="BW18" i="8" s="1"/>
  <c r="BW19" i="8"/>
  <c r="BW101" i="8"/>
  <c r="BV17" i="8"/>
  <c r="BV18" i="8" s="1"/>
  <c r="BV19" i="8"/>
  <c r="BV101" i="8"/>
  <c r="BU17" i="8"/>
  <c r="BU18" i="8"/>
  <c r="BU19" i="8"/>
  <c r="BU101" i="8"/>
  <c r="BT17" i="8"/>
  <c r="BT18" i="8"/>
  <c r="BT19" i="8"/>
  <c r="BT101" i="8"/>
  <c r="BS17" i="8"/>
  <c r="BS18" i="8" s="1"/>
  <c r="BS19" i="8"/>
  <c r="BS101" i="8"/>
  <c r="BR17" i="8"/>
  <c r="BR18" i="8"/>
  <c r="BR19" i="8"/>
  <c r="BR101" i="8"/>
  <c r="BQ17" i="8"/>
  <c r="BQ18" i="8"/>
  <c r="BQ19" i="8"/>
  <c r="BQ101" i="8"/>
  <c r="BP17" i="8"/>
  <c r="BP18" i="8"/>
  <c r="BP19" i="8"/>
  <c r="BP101" i="8"/>
  <c r="BO17" i="8"/>
  <c r="BO18" i="8"/>
  <c r="BO19" i="8"/>
  <c r="BO101" i="8"/>
  <c r="BN17" i="8"/>
  <c r="BN18" i="8"/>
  <c r="BN19" i="8"/>
  <c r="BN101" i="8"/>
  <c r="BM17" i="8"/>
  <c r="BM18" i="8"/>
  <c r="BM19" i="8"/>
  <c r="BM101" i="8"/>
  <c r="BL17" i="8"/>
  <c r="BL18" i="8"/>
  <c r="BL19" i="8"/>
  <c r="BL101" i="8"/>
  <c r="BK17" i="8"/>
  <c r="BK18" i="8"/>
  <c r="BK19" i="8"/>
  <c r="BK101" i="8"/>
  <c r="BJ17" i="8"/>
  <c r="BJ18" i="8"/>
  <c r="BJ19" i="8"/>
  <c r="BJ101" i="8"/>
  <c r="BI17" i="8"/>
  <c r="BI18" i="8"/>
  <c r="BI19" i="8"/>
  <c r="BI101" i="8"/>
  <c r="BH17" i="8"/>
  <c r="BH18" i="8"/>
  <c r="BH19" i="8"/>
  <c r="BH101" i="8"/>
  <c r="BG17" i="8"/>
  <c r="BG18" i="8"/>
  <c r="BG19" i="8"/>
  <c r="BG101" i="8"/>
  <c r="BF17" i="8"/>
  <c r="BF18" i="8"/>
  <c r="BF19" i="8"/>
  <c r="BF101" i="8"/>
  <c r="BE17" i="8"/>
  <c r="BE18" i="8"/>
  <c r="BE19" i="8"/>
  <c r="BE101" i="8"/>
  <c r="BD17" i="8"/>
  <c r="BD18" i="8"/>
  <c r="BD19" i="8"/>
  <c r="BD101" i="8"/>
  <c r="BC17" i="8"/>
  <c r="BC18" i="8"/>
  <c r="BC19" i="8"/>
  <c r="BC101" i="8"/>
  <c r="BB17" i="8"/>
  <c r="BB18" i="8"/>
  <c r="BB19" i="8"/>
  <c r="BB101" i="8"/>
  <c r="BA17" i="8"/>
  <c r="BA18" i="8"/>
  <c r="BA19" i="8"/>
  <c r="BA101" i="8"/>
  <c r="AZ17" i="8"/>
  <c r="AZ18" i="8"/>
  <c r="AZ19" i="8"/>
  <c r="AZ101" i="8"/>
  <c r="AY17" i="8"/>
  <c r="AY18" i="8"/>
  <c r="AY19" i="8"/>
  <c r="AY101" i="8"/>
  <c r="AX17" i="8"/>
  <c r="AX18" i="8"/>
  <c r="AX19" i="8"/>
  <c r="AX101" i="8"/>
  <c r="AW17" i="8"/>
  <c r="AW18" i="8"/>
  <c r="AW19" i="8"/>
  <c r="AW101" i="8"/>
  <c r="AV17" i="8"/>
  <c r="AV18" i="8"/>
  <c r="AV19" i="8"/>
  <c r="AV101" i="8"/>
  <c r="AU17" i="8"/>
  <c r="AU18" i="8"/>
  <c r="AU19" i="8"/>
  <c r="AU101" i="8"/>
  <c r="AT17" i="8"/>
  <c r="AT18" i="8"/>
  <c r="AT19" i="8"/>
  <c r="AT101" i="8"/>
  <c r="AS17" i="8"/>
  <c r="AS19" i="8"/>
  <c r="AS101" i="8"/>
  <c r="AR17" i="8"/>
  <c r="AR18" i="8"/>
  <c r="AR19" i="8"/>
  <c r="AR101" i="8"/>
  <c r="AQ17" i="8"/>
  <c r="AQ19" i="8"/>
  <c r="AQ101" i="8"/>
  <c r="AP17" i="8"/>
  <c r="AP106" i="8" s="1"/>
  <c r="AP18" i="8"/>
  <c r="AP19" i="8"/>
  <c r="AP101" i="8"/>
  <c r="AO17" i="8"/>
  <c r="AO19" i="8"/>
  <c r="AO101" i="8"/>
  <c r="AN17" i="8"/>
  <c r="AN18" i="8"/>
  <c r="AN19" i="8"/>
  <c r="AN101" i="8"/>
  <c r="AM17" i="8"/>
  <c r="AM106" i="8" s="1"/>
  <c r="AM18" i="8"/>
  <c r="AM19" i="8"/>
  <c r="AM101" i="8"/>
  <c r="AL17" i="8"/>
  <c r="AL18" i="8"/>
  <c r="AL19" i="8"/>
  <c r="AL101" i="8"/>
  <c r="AK17" i="8"/>
  <c r="AK18" i="8" s="1"/>
  <c r="AK19" i="8"/>
  <c r="AK101" i="8"/>
  <c r="AJ17" i="8"/>
  <c r="AJ18" i="8"/>
  <c r="AJ19" i="8"/>
  <c r="AJ101" i="8"/>
  <c r="AI17" i="8"/>
  <c r="AI18" i="8"/>
  <c r="AI19" i="8"/>
  <c r="AI101" i="8"/>
  <c r="AH17" i="8"/>
  <c r="AH19" i="8"/>
  <c r="AH101" i="8"/>
  <c r="AG17" i="8"/>
  <c r="AG18" i="8"/>
  <c r="AG19" i="8"/>
  <c r="AG101" i="8"/>
  <c r="AF17" i="8"/>
  <c r="AF19" i="8"/>
  <c r="AF101" i="8"/>
  <c r="AE17" i="8"/>
  <c r="AE19" i="8"/>
  <c r="AE101" i="8"/>
  <c r="AD17" i="8"/>
  <c r="AD19" i="8"/>
  <c r="AD101" i="8"/>
  <c r="AC17" i="8"/>
  <c r="AC18" i="8"/>
  <c r="AC19" i="8"/>
  <c r="AC101" i="8"/>
  <c r="AB17" i="8"/>
  <c r="AB106" i="8" s="1"/>
  <c r="AB18" i="8"/>
  <c r="AB19" i="8"/>
  <c r="AB101" i="8"/>
  <c r="AA17" i="8"/>
  <c r="AA19" i="8"/>
  <c r="AA101" i="8"/>
  <c r="Z17" i="8"/>
  <c r="Z18" i="8"/>
  <c r="Z19" i="8"/>
  <c r="Z101" i="8"/>
  <c r="Y17" i="8"/>
  <c r="Y18" i="8"/>
  <c r="Y19" i="8"/>
  <c r="Y101" i="8"/>
  <c r="X17" i="8"/>
  <c r="X18" i="8"/>
  <c r="X19" i="8"/>
  <c r="X101" i="8"/>
  <c r="W17" i="8"/>
  <c r="W18" i="8"/>
  <c r="W19" i="8"/>
  <c r="W101" i="8"/>
  <c r="V17" i="8"/>
  <c r="V18" i="8"/>
  <c r="V19" i="8"/>
  <c r="V101" i="8"/>
  <c r="U17" i="8"/>
  <c r="U106" i="8" s="1"/>
  <c r="U18" i="8"/>
  <c r="U19" i="8"/>
  <c r="U101" i="8"/>
  <c r="T17" i="8"/>
  <c r="T18" i="8"/>
  <c r="T19" i="8"/>
  <c r="T101" i="8"/>
  <c r="S17" i="8"/>
  <c r="S19" i="8"/>
  <c r="S101" i="8"/>
  <c r="R17" i="8"/>
  <c r="R18" i="8" s="1"/>
  <c r="R19" i="8"/>
  <c r="R101" i="8"/>
  <c r="Q17" i="8"/>
  <c r="Q19" i="8"/>
  <c r="Q101" i="8"/>
  <c r="P17" i="8"/>
  <c r="P18" i="8"/>
  <c r="P19" i="8"/>
  <c r="P101" i="8"/>
  <c r="O17" i="8"/>
  <c r="O106" i="8" s="1"/>
  <c r="O18" i="8"/>
  <c r="O19" i="8"/>
  <c r="O101" i="8"/>
  <c r="N17" i="8"/>
  <c r="N18" i="8"/>
  <c r="N19" i="8"/>
  <c r="N101" i="8"/>
  <c r="M17" i="8"/>
  <c r="M19" i="8"/>
  <c r="M101" i="8"/>
  <c r="L17" i="8"/>
  <c r="L19" i="8"/>
  <c r="L101" i="8"/>
  <c r="K17" i="8"/>
  <c r="K19" i="8"/>
  <c r="K101" i="8"/>
  <c r="J17" i="8"/>
  <c r="J18" i="8"/>
  <c r="J19" i="8"/>
  <c r="J101" i="8"/>
  <c r="I17" i="8"/>
  <c r="I19" i="8"/>
  <c r="I101" i="8"/>
  <c r="H17" i="8"/>
  <c r="H18" i="8"/>
  <c r="H19" i="8"/>
  <c r="H101" i="8"/>
  <c r="G17" i="8"/>
  <c r="G18" i="8"/>
  <c r="G19" i="8"/>
  <c r="G101" i="8"/>
  <c r="F17" i="8"/>
  <c r="F19" i="8"/>
  <c r="F101" i="8"/>
  <c r="E17" i="8"/>
  <c r="E19" i="8"/>
  <c r="E101" i="8"/>
  <c r="D17" i="8"/>
  <c r="D19" i="8"/>
  <c r="D101" i="8"/>
  <c r="F14" i="17"/>
  <c r="F13" i="17"/>
  <c r="G13" i="17" s="1"/>
  <c r="H13" i="17"/>
  <c r="E61" i="5"/>
  <c r="D63" i="5"/>
  <c r="D66" i="5"/>
  <c r="D68" i="5"/>
  <c r="E18" i="18"/>
  <c r="G52" i="5"/>
  <c r="F54" i="5"/>
  <c r="F59" i="5" s="1"/>
  <c r="F64" i="5" s="1"/>
  <c r="E39" i="5"/>
  <c r="E74" i="5"/>
  <c r="E12" i="6" s="1"/>
  <c r="G32" i="5"/>
  <c r="F34" i="5"/>
  <c r="F72" i="5"/>
  <c r="F10" i="6" s="1"/>
  <c r="G12" i="5"/>
  <c r="F14" i="5"/>
  <c r="F19" i="5" s="1"/>
  <c r="F24" i="5" s="1"/>
  <c r="C43" i="16"/>
  <c r="D52" i="15"/>
  <c r="D53" i="15"/>
  <c r="D54" i="15"/>
  <c r="D55" i="15"/>
  <c r="D56" i="15"/>
  <c r="D57" i="15"/>
  <c r="D58" i="15"/>
  <c r="D59" i="15"/>
  <c r="D60" i="15"/>
  <c r="D61" i="15"/>
  <c r="D62" i="15"/>
  <c r="D63" i="15"/>
  <c r="D64" i="15"/>
  <c r="D65" i="15"/>
  <c r="D66" i="15"/>
  <c r="D67" i="15"/>
  <c r="D68" i="15"/>
  <c r="D69" i="15"/>
  <c r="D70" i="15"/>
  <c r="D71" i="15"/>
  <c r="D72" i="15"/>
  <c r="D73" i="15"/>
  <c r="D74" i="15"/>
  <c r="D75" i="15"/>
  <c r="D81" i="15"/>
  <c r="D82" i="15"/>
  <c r="D83" i="15"/>
  <c r="D84" i="15"/>
  <c r="D85" i="15"/>
  <c r="D86" i="15"/>
  <c r="D87" i="15"/>
  <c r="D88" i="15"/>
  <c r="D89" i="15"/>
  <c r="D90" i="15"/>
  <c r="D91" i="15"/>
  <c r="D92" i="15"/>
  <c r="D93" i="15"/>
  <c r="D94" i="15"/>
  <c r="D95" i="15"/>
  <c r="D96" i="15"/>
  <c r="D97" i="15"/>
  <c r="D98" i="15"/>
  <c r="D99" i="15"/>
  <c r="D100" i="15"/>
  <c r="D101" i="15"/>
  <c r="D102" i="15"/>
  <c r="D103" i="15"/>
  <c r="D104" i="15"/>
  <c r="E46" i="14"/>
  <c r="E83" i="18"/>
  <c r="E86" i="18" s="1"/>
  <c r="D46" i="14"/>
  <c r="D83" i="18"/>
  <c r="D86" i="18" s="1"/>
  <c r="C46" i="14"/>
  <c r="C83" i="18"/>
  <c r="C86" i="18" s="1"/>
  <c r="D24" i="5"/>
  <c r="D21" i="5"/>
  <c r="K23" i="10"/>
  <c r="J23" i="10"/>
  <c r="I23" i="10"/>
  <c r="H23" i="10"/>
  <c r="G23" i="10"/>
  <c r="F23" i="10"/>
  <c r="E23" i="10"/>
  <c r="D23" i="10"/>
  <c r="AM23" i="10"/>
  <c r="BJ23" i="10"/>
  <c r="BK23" i="10"/>
  <c r="BL23" i="10"/>
  <c r="BM23" i="10"/>
  <c r="BN23" i="10"/>
  <c r="BO23" i="10"/>
  <c r="BP23" i="10"/>
  <c r="BQ23" i="10"/>
  <c r="BR23" i="10"/>
  <c r="BS23" i="10"/>
  <c r="BT23" i="10"/>
  <c r="BU23" i="10"/>
  <c r="BV23" i="10"/>
  <c r="BW23" i="10"/>
  <c r="BX23" i="10"/>
  <c r="BY23" i="10"/>
  <c r="BZ23" i="10"/>
  <c r="CA23" i="10"/>
  <c r="CB23" i="10"/>
  <c r="CC23" i="10"/>
  <c r="CE23" i="10"/>
  <c r="CF23" i="10"/>
  <c r="CG23" i="10"/>
  <c r="CH23" i="10"/>
  <c r="CI23" i="10"/>
  <c r="Q23" i="10"/>
  <c r="BI23" i="10"/>
  <c r="BH23" i="10"/>
  <c r="BG23" i="10"/>
  <c r="BF23" i="10"/>
  <c r="BE23" i="10"/>
  <c r="BD23" i="10"/>
  <c r="BC23" i="10"/>
  <c r="BB23" i="10"/>
  <c r="BA23" i="10"/>
  <c r="AZ23" i="10"/>
  <c r="AY23" i="10"/>
  <c r="AX23" i="10"/>
  <c r="AW23" i="10"/>
  <c r="AV23" i="10"/>
  <c r="AU23" i="10"/>
  <c r="AT23" i="10"/>
  <c r="AS23" i="10"/>
  <c r="AR23" i="10"/>
  <c r="AQ23" i="10"/>
  <c r="AP23" i="10"/>
  <c r="AO23" i="10"/>
  <c r="AN23" i="10"/>
  <c r="AL23" i="10"/>
  <c r="AK23" i="10"/>
  <c r="AJ23" i="10"/>
  <c r="CD23" i="10"/>
  <c r="AI23" i="10"/>
  <c r="AH23" i="10"/>
  <c r="AG23" i="10"/>
  <c r="AF23" i="10"/>
  <c r="AE23" i="10"/>
  <c r="AD23" i="10"/>
  <c r="AC23" i="10"/>
  <c r="AB23" i="10"/>
  <c r="AA23" i="10"/>
  <c r="Z23" i="10"/>
  <c r="Y23" i="10"/>
  <c r="X23" i="10"/>
  <c r="W23" i="10"/>
  <c r="V23" i="10"/>
  <c r="U23" i="10"/>
  <c r="T23" i="10"/>
  <c r="S23" i="10"/>
  <c r="R23" i="10"/>
  <c r="P23" i="10"/>
  <c r="O23" i="10"/>
  <c r="N23" i="10"/>
  <c r="M23" i="10"/>
  <c r="N104" i="8"/>
  <c r="K105" i="8"/>
  <c r="J104" i="8"/>
  <c r="H104" i="8"/>
  <c r="G104" i="8"/>
  <c r="E104" i="8"/>
  <c r="D104" i="8"/>
  <c r="O105" i="8"/>
  <c r="O104" i="8"/>
  <c r="N105" i="8"/>
  <c r="M104" i="8"/>
  <c r="M105" i="8"/>
  <c r="L105" i="8"/>
  <c r="L104" i="8"/>
  <c r="K104" i="8"/>
  <c r="J105" i="8"/>
  <c r="I105" i="8"/>
  <c r="I104" i="8"/>
  <c r="H105" i="8"/>
  <c r="G105" i="8"/>
  <c r="F104" i="8"/>
  <c r="F105" i="8"/>
  <c r="E105" i="8"/>
  <c r="D105" i="8"/>
  <c r="BG104" i="8"/>
  <c r="AY104" i="8"/>
  <c r="AW104" i="8"/>
  <c r="AW105" i="8"/>
  <c r="AU104" i="8"/>
  <c r="AU105" i="8"/>
  <c r="AT104" i="8"/>
  <c r="AT105" i="8"/>
  <c r="AR104" i="8"/>
  <c r="AR105" i="8"/>
  <c r="AQ104" i="8"/>
  <c r="AQ105" i="8"/>
  <c r="AO104" i="8"/>
  <c r="AO105" i="8"/>
  <c r="AN104" i="8"/>
  <c r="AN105" i="8"/>
  <c r="AL104" i="8"/>
  <c r="AL105" i="8"/>
  <c r="AK104" i="8"/>
  <c r="AK105" i="8"/>
  <c r="AJ104" i="8"/>
  <c r="AJ105" i="8"/>
  <c r="AI104" i="8"/>
  <c r="AI105" i="8"/>
  <c r="AG104" i="8"/>
  <c r="AG105" i="8"/>
  <c r="AE104" i="8"/>
  <c r="AE105" i="8"/>
  <c r="AD104" i="8"/>
  <c r="AD105" i="8"/>
  <c r="AB104" i="8"/>
  <c r="AB105" i="8"/>
  <c r="AA104" i="8"/>
  <c r="AA105" i="8"/>
  <c r="Z104" i="8"/>
  <c r="Z105" i="8"/>
  <c r="X104" i="8"/>
  <c r="X105" i="8"/>
  <c r="V104" i="8"/>
  <c r="V105" i="8"/>
  <c r="U104" i="8"/>
  <c r="U105" i="8"/>
  <c r="T104" i="8"/>
  <c r="T105" i="8"/>
  <c r="S104" i="8"/>
  <c r="S105" i="8"/>
  <c r="R105" i="8"/>
  <c r="Q104" i="8"/>
  <c r="Q105" i="8"/>
  <c r="P104" i="8"/>
  <c r="P105" i="8"/>
  <c r="D25" i="14"/>
  <c r="E23" i="14" s="1"/>
  <c r="H107" i="8" l="1"/>
  <c r="G29" i="12"/>
  <c r="J106" i="8"/>
  <c r="V95" i="8"/>
  <c r="AJ106" i="8"/>
  <c r="AG106" i="8"/>
  <c r="Y106" i="8"/>
  <c r="W106" i="8"/>
  <c r="O108" i="8"/>
  <c r="O10" i="9" s="1"/>
  <c r="U108" i="8"/>
  <c r="U10" i="9" s="1"/>
  <c r="AN106" i="8"/>
  <c r="N108" i="8"/>
  <c r="N10" i="9" s="1"/>
  <c r="K108" i="8"/>
  <c r="K10" i="9" s="1"/>
  <c r="AK106" i="8"/>
  <c r="V108" i="8"/>
  <c r="V10" i="9" s="1"/>
  <c r="J108" i="8"/>
  <c r="J10" i="9" s="1"/>
  <c r="AA73" i="8"/>
  <c r="Q73" i="8"/>
  <c r="P73" i="8"/>
  <c r="AR106" i="8"/>
  <c r="V107" i="8"/>
  <c r="L108" i="8"/>
  <c r="L10" i="9" s="1"/>
  <c r="B117" i="8"/>
  <c r="I108" i="8"/>
  <c r="I10" i="9" s="1"/>
  <c r="AU106" i="8"/>
  <c r="AS108" i="8"/>
  <c r="AS10" i="9" s="1"/>
  <c r="AL106" i="8"/>
  <c r="AC106" i="8"/>
  <c r="N106" i="8"/>
  <c r="M108" i="8"/>
  <c r="M10" i="9" s="1"/>
  <c r="N107" i="8"/>
  <c r="AV106" i="8"/>
  <c r="AT106" i="8"/>
  <c r="AI106" i="8"/>
  <c r="X106" i="8"/>
  <c r="V106" i="8"/>
  <c r="T106" i="8"/>
  <c r="P106" i="8"/>
  <c r="H106" i="8"/>
  <c r="H108" i="8"/>
  <c r="H10" i="9" s="1"/>
  <c r="G106" i="8"/>
  <c r="G108" i="8"/>
  <c r="G10" i="9" s="1"/>
  <c r="F108" i="8"/>
  <c r="F10" i="9" s="1"/>
  <c r="E108" i="8"/>
  <c r="E10" i="9" s="1"/>
  <c r="AS85" i="8"/>
  <c r="AS104" i="8"/>
  <c r="BA73" i="8"/>
  <c r="BA105" i="8"/>
  <c r="AV73" i="8"/>
  <c r="AV105" i="8"/>
  <c r="AV74" i="8"/>
  <c r="AV104" i="8"/>
  <c r="AP74" i="8"/>
  <c r="AP104" i="8"/>
  <c r="AP73" i="8"/>
  <c r="AP107" i="8" s="1"/>
  <c r="AP105" i="8"/>
  <c r="AC74" i="8"/>
  <c r="AC104" i="8"/>
  <c r="AC73" i="8"/>
  <c r="AC105" i="8"/>
  <c r="W73" i="8"/>
  <c r="W105" i="8"/>
  <c r="W104" i="8"/>
  <c r="W74" i="8"/>
  <c r="G107" i="8"/>
  <c r="B115" i="8"/>
  <c r="O107" i="8"/>
  <c r="AN107" i="8"/>
  <c r="AU107" i="8"/>
  <c r="J107" i="8"/>
  <c r="Z108" i="8"/>
  <c r="Z10" i="9" s="1"/>
  <c r="Y73" i="8"/>
  <c r="U73" i="8"/>
  <c r="U107" i="8" s="1"/>
  <c r="BL106" i="8"/>
  <c r="BJ106" i="8"/>
  <c r="BI106" i="8"/>
  <c r="BH106" i="8"/>
  <c r="BG106" i="8"/>
  <c r="BG108" i="8"/>
  <c r="BG10" i="9" s="1"/>
  <c r="BF106" i="8"/>
  <c r="AV107" i="8"/>
  <c r="AU108" i="8"/>
  <c r="AU10" i="9" s="1"/>
  <c r="AT107" i="8"/>
  <c r="AT108" i="8"/>
  <c r="AT10" i="9" s="1"/>
  <c r="AR107" i="8"/>
  <c r="AQ108" i="8"/>
  <c r="AQ10" i="9" s="1"/>
  <c r="AO108" i="8"/>
  <c r="AO10" i="9" s="1"/>
  <c r="AW108" i="8"/>
  <c r="AW10" i="9" s="1"/>
  <c r="AV108" i="8"/>
  <c r="AV10" i="9" s="1"/>
  <c r="AR108" i="8"/>
  <c r="AR10" i="9" s="1"/>
  <c r="AP108" i="8"/>
  <c r="AP10" i="9" s="1"/>
  <c r="AN108" i="8"/>
  <c r="AN10" i="9" s="1"/>
  <c r="AA108" i="8"/>
  <c r="AA10" i="9" s="1"/>
  <c r="Z106" i="8"/>
  <c r="BF85" i="8"/>
  <c r="BF104" i="8"/>
  <c r="BD73" i="8"/>
  <c r="BD105" i="8"/>
  <c r="AY73" i="8"/>
  <c r="AY105" i="8"/>
  <c r="BA96" i="8"/>
  <c r="BA104" i="8"/>
  <c r="BI84" i="8"/>
  <c r="BI105" i="8"/>
  <c r="BI85" i="8"/>
  <c r="BI108" i="8" s="1"/>
  <c r="BI10" i="9" s="1"/>
  <c r="BI104" i="8"/>
  <c r="BE85" i="8"/>
  <c r="BE108" i="8" s="1"/>
  <c r="BE10" i="9" s="1"/>
  <c r="BE104" i="8"/>
  <c r="CI73" i="8"/>
  <c r="CI105" i="8"/>
  <c r="CI74" i="8"/>
  <c r="CI104" i="8"/>
  <c r="CH73" i="8"/>
  <c r="CH105" i="8"/>
  <c r="CH74" i="8"/>
  <c r="CH104" i="8"/>
  <c r="CG74" i="8"/>
  <c r="CG104" i="8"/>
  <c r="CG73" i="8"/>
  <c r="CG105" i="8"/>
  <c r="CF73" i="8"/>
  <c r="CF105" i="8"/>
  <c r="CF74" i="8"/>
  <c r="CF104" i="8"/>
  <c r="CD63" i="8"/>
  <c r="CD108" i="8" s="1"/>
  <c r="CD10" i="9" s="1"/>
  <c r="CD104" i="8"/>
  <c r="CD62" i="8"/>
  <c r="CD107" i="8" s="1"/>
  <c r="CD105" i="8"/>
  <c r="CC63" i="8"/>
  <c r="CC108" i="8" s="1"/>
  <c r="CC10" i="9" s="1"/>
  <c r="CC104" i="8"/>
  <c r="CC62" i="8"/>
  <c r="CC105" i="8"/>
  <c r="CA63" i="8"/>
  <c r="CA108" i="8" s="1"/>
  <c r="CA10" i="9" s="1"/>
  <c r="CA104" i="8"/>
  <c r="CA62" i="8"/>
  <c r="CA107" i="8" s="1"/>
  <c r="CA105" i="8"/>
  <c r="BZ63" i="8"/>
  <c r="BZ108" i="8" s="1"/>
  <c r="BZ10" i="9" s="1"/>
  <c r="BZ104" i="8"/>
  <c r="BY62" i="8"/>
  <c r="BY105" i="8"/>
  <c r="BX63" i="8"/>
  <c r="BX108" i="8" s="1"/>
  <c r="BX10" i="9" s="1"/>
  <c r="BX104" i="8"/>
  <c r="BW62" i="8"/>
  <c r="BW105" i="8"/>
  <c r="BU62" i="8"/>
  <c r="BU107" i="8" s="1"/>
  <c r="BU105" i="8"/>
  <c r="BU63" i="8"/>
  <c r="BU108" i="8" s="1"/>
  <c r="BU10" i="9" s="1"/>
  <c r="BU104" i="8"/>
  <c r="BT63" i="8"/>
  <c r="BT108" i="8" s="1"/>
  <c r="BT10" i="9" s="1"/>
  <c r="BT104" i="8"/>
  <c r="BS63" i="8"/>
  <c r="BS108" i="8" s="1"/>
  <c r="BS10" i="9" s="1"/>
  <c r="BS104" i="8"/>
  <c r="BP63" i="8"/>
  <c r="BP108" i="8" s="1"/>
  <c r="BP10" i="9" s="1"/>
  <c r="BP104" i="8"/>
  <c r="BO63" i="8"/>
  <c r="BO108" i="8" s="1"/>
  <c r="BO10" i="9" s="1"/>
  <c r="BO104" i="8"/>
  <c r="BN63" i="8"/>
  <c r="BN108" i="8" s="1"/>
  <c r="BN10" i="9" s="1"/>
  <c r="BN104" i="8"/>
  <c r="BM62" i="8"/>
  <c r="BM105" i="8"/>
  <c r="BL62" i="8"/>
  <c r="BL105" i="8"/>
  <c r="BK63" i="8"/>
  <c r="BK104" i="8"/>
  <c r="BH63" i="8"/>
  <c r="BH108" i="8" s="1"/>
  <c r="BH10" i="9" s="1"/>
  <c r="BH104" i="8"/>
  <c r="BG62" i="8"/>
  <c r="BG105" i="8"/>
  <c r="BE62" i="8"/>
  <c r="BE105" i="8"/>
  <c r="BC63" i="8"/>
  <c r="BC104" i="8"/>
  <c r="BB62" i="8"/>
  <c r="BB105" i="8"/>
  <c r="AZ63" i="8"/>
  <c r="AZ104" i="8"/>
  <c r="AZ62" i="8"/>
  <c r="AZ105" i="8"/>
  <c r="AX62" i="8"/>
  <c r="AX105" i="8"/>
  <c r="AX63" i="8"/>
  <c r="AX104" i="8"/>
  <c r="AQ106" i="8"/>
  <c r="AQ18" i="8"/>
  <c r="AQ107" i="8" s="1"/>
  <c r="S106" i="8"/>
  <c r="S18" i="8"/>
  <c r="M106" i="8"/>
  <c r="M18" i="8"/>
  <c r="M107" i="8" s="1"/>
  <c r="K106" i="8"/>
  <c r="K18" i="8"/>
  <c r="K107" i="8" s="1"/>
  <c r="I106" i="8"/>
  <c r="I18" i="8"/>
  <c r="I107" i="8" s="1"/>
  <c r="F106" i="8"/>
  <c r="F18" i="8"/>
  <c r="F107" i="8" s="1"/>
  <c r="G14" i="17"/>
  <c r="H14" i="17"/>
  <c r="B113" i="8"/>
  <c r="X108" i="8"/>
  <c r="X10" i="9" s="1"/>
  <c r="W95" i="8"/>
  <c r="W107" i="8" s="1"/>
  <c r="W108" i="8"/>
  <c r="W10" i="9" s="1"/>
  <c r="Z95" i="8"/>
  <c r="Z107" i="8" s="1"/>
  <c r="X95" i="8"/>
  <c r="X107" i="8" s="1"/>
  <c r="T108" i="8"/>
  <c r="T73" i="8"/>
  <c r="T107" i="8" s="1"/>
  <c r="CI107" i="8"/>
  <c r="CG107" i="8"/>
  <c r="CC107" i="8"/>
  <c r="BY107" i="8"/>
  <c r="BW107" i="8"/>
  <c r="BS107" i="8"/>
  <c r="BM107" i="8"/>
  <c r="BJ107" i="8"/>
  <c r="BI107" i="8"/>
  <c r="BH107" i="8"/>
  <c r="BG107" i="8"/>
  <c r="BE107" i="8"/>
  <c r="BD107" i="8"/>
  <c r="BA107" i="8"/>
  <c r="AY107" i="8"/>
  <c r="AX107" i="8"/>
  <c r="AW107" i="8"/>
  <c r="BL107" i="8"/>
  <c r="BK106" i="8"/>
  <c r="BK108" i="8"/>
  <c r="BK10" i="9" s="1"/>
  <c r="CE62" i="8"/>
  <c r="CE107" i="8" s="1"/>
  <c r="CE105" i="8"/>
  <c r="CB62" i="8"/>
  <c r="CB107" i="8" s="1"/>
  <c r="CB105" i="8"/>
  <c r="BZ62" i="8"/>
  <c r="BZ107" i="8" s="1"/>
  <c r="BZ105" i="8"/>
  <c r="BX62" i="8"/>
  <c r="BX107" i="8" s="1"/>
  <c r="BX105" i="8"/>
  <c r="BV63" i="8"/>
  <c r="BV108" i="8" s="1"/>
  <c r="BV10" i="9" s="1"/>
  <c r="BV104" i="8"/>
  <c r="BQ63" i="8"/>
  <c r="BQ108" i="8" s="1"/>
  <c r="BQ10" i="9" s="1"/>
  <c r="BQ104" i="8"/>
  <c r="BP62" i="8"/>
  <c r="BP107" i="8" s="1"/>
  <c r="BP105" i="8"/>
  <c r="BN62" i="8"/>
  <c r="BN107" i="8" s="1"/>
  <c r="BN105" i="8"/>
  <c r="BL63" i="8"/>
  <c r="BL108" i="8" s="1"/>
  <c r="BL10" i="9" s="1"/>
  <c r="BL104" i="8"/>
  <c r="BJ63" i="8"/>
  <c r="BJ108" i="8" s="1"/>
  <c r="BJ10" i="9" s="1"/>
  <c r="BJ104" i="8"/>
  <c r="C42" i="16"/>
  <c r="C80" i="15"/>
  <c r="C35" i="15"/>
  <c r="D44" i="5"/>
  <c r="D79" i="5"/>
  <c r="D16" i="6" s="1"/>
  <c r="D41" i="5"/>
  <c r="AS106" i="8"/>
  <c r="AS18" i="8"/>
  <c r="AS107" i="8" s="1"/>
  <c r="AO106" i="8"/>
  <c r="AO18" i="8"/>
  <c r="AO107" i="8" s="1"/>
  <c r="AH106" i="8"/>
  <c r="AH18" i="8"/>
  <c r="AF106" i="8"/>
  <c r="AF18" i="8"/>
  <c r="AE106" i="8"/>
  <c r="AE18" i="8"/>
  <c r="AE107" i="8" s="1"/>
  <c r="AA106" i="8"/>
  <c r="AA18" i="8"/>
  <c r="AA107" i="8" s="1"/>
  <c r="Q106" i="8"/>
  <c r="Q18" i="8"/>
  <c r="Q107" i="8" s="1"/>
  <c r="L106" i="8"/>
  <c r="L18" i="8"/>
  <c r="L107" i="8" s="1"/>
  <c r="E106" i="8"/>
  <c r="E18" i="8"/>
  <c r="E107" i="8" s="1"/>
  <c r="D106" i="8"/>
  <c r="D18" i="8"/>
  <c r="D107" i="8" s="1"/>
  <c r="C52" i="16"/>
  <c r="B3" i="3"/>
  <c r="S108" i="8"/>
  <c r="S10" i="9" s="1"/>
  <c r="D84" i="5"/>
  <c r="D20" i="6" s="1"/>
  <c r="S73" i="8"/>
  <c r="CI106" i="8"/>
  <c r="CI108" i="8"/>
  <c r="CI10" i="9" s="1"/>
  <c r="CH106" i="8"/>
  <c r="CH107" i="8"/>
  <c r="CH108" i="8"/>
  <c r="CH10" i="9" s="1"/>
  <c r="CG106" i="8"/>
  <c r="CG108" i="8"/>
  <c r="CG10" i="9" s="1"/>
  <c r="CF106" i="8"/>
  <c r="CF107" i="8"/>
  <c r="CF108" i="8"/>
  <c r="CF10" i="9" s="1"/>
  <c r="CE106" i="8"/>
  <c r="CD106" i="8"/>
  <c r="CC106" i="8"/>
  <c r="CB106" i="8"/>
  <c r="CA106" i="8"/>
  <c r="BZ106" i="8"/>
  <c r="BM106" i="8"/>
  <c r="BY106" i="8"/>
  <c r="BX106" i="8"/>
  <c r="BW106" i="8"/>
  <c r="BV106" i="8"/>
  <c r="BU106" i="8"/>
  <c r="BT106" i="8"/>
  <c r="BS106" i="8"/>
  <c r="BR106" i="8"/>
  <c r="BQ106" i="8"/>
  <c r="BP106" i="8"/>
  <c r="BO106" i="8"/>
  <c r="BN106" i="8"/>
  <c r="BF108" i="8"/>
  <c r="BF10" i="9" s="1"/>
  <c r="BE106" i="8"/>
  <c r="BD106" i="8"/>
  <c r="BC106" i="8"/>
  <c r="BC108" i="8"/>
  <c r="BC10" i="9" s="1"/>
  <c r="BB106" i="8"/>
  <c r="BB107" i="8"/>
  <c r="BA106" i="8"/>
  <c r="BA108" i="8"/>
  <c r="BA10" i="9" s="1"/>
  <c r="AZ106" i="8"/>
  <c r="AZ107" i="8"/>
  <c r="AZ108" i="8"/>
  <c r="AZ10" i="9" s="1"/>
  <c r="AY106" i="8"/>
  <c r="AY108" i="8"/>
  <c r="AY10" i="9" s="1"/>
  <c r="AX106" i="8"/>
  <c r="AX108" i="8"/>
  <c r="AX10" i="9" s="1"/>
  <c r="AW106" i="8"/>
  <c r="AL107" i="8"/>
  <c r="AL108" i="8"/>
  <c r="AL10" i="9" s="1"/>
  <c r="AK107" i="8"/>
  <c r="AK108" i="8"/>
  <c r="AK10" i="9" s="1"/>
  <c r="AJ107" i="8"/>
  <c r="AJ108" i="8"/>
  <c r="AJ10" i="9" s="1"/>
  <c r="AI107" i="8"/>
  <c r="AI108" i="8"/>
  <c r="AI10" i="9" s="1"/>
  <c r="AG107" i="8"/>
  <c r="AG108" i="8"/>
  <c r="AG10" i="9" s="1"/>
  <c r="AE108" i="8"/>
  <c r="AE10" i="9" s="1"/>
  <c r="AD108" i="8"/>
  <c r="AD10" i="9" s="1"/>
  <c r="AC107" i="8"/>
  <c r="AC108" i="8"/>
  <c r="AC10" i="9" s="1"/>
  <c r="AB107" i="8"/>
  <c r="AB108" i="8"/>
  <c r="R106" i="8"/>
  <c r="R107" i="8"/>
  <c r="Q108" i="8"/>
  <c r="Q10" i="9" s="1"/>
  <c r="P107" i="8"/>
  <c r="P108" i="8"/>
  <c r="H8" i="17"/>
  <c r="F8" i="17"/>
  <c r="G8" i="17" s="1"/>
  <c r="AM85" i="8"/>
  <c r="AM108" i="8" s="1"/>
  <c r="AM10" i="9" s="1"/>
  <c r="AM104" i="8"/>
  <c r="AM84" i="8"/>
  <c r="AM107" i="8" s="1"/>
  <c r="AM105" i="8"/>
  <c r="AF85" i="8"/>
  <c r="AF108" i="8" s="1"/>
  <c r="AF104" i="8"/>
  <c r="AF84" i="8"/>
  <c r="AF105" i="8"/>
  <c r="Y84" i="8"/>
  <c r="Y105" i="8"/>
  <c r="Y85" i="8"/>
  <c r="Y108" i="8" s="1"/>
  <c r="Y10" i="9" s="1"/>
  <c r="Y104" i="8"/>
  <c r="R85" i="8"/>
  <c r="R108" i="8" s="1"/>
  <c r="R10" i="9" s="1"/>
  <c r="R104" i="8"/>
  <c r="AH84" i="8"/>
  <c r="AH105" i="8"/>
  <c r="AH85" i="8"/>
  <c r="AH108" i="8" s="1"/>
  <c r="AH10" i="9" s="1"/>
  <c r="AH104" i="8"/>
  <c r="BR74" i="8"/>
  <c r="BR108" i="8" s="1"/>
  <c r="BR10" i="9" s="1"/>
  <c r="BR104" i="8"/>
  <c r="BR73" i="8"/>
  <c r="BR107" i="8" s="1"/>
  <c r="BR105" i="8"/>
  <c r="BC73" i="8"/>
  <c r="BC107" i="8" s="1"/>
  <c r="BC105" i="8"/>
  <c r="CE63" i="8"/>
  <c r="CE108" i="8" s="1"/>
  <c r="CE10" i="9" s="1"/>
  <c r="CE104" i="8"/>
  <c r="CB63" i="8"/>
  <c r="CB108" i="8" s="1"/>
  <c r="CB10" i="9" s="1"/>
  <c r="CB104" i="8"/>
  <c r="BY63" i="8"/>
  <c r="BY108" i="8" s="1"/>
  <c r="BY10" i="9" s="1"/>
  <c r="BY104" i="8"/>
  <c r="BW63" i="8"/>
  <c r="BW108" i="8" s="1"/>
  <c r="BW10" i="9" s="1"/>
  <c r="BW104" i="8"/>
  <c r="BV62" i="8"/>
  <c r="BV107" i="8" s="1"/>
  <c r="BV105" i="8"/>
  <c r="BT62" i="8"/>
  <c r="BT107" i="8" s="1"/>
  <c r="BT105" i="8"/>
  <c r="BS62" i="8"/>
  <c r="BS105" i="8"/>
  <c r="BQ62" i="8"/>
  <c r="BQ107" i="8" s="1"/>
  <c r="BQ105" i="8"/>
  <c r="BO62" i="8"/>
  <c r="BO107" i="8" s="1"/>
  <c r="BO105" i="8"/>
  <c r="BM63" i="8"/>
  <c r="BM108" i="8" s="1"/>
  <c r="BM10" i="9" s="1"/>
  <c r="BM104" i="8"/>
  <c r="BK62" i="8"/>
  <c r="BK107" i="8" s="1"/>
  <c r="BK105" i="8"/>
  <c r="BJ62" i="8"/>
  <c r="BJ105" i="8"/>
  <c r="BH62" i="8"/>
  <c r="BH105" i="8"/>
  <c r="BF62" i="8"/>
  <c r="BF107" i="8" s="1"/>
  <c r="BF105" i="8"/>
  <c r="BD63" i="8"/>
  <c r="BD108" i="8" s="1"/>
  <c r="BD10" i="9" s="1"/>
  <c r="BD104" i="8"/>
  <c r="BB63" i="8"/>
  <c r="BB108" i="8" s="1"/>
  <c r="BB10" i="9" s="1"/>
  <c r="BB104" i="8"/>
  <c r="G15" i="12"/>
  <c r="D16" i="12"/>
  <c r="G16" i="12"/>
  <c r="AV27" i="10"/>
  <c r="AV26" i="11"/>
  <c r="AS27" i="10"/>
  <c r="AS26" i="11"/>
  <c r="AR27" i="10"/>
  <c r="AR26" i="11"/>
  <c r="AP27" i="10"/>
  <c r="AP26" i="11"/>
  <c r="AN27" i="10"/>
  <c r="AN26" i="11"/>
  <c r="AA27" i="10"/>
  <c r="AA26" i="11"/>
  <c r="V27" i="10"/>
  <c r="V26" i="11"/>
  <c r="U27" i="10"/>
  <c r="U26" i="11"/>
  <c r="O27" i="10"/>
  <c r="O26" i="11"/>
  <c r="N27" i="10"/>
  <c r="N26" i="11"/>
  <c r="M27" i="10"/>
  <c r="M26" i="11"/>
  <c r="L27" i="10"/>
  <c r="L26" i="11"/>
  <c r="K27" i="10"/>
  <c r="K26" i="11"/>
  <c r="J27" i="10"/>
  <c r="J26" i="11"/>
  <c r="I27" i="10"/>
  <c r="I26" i="11"/>
  <c r="H27" i="10"/>
  <c r="H26" i="11"/>
  <c r="G27" i="10"/>
  <c r="G26" i="11"/>
  <c r="F27" i="10"/>
  <c r="F26" i="11"/>
  <c r="E27" i="10"/>
  <c r="E26" i="11"/>
  <c r="D108" i="8"/>
  <c r="B112" i="8"/>
  <c r="F61" i="5"/>
  <c r="E63" i="5"/>
  <c r="E66" i="5"/>
  <c r="E68" i="5"/>
  <c r="E19" i="18"/>
  <c r="H52" i="5"/>
  <c r="G54" i="5"/>
  <c r="G59" i="5" s="1"/>
  <c r="G64" i="5" s="1"/>
  <c r="E44" i="5"/>
  <c r="E84" i="5" s="1"/>
  <c r="E79" i="5"/>
  <c r="E16" i="6" s="1"/>
  <c r="H32" i="5"/>
  <c r="G34" i="5"/>
  <c r="G72" i="5"/>
  <c r="G10" i="6" s="1"/>
  <c r="F39" i="5"/>
  <c r="F74" i="5"/>
  <c r="F12" i="6" s="1"/>
  <c r="H12" i="5"/>
  <c r="G14" i="5"/>
  <c r="G19" i="5" s="1"/>
  <c r="G24" i="5" s="1"/>
  <c r="E21" i="5"/>
  <c r="D23" i="5"/>
  <c r="D28" i="5"/>
  <c r="D26" i="5"/>
  <c r="C18" i="18"/>
  <c r="E25" i="14"/>
  <c r="F23" i="14" s="1"/>
  <c r="E26" i="14"/>
  <c r="AD106" i="8"/>
  <c r="AD18" i="8"/>
  <c r="AD107" i="8" s="1"/>
  <c r="BK27" i="10" l="1"/>
  <c r="BK26" i="11"/>
  <c r="E41" i="5"/>
  <c r="D43" i="5"/>
  <c r="D46" i="5"/>
  <c r="D86" i="5" s="1"/>
  <c r="D21" i="6" s="1"/>
  <c r="D29" i="6" s="1"/>
  <c r="D48" i="5"/>
  <c r="D81" i="5"/>
  <c r="D18" i="6" s="1"/>
  <c r="D18" i="18"/>
  <c r="AF107" i="8"/>
  <c r="AH107" i="8"/>
  <c r="S107" i="8"/>
  <c r="Y107" i="8"/>
  <c r="Z27" i="10"/>
  <c r="Z26" i="11"/>
  <c r="BI26" i="11"/>
  <c r="BI27" i="10"/>
  <c r="BG26" i="11"/>
  <c r="BG27" i="10"/>
  <c r="AU26" i="11"/>
  <c r="AU27" i="10"/>
  <c r="AT26" i="11"/>
  <c r="AT27" i="10"/>
  <c r="AQ26" i="11"/>
  <c r="AQ27" i="10"/>
  <c r="AO27" i="10"/>
  <c r="AO26" i="11"/>
  <c r="AW26" i="11"/>
  <c r="AW27" i="10"/>
  <c r="BL27" i="10"/>
  <c r="BL26" i="11"/>
  <c r="BJ26" i="11"/>
  <c r="BJ27" i="10"/>
  <c r="AB10" i="9"/>
  <c r="E36" i="13"/>
  <c r="C20" i="13"/>
  <c r="C36" i="13"/>
  <c r="F36" i="13" s="1"/>
  <c r="D36" i="13"/>
  <c r="G80" i="15"/>
  <c r="E80" i="15"/>
  <c r="E81" i="15" s="1"/>
  <c r="X26" i="11"/>
  <c r="X27" i="10"/>
  <c r="W27" i="10"/>
  <c r="W26" i="11"/>
  <c r="T10" i="9"/>
  <c r="D28" i="13"/>
  <c r="E28" i="13"/>
  <c r="AF10" i="9"/>
  <c r="BM26" i="11"/>
  <c r="BM27" i="10"/>
  <c r="E20" i="13"/>
  <c r="D88" i="5"/>
  <c r="D22" i="6" s="1"/>
  <c r="D30" i="6" s="1"/>
  <c r="D83" i="5"/>
  <c r="D19" i="6" s="1"/>
  <c r="D27" i="6" s="1"/>
  <c r="S27" i="10"/>
  <c r="S26" i="11"/>
  <c r="CI27" i="10"/>
  <c r="CI26" i="11"/>
  <c r="CH27" i="10"/>
  <c r="CH26" i="11"/>
  <c r="CG27" i="10"/>
  <c r="CG26" i="11"/>
  <c r="CF27" i="10"/>
  <c r="CF26" i="11"/>
  <c r="CE27" i="10"/>
  <c r="CE26" i="11"/>
  <c r="CD27" i="10"/>
  <c r="CD26" i="11"/>
  <c r="CC27" i="10"/>
  <c r="CC26" i="11"/>
  <c r="CB26" i="11"/>
  <c r="CB27" i="10"/>
  <c r="CA26" i="11"/>
  <c r="CA27" i="10"/>
  <c r="BZ27" i="10"/>
  <c r="BZ26" i="11"/>
  <c r="BP27" i="10"/>
  <c r="BP26" i="11"/>
  <c r="BN26" i="11"/>
  <c r="BN27" i="10"/>
  <c r="BH27" i="10"/>
  <c r="BH26" i="11"/>
  <c r="BY27" i="10"/>
  <c r="BY26" i="11"/>
  <c r="BX27" i="10"/>
  <c r="BX26" i="11"/>
  <c r="BW27" i="10"/>
  <c r="BW26" i="11"/>
  <c r="BV27" i="10"/>
  <c r="BV26" i="11"/>
  <c r="BU27" i="10"/>
  <c r="BU26" i="11"/>
  <c r="BT27" i="10"/>
  <c r="BT26" i="11"/>
  <c r="BS27" i="10"/>
  <c r="BS26" i="11"/>
  <c r="BR27" i="10"/>
  <c r="BR26" i="11"/>
  <c r="BQ26" i="11"/>
  <c r="BQ27" i="10"/>
  <c r="BO27" i="10"/>
  <c r="BO26" i="11"/>
  <c r="BF27" i="10"/>
  <c r="BF26" i="11"/>
  <c r="BE27" i="10"/>
  <c r="BE26" i="11"/>
  <c r="BD26" i="11"/>
  <c r="BD27" i="10"/>
  <c r="BC27" i="10"/>
  <c r="BC26" i="11"/>
  <c r="BB26" i="11"/>
  <c r="BB27" i="10"/>
  <c r="BA26" i="11"/>
  <c r="BA27" i="10"/>
  <c r="AZ27" i="10"/>
  <c r="AZ26" i="11"/>
  <c r="AY27" i="10"/>
  <c r="AY26" i="11"/>
  <c r="AX27" i="10"/>
  <c r="AX26" i="11"/>
  <c r="AL26" i="11"/>
  <c r="AL27" i="10"/>
  <c r="AK26" i="11"/>
  <c r="AK27" i="10"/>
  <c r="AJ27" i="10"/>
  <c r="AJ26" i="11"/>
  <c r="AI27" i="10"/>
  <c r="AI26" i="11"/>
  <c r="AH27" i="10"/>
  <c r="AH26" i="11"/>
  <c r="AG27" i="10"/>
  <c r="AG26" i="11"/>
  <c r="AE26" i="11"/>
  <c r="AE27" i="10"/>
  <c r="AD27" i="10"/>
  <c r="AD26" i="11"/>
  <c r="AC26" i="11"/>
  <c r="AC27" i="10"/>
  <c r="R27" i="10"/>
  <c r="R26" i="11"/>
  <c r="Q26" i="11"/>
  <c r="Q27" i="10"/>
  <c r="D20" i="13"/>
  <c r="P10" i="9"/>
  <c r="AM27" i="10"/>
  <c r="AM26" i="11"/>
  <c r="Y27" i="10"/>
  <c r="Y26" i="11"/>
  <c r="D10" i="9"/>
  <c r="C28" i="13"/>
  <c r="G61" i="5"/>
  <c r="F63" i="5"/>
  <c r="F66" i="5"/>
  <c r="F68" i="5"/>
  <c r="E20" i="18"/>
  <c r="I52" i="5"/>
  <c r="H54" i="5"/>
  <c r="H59" i="5" s="1"/>
  <c r="H64" i="5" s="1"/>
  <c r="D28" i="6"/>
  <c r="D14" i="7"/>
  <c r="D22" i="11" s="1"/>
  <c r="D13" i="7"/>
  <c r="D21" i="11" s="1"/>
  <c r="I32" i="5"/>
  <c r="H34" i="5"/>
  <c r="H72" i="5"/>
  <c r="H10" i="6" s="1"/>
  <c r="G39" i="5"/>
  <c r="G74" i="5"/>
  <c r="G12" i="6" s="1"/>
  <c r="F44" i="5"/>
  <c r="F84" i="5" s="1"/>
  <c r="F20" i="6" s="1"/>
  <c r="F79" i="5"/>
  <c r="F16" i="6" s="1"/>
  <c r="I12" i="5"/>
  <c r="H14" i="5"/>
  <c r="H19" i="5" s="1"/>
  <c r="H24" i="5" s="1"/>
  <c r="F21" i="5"/>
  <c r="E23" i="5"/>
  <c r="E28" i="5"/>
  <c r="E26" i="5"/>
  <c r="C19" i="18"/>
  <c r="F25" i="14"/>
  <c r="G23" i="14" s="1"/>
  <c r="F26" i="14"/>
  <c r="E20" i="6"/>
  <c r="F41" i="5" l="1"/>
  <c r="E43" i="5"/>
  <c r="E83" i="5" s="1"/>
  <c r="E19" i="6" s="1"/>
  <c r="E27" i="6" s="1"/>
  <c r="E46" i="5"/>
  <c r="E86" i="5" s="1"/>
  <c r="E21" i="6" s="1"/>
  <c r="E29" i="6" s="1"/>
  <c r="E48" i="5"/>
  <c r="E88" i="5" s="1"/>
  <c r="E22" i="6" s="1"/>
  <c r="E30" i="6" s="1"/>
  <c r="E81" i="5"/>
  <c r="E18" i="6" s="1"/>
  <c r="D19" i="18"/>
  <c r="D34" i="6"/>
  <c r="K133" i="18" s="1"/>
  <c r="D32" i="6"/>
  <c r="I133" i="18" s="1"/>
  <c r="D33" i="6"/>
  <c r="J133" i="18" s="1"/>
  <c r="D10" i="7"/>
  <c r="D18" i="11" s="1"/>
  <c r="D41" i="9"/>
  <c r="D34" i="11" s="1"/>
  <c r="D26" i="6"/>
  <c r="D31" i="6"/>
  <c r="D12" i="7"/>
  <c r="D20" i="11" s="1"/>
  <c r="C7" i="18"/>
  <c r="AB27" i="10"/>
  <c r="AB26" i="11"/>
  <c r="P27" i="10"/>
  <c r="P26" i="11"/>
  <c r="H81" i="15"/>
  <c r="E82" i="15"/>
  <c r="T26" i="11"/>
  <c r="T27" i="10"/>
  <c r="F28" i="13"/>
  <c r="AF26" i="11"/>
  <c r="AF27" i="10"/>
  <c r="D12" i="11"/>
  <c r="D133" i="18"/>
  <c r="F20" i="13"/>
  <c r="F26" i="12"/>
  <c r="E26" i="12"/>
  <c r="D47" i="9"/>
  <c r="D27" i="10"/>
  <c r="D26" i="11"/>
  <c r="D26" i="12" s="1"/>
  <c r="H61" i="5"/>
  <c r="G63" i="5"/>
  <c r="G66" i="5"/>
  <c r="G68" i="5"/>
  <c r="E21" i="18"/>
  <c r="J52" i="5"/>
  <c r="I54" i="5"/>
  <c r="I59" i="5" s="1"/>
  <c r="I64" i="5" s="1"/>
  <c r="D14" i="11"/>
  <c r="F133" i="18"/>
  <c r="D15" i="11"/>
  <c r="G133" i="18"/>
  <c r="D13" i="11"/>
  <c r="E133" i="18"/>
  <c r="J32" i="5"/>
  <c r="I34" i="5"/>
  <c r="I72" i="5"/>
  <c r="I10" i="6" s="1"/>
  <c r="H39" i="5"/>
  <c r="H74" i="5"/>
  <c r="H12" i="6" s="1"/>
  <c r="G44" i="5"/>
  <c r="G84" i="5" s="1"/>
  <c r="G79" i="5"/>
  <c r="G16" i="6" s="1"/>
  <c r="F28" i="6"/>
  <c r="F14" i="7"/>
  <c r="F22" i="11" s="1"/>
  <c r="F13" i="7"/>
  <c r="F21" i="11" s="1"/>
  <c r="J12" i="5"/>
  <c r="I14" i="5"/>
  <c r="I19" i="5" s="1"/>
  <c r="I24" i="5" s="1"/>
  <c r="G21" i="5"/>
  <c r="F23" i="5"/>
  <c r="F28" i="5"/>
  <c r="F26" i="5"/>
  <c r="C20" i="18"/>
  <c r="G25" i="14"/>
  <c r="H23" i="14" s="1"/>
  <c r="G26" i="14"/>
  <c r="E14" i="7"/>
  <c r="E22" i="11" s="1"/>
  <c r="E13" i="7"/>
  <c r="E21" i="11" s="1"/>
  <c r="E28" i="6"/>
  <c r="G41" i="5" l="1"/>
  <c r="F43" i="5"/>
  <c r="F83" i="5" s="1"/>
  <c r="F19" i="6" s="1"/>
  <c r="F27" i="6" s="1"/>
  <c r="F46" i="5"/>
  <c r="F86" i="5" s="1"/>
  <c r="F21" i="6" s="1"/>
  <c r="F29" i="6" s="1"/>
  <c r="F48" i="5"/>
  <c r="F88" i="5" s="1"/>
  <c r="F22" i="6" s="1"/>
  <c r="F30" i="6" s="1"/>
  <c r="F81" i="5"/>
  <c r="F18" i="6" s="1"/>
  <c r="D20" i="18"/>
  <c r="E12" i="11"/>
  <c r="D134" i="18"/>
  <c r="E14" i="11"/>
  <c r="F134" i="18"/>
  <c r="E15" i="11"/>
  <c r="G134" i="18"/>
  <c r="E34" i="6"/>
  <c r="K134" i="18" s="1"/>
  <c r="E31" i="6"/>
  <c r="E32" i="6"/>
  <c r="I134" i="18" s="1"/>
  <c r="E26" i="6"/>
  <c r="E33" i="6"/>
  <c r="J134" i="18" s="1"/>
  <c r="E10" i="7"/>
  <c r="E18" i="11" s="1"/>
  <c r="E41" i="9"/>
  <c r="E12" i="7"/>
  <c r="E20" i="11" s="1"/>
  <c r="D11" i="11"/>
  <c r="C133" i="18"/>
  <c r="D36" i="6"/>
  <c r="H133" i="18"/>
  <c r="H82" i="15"/>
  <c r="E83" i="15"/>
  <c r="D32" i="14"/>
  <c r="D28" i="10"/>
  <c r="D25" i="11"/>
  <c r="G26" i="12"/>
  <c r="I61" i="5"/>
  <c r="H63" i="5"/>
  <c r="H66" i="5"/>
  <c r="H68" i="5"/>
  <c r="E22" i="18"/>
  <c r="K52" i="5"/>
  <c r="J54" i="5"/>
  <c r="J59" i="5" s="1"/>
  <c r="J64" i="5" s="1"/>
  <c r="H41" i="5"/>
  <c r="G43" i="5"/>
  <c r="G83" i="5" s="1"/>
  <c r="G19" i="6" s="1"/>
  <c r="G27" i="6" s="1"/>
  <c r="G46" i="5"/>
  <c r="G86" i="5" s="1"/>
  <c r="K32" i="5"/>
  <c r="J34" i="5"/>
  <c r="J72" i="5"/>
  <c r="J10" i="6" s="1"/>
  <c r="I39" i="5"/>
  <c r="I74" i="5"/>
  <c r="I12" i="6" s="1"/>
  <c r="H44" i="5"/>
  <c r="H84" i="5" s="1"/>
  <c r="H20" i="6" s="1"/>
  <c r="H79" i="5"/>
  <c r="H16" i="6" s="1"/>
  <c r="G20" i="6"/>
  <c r="F13" i="11"/>
  <c r="E135" i="18"/>
  <c r="K12" i="5"/>
  <c r="J14" i="5"/>
  <c r="J19" i="5" s="1"/>
  <c r="J24" i="5" s="1"/>
  <c r="H21" i="5"/>
  <c r="G23" i="5"/>
  <c r="G28" i="5"/>
  <c r="G26" i="5"/>
  <c r="C21" i="18"/>
  <c r="H25" i="14"/>
  <c r="I23" i="14" s="1"/>
  <c r="H26" i="14"/>
  <c r="E13" i="11"/>
  <c r="E134" i="18"/>
  <c r="G48" i="5" l="1"/>
  <c r="G81" i="5"/>
  <c r="G18" i="6" s="1"/>
  <c r="D21" i="18"/>
  <c r="F12" i="11"/>
  <c r="D135" i="18"/>
  <c r="F32" i="6"/>
  <c r="I135" i="18" s="1"/>
  <c r="F33" i="6"/>
  <c r="J135" i="18" s="1"/>
  <c r="F41" i="9"/>
  <c r="F34" i="6"/>
  <c r="K135" i="18" s="1"/>
  <c r="F26" i="6"/>
  <c r="F31" i="6"/>
  <c r="F10" i="7"/>
  <c r="F18" i="11" s="1"/>
  <c r="F12" i="7"/>
  <c r="F20" i="11" s="1"/>
  <c r="H134" i="18"/>
  <c r="E36" i="6"/>
  <c r="E29" i="14" s="1"/>
  <c r="E11" i="11"/>
  <c r="C134" i="18"/>
  <c r="E34" i="11"/>
  <c r="E47" i="9"/>
  <c r="D29" i="14"/>
  <c r="D37" i="6"/>
  <c r="D16" i="11"/>
  <c r="H83" i="15"/>
  <c r="E84" i="15"/>
  <c r="D30" i="14"/>
  <c r="E28" i="14" s="1"/>
  <c r="E30" i="14" s="1"/>
  <c r="F28" i="14" s="1"/>
  <c r="D36" i="14"/>
  <c r="D38" i="14" s="1"/>
  <c r="D35" i="10" s="1"/>
  <c r="E32" i="14"/>
  <c r="E33" i="14"/>
  <c r="E35" i="14" s="1"/>
  <c r="E37" i="14" s="1"/>
  <c r="E31" i="14"/>
  <c r="E36" i="14" s="1"/>
  <c r="E38" i="14" s="1"/>
  <c r="E35" i="10" s="1"/>
  <c r="G88" i="5"/>
  <c r="G22" i="6" s="1"/>
  <c r="G30" i="6" s="1"/>
  <c r="J61" i="5"/>
  <c r="I63" i="5"/>
  <c r="I66" i="5"/>
  <c r="I68" i="5"/>
  <c r="E23" i="18"/>
  <c r="L52" i="5"/>
  <c r="K54" i="5"/>
  <c r="K59" i="5" s="1"/>
  <c r="K64" i="5" s="1"/>
  <c r="H84" i="15"/>
  <c r="E85" i="15"/>
  <c r="I41" i="5"/>
  <c r="H43" i="5"/>
  <c r="H46" i="5"/>
  <c r="H48" i="5"/>
  <c r="H81" i="5"/>
  <c r="H18" i="6" s="1"/>
  <c r="D22" i="18"/>
  <c r="G12" i="11"/>
  <c r="D136" i="18"/>
  <c r="F14" i="11"/>
  <c r="F135" i="18"/>
  <c r="F15" i="11"/>
  <c r="G135" i="18"/>
  <c r="E37" i="6"/>
  <c r="E16" i="11"/>
  <c r="L32" i="5"/>
  <c r="K34" i="5"/>
  <c r="K72" i="5"/>
  <c r="K10" i="6" s="1"/>
  <c r="J39" i="5"/>
  <c r="J74" i="5"/>
  <c r="J12" i="6" s="1"/>
  <c r="I44" i="5"/>
  <c r="I84" i="5" s="1"/>
  <c r="I79" i="5"/>
  <c r="I16" i="6" s="1"/>
  <c r="H28" i="6"/>
  <c r="H13" i="7"/>
  <c r="H21" i="11" s="1"/>
  <c r="H14" i="7"/>
  <c r="H22" i="11" s="1"/>
  <c r="G28" i="6"/>
  <c r="G14" i="7"/>
  <c r="G22" i="11" s="1"/>
  <c r="G13" i="7"/>
  <c r="G21" i="11" s="1"/>
  <c r="L12" i="5"/>
  <c r="K14" i="5"/>
  <c r="K19" i="5" s="1"/>
  <c r="K24" i="5" s="1"/>
  <c r="I21" i="5"/>
  <c r="H23" i="5"/>
  <c r="H28" i="5"/>
  <c r="H26" i="5"/>
  <c r="C22" i="18"/>
  <c r="I25" i="14"/>
  <c r="J23" i="14" s="1"/>
  <c r="I26" i="14"/>
  <c r="G21" i="6"/>
  <c r="G29" i="6" s="1"/>
  <c r="D33" i="14" l="1"/>
  <c r="D35" i="14" s="1"/>
  <c r="D37" i="14" s="1"/>
  <c r="D31" i="14"/>
  <c r="G34" i="6"/>
  <c r="K136" i="18" s="1"/>
  <c r="G26" i="6"/>
  <c r="G31" i="6"/>
  <c r="G32" i="6"/>
  <c r="I136" i="18" s="1"/>
  <c r="G33" i="6"/>
  <c r="J136" i="18" s="1"/>
  <c r="G12" i="7"/>
  <c r="G20" i="11" s="1"/>
  <c r="G41" i="9"/>
  <c r="G10" i="7"/>
  <c r="F47" i="9"/>
  <c r="F34" i="11"/>
  <c r="F11" i="11"/>
  <c r="C135" i="18"/>
  <c r="F36" i="6"/>
  <c r="F29" i="14" s="1"/>
  <c r="H135" i="18"/>
  <c r="E25" i="11"/>
  <c r="E28" i="10"/>
  <c r="C8" i="18"/>
  <c r="D11" i="7"/>
  <c r="D10" i="11"/>
  <c r="D26" i="10"/>
  <c r="E34" i="10"/>
  <c r="E41" i="11"/>
  <c r="H83" i="5"/>
  <c r="H19" i="6" s="1"/>
  <c r="H27" i="6" s="1"/>
  <c r="H86" i="5"/>
  <c r="H21" i="6" s="1"/>
  <c r="H29" i="6" s="1"/>
  <c r="H88" i="5"/>
  <c r="H22" i="6" s="1"/>
  <c r="H30" i="6" s="1"/>
  <c r="K61" i="5"/>
  <c r="J63" i="5"/>
  <c r="J66" i="5"/>
  <c r="J68" i="5"/>
  <c r="E24" i="18"/>
  <c r="M52" i="5"/>
  <c r="L54" i="5"/>
  <c r="L59" i="5" s="1"/>
  <c r="L64" i="5" s="1"/>
  <c r="H85" i="15"/>
  <c r="E86" i="15"/>
  <c r="J41" i="5"/>
  <c r="I43" i="5"/>
  <c r="I83" i="5" s="1"/>
  <c r="I19" i="6" s="1"/>
  <c r="I27" i="6" s="1"/>
  <c r="I46" i="5"/>
  <c r="I86" i="5" s="1"/>
  <c r="I48" i="5"/>
  <c r="I81" i="5"/>
  <c r="I18" i="6" s="1"/>
  <c r="D23" i="18"/>
  <c r="H34" i="6"/>
  <c r="K137" i="18" s="1"/>
  <c r="H26" i="6"/>
  <c r="H31" i="6"/>
  <c r="H32" i="6"/>
  <c r="I137" i="18" s="1"/>
  <c r="H33" i="6"/>
  <c r="J137" i="18" s="1"/>
  <c r="H10" i="7"/>
  <c r="H41" i="9"/>
  <c r="H12" i="7"/>
  <c r="H20" i="11" s="1"/>
  <c r="G47" i="9"/>
  <c r="G34" i="11"/>
  <c r="G18" i="11"/>
  <c r="F16" i="11"/>
  <c r="F37" i="6"/>
  <c r="F25" i="11"/>
  <c r="F28" i="10"/>
  <c r="E11" i="7"/>
  <c r="E26" i="10"/>
  <c r="E10" i="11"/>
  <c r="C62" i="16"/>
  <c r="D15" i="7"/>
  <c r="D19" i="11"/>
  <c r="M32" i="5"/>
  <c r="L34" i="5"/>
  <c r="L72" i="5"/>
  <c r="L10" i="6" s="1"/>
  <c r="K39" i="5"/>
  <c r="K74" i="5"/>
  <c r="K12" i="6" s="1"/>
  <c r="J44" i="5"/>
  <c r="J84" i="5" s="1"/>
  <c r="J20" i="6" s="1"/>
  <c r="J79" i="5"/>
  <c r="J16" i="6" s="1"/>
  <c r="I20" i="6"/>
  <c r="H13" i="11"/>
  <c r="E137" i="18"/>
  <c r="G13" i="11"/>
  <c r="E136" i="18"/>
  <c r="M12" i="5"/>
  <c r="L14" i="5"/>
  <c r="L19" i="5" s="1"/>
  <c r="L24" i="5" s="1"/>
  <c r="J21" i="5"/>
  <c r="I23" i="5"/>
  <c r="I28" i="5"/>
  <c r="I26" i="5"/>
  <c r="C23" i="18"/>
  <c r="J25" i="14"/>
  <c r="K23" i="14" s="1"/>
  <c r="J26" i="14"/>
  <c r="F136" i="18"/>
  <c r="G14" i="11"/>
  <c r="G136" i="18"/>
  <c r="G15" i="11"/>
  <c r="D41" i="11" l="1"/>
  <c r="D34" i="10"/>
  <c r="G11" i="11"/>
  <c r="C136" i="18"/>
  <c r="G36" i="6"/>
  <c r="H136" i="18"/>
  <c r="F32" i="14"/>
  <c r="F31" i="14"/>
  <c r="F33" i="14"/>
  <c r="F35" i="14" s="1"/>
  <c r="F37" i="14" s="1"/>
  <c r="G29" i="14"/>
  <c r="F30" i="14"/>
  <c r="G28" i="14" s="1"/>
  <c r="F36" i="14"/>
  <c r="F38" i="14" s="1"/>
  <c r="F35" i="10" s="1"/>
  <c r="F34" i="10"/>
  <c r="F41" i="11"/>
  <c r="G32" i="14"/>
  <c r="G33" i="14"/>
  <c r="G35" i="14" s="1"/>
  <c r="G37" i="14" s="1"/>
  <c r="G31" i="14"/>
  <c r="G36" i="14" s="1"/>
  <c r="G38" i="14" s="1"/>
  <c r="G35" i="10" s="1"/>
  <c r="I88" i="5"/>
  <c r="I22" i="6" s="1"/>
  <c r="I30" i="6" s="1"/>
  <c r="H12" i="11"/>
  <c r="D137" i="18"/>
  <c r="H14" i="11"/>
  <c r="F137" i="18"/>
  <c r="H15" i="11"/>
  <c r="G137" i="18"/>
  <c r="L61" i="5"/>
  <c r="K63" i="5"/>
  <c r="K66" i="5"/>
  <c r="K68" i="5"/>
  <c r="E25" i="18"/>
  <c r="N52" i="5"/>
  <c r="M54" i="5"/>
  <c r="M59" i="5" s="1"/>
  <c r="M64" i="5" s="1"/>
  <c r="H86" i="15"/>
  <c r="E87" i="15"/>
  <c r="K41" i="5"/>
  <c r="J43" i="5"/>
  <c r="J83" i="5" s="1"/>
  <c r="J19" i="6" s="1"/>
  <c r="J27" i="6" s="1"/>
  <c r="J46" i="5"/>
  <c r="J86" i="5" s="1"/>
  <c r="J21" i="6" s="1"/>
  <c r="J29" i="6" s="1"/>
  <c r="J48" i="5"/>
  <c r="J81" i="5"/>
  <c r="J18" i="6" s="1"/>
  <c r="D24" i="18"/>
  <c r="I12" i="11"/>
  <c r="D138" i="18"/>
  <c r="I21" i="6"/>
  <c r="I29" i="6" s="1"/>
  <c r="I34" i="6"/>
  <c r="K138" i="18" s="1"/>
  <c r="I26" i="6"/>
  <c r="I31" i="6"/>
  <c r="I32" i="6"/>
  <c r="I138" i="18" s="1"/>
  <c r="I33" i="6"/>
  <c r="J138" i="18" s="1"/>
  <c r="I10" i="7"/>
  <c r="I41" i="9"/>
  <c r="D7" i="18"/>
  <c r="I12" i="7"/>
  <c r="I20" i="11" s="1"/>
  <c r="H11" i="11"/>
  <c r="C137" i="18"/>
  <c r="H36" i="6"/>
  <c r="H29" i="14" s="1"/>
  <c r="H137" i="18"/>
  <c r="H18" i="11"/>
  <c r="H47" i="9"/>
  <c r="H34" i="11"/>
  <c r="G37" i="6"/>
  <c r="G16" i="11"/>
  <c r="G25" i="11"/>
  <c r="G28" i="10"/>
  <c r="F26" i="10"/>
  <c r="F10" i="11"/>
  <c r="F11" i="7"/>
  <c r="E15" i="7"/>
  <c r="E19" i="11"/>
  <c r="C63" i="16"/>
  <c r="D17" i="11"/>
  <c r="D29" i="10"/>
  <c r="D36" i="10" s="1"/>
  <c r="N32" i="5"/>
  <c r="M34" i="5"/>
  <c r="M72" i="5"/>
  <c r="M10" i="6" s="1"/>
  <c r="L39" i="5"/>
  <c r="L74" i="5"/>
  <c r="L12" i="6" s="1"/>
  <c r="K44" i="5"/>
  <c r="K84" i="5" s="1"/>
  <c r="K20" i="6" s="1"/>
  <c r="K79" i="5"/>
  <c r="K16" i="6" s="1"/>
  <c r="J28" i="6"/>
  <c r="J14" i="7"/>
  <c r="J22" i="11" s="1"/>
  <c r="J13" i="7"/>
  <c r="J21" i="11" s="1"/>
  <c r="I28" i="6"/>
  <c r="I13" i="7"/>
  <c r="I21" i="11" s="1"/>
  <c r="I14" i="7"/>
  <c r="I22" i="11" s="1"/>
  <c r="N12" i="5"/>
  <c r="M14" i="5"/>
  <c r="M19" i="5" s="1"/>
  <c r="M24" i="5" s="1"/>
  <c r="K21" i="5"/>
  <c r="J23" i="5"/>
  <c r="J26" i="5"/>
  <c r="J28" i="5"/>
  <c r="C24" i="18"/>
  <c r="K25" i="14"/>
  <c r="L23" i="14" s="1"/>
  <c r="K26" i="14"/>
  <c r="G30" i="14" l="1"/>
  <c r="H28" i="14" s="1"/>
  <c r="G34" i="10"/>
  <c r="G41" i="11"/>
  <c r="H32" i="14"/>
  <c r="H31" i="14"/>
  <c r="H33" i="14"/>
  <c r="H35" i="14" s="1"/>
  <c r="H37" i="14" s="1"/>
  <c r="J88" i="5"/>
  <c r="J22" i="6" s="1"/>
  <c r="J30" i="6" s="1"/>
  <c r="M61" i="5"/>
  <c r="L63" i="5"/>
  <c r="L66" i="5"/>
  <c r="L68" i="5"/>
  <c r="E26" i="18"/>
  <c r="O52" i="5"/>
  <c r="N54" i="5"/>
  <c r="N59" i="5" s="1"/>
  <c r="N64" i="5" s="1"/>
  <c r="H87" i="15"/>
  <c r="E88" i="15"/>
  <c r="L41" i="5"/>
  <c r="K43" i="5"/>
  <c r="K83" i="5" s="1"/>
  <c r="K19" i="6" s="1"/>
  <c r="K27" i="6" s="1"/>
  <c r="K46" i="5"/>
  <c r="K86" i="5" s="1"/>
  <c r="K21" i="6" s="1"/>
  <c r="K29" i="6" s="1"/>
  <c r="K48" i="5"/>
  <c r="K81" i="5"/>
  <c r="K18" i="6" s="1"/>
  <c r="D25" i="18"/>
  <c r="J12" i="11"/>
  <c r="D139" i="18"/>
  <c r="J14" i="11"/>
  <c r="F139" i="18"/>
  <c r="J34" i="6"/>
  <c r="K139" i="18" s="1"/>
  <c r="J26" i="6"/>
  <c r="J31" i="6"/>
  <c r="J32" i="6"/>
  <c r="I139" i="18" s="1"/>
  <c r="J33" i="6"/>
  <c r="J139" i="18" s="1"/>
  <c r="J12" i="7"/>
  <c r="J20" i="11" s="1"/>
  <c r="J41" i="9"/>
  <c r="J10" i="7"/>
  <c r="I14" i="11"/>
  <c r="F138" i="18"/>
  <c r="I15" i="11"/>
  <c r="G138" i="18"/>
  <c r="I11" i="11"/>
  <c r="C138" i="18"/>
  <c r="I36" i="6"/>
  <c r="H138" i="18"/>
  <c r="I18" i="11"/>
  <c r="I47" i="9"/>
  <c r="I34" i="11"/>
  <c r="H16" i="11"/>
  <c r="H37" i="6"/>
  <c r="H25" i="11"/>
  <c r="H28" i="10"/>
  <c r="G11" i="7"/>
  <c r="G26" i="10"/>
  <c r="G10" i="11"/>
  <c r="C64" i="16"/>
  <c r="F15" i="7"/>
  <c r="F19" i="11"/>
  <c r="E29" i="10"/>
  <c r="E36" i="10" s="1"/>
  <c r="D184" i="18" s="1"/>
  <c r="E17" i="11"/>
  <c r="D23" i="11"/>
  <c r="D62" i="16"/>
  <c r="D183" i="18"/>
  <c r="D37" i="10"/>
  <c r="O32" i="5"/>
  <c r="N34" i="5"/>
  <c r="N72" i="5"/>
  <c r="N10" i="6" s="1"/>
  <c r="M39" i="5"/>
  <c r="M74" i="5"/>
  <c r="M12" i="6" s="1"/>
  <c r="L44" i="5"/>
  <c r="L84" i="5" s="1"/>
  <c r="L20" i="6" s="1"/>
  <c r="L79" i="5"/>
  <c r="L16" i="6" s="1"/>
  <c r="K28" i="6"/>
  <c r="K14" i="7"/>
  <c r="K22" i="11" s="1"/>
  <c r="K13" i="7"/>
  <c r="K21" i="11" s="1"/>
  <c r="J13" i="11"/>
  <c r="E139" i="18"/>
  <c r="I13" i="11"/>
  <c r="E138" i="18"/>
  <c r="O12" i="5"/>
  <c r="N14" i="5"/>
  <c r="N19" i="5" s="1"/>
  <c r="N24" i="5" s="1"/>
  <c r="L21" i="5"/>
  <c r="K23" i="5"/>
  <c r="K26" i="5"/>
  <c r="K28" i="5"/>
  <c r="C25" i="18"/>
  <c r="L25" i="14"/>
  <c r="M23" i="14" s="1"/>
  <c r="L26" i="14"/>
  <c r="I29" i="14" l="1"/>
  <c r="H30" i="14"/>
  <c r="I28" i="14" s="1"/>
  <c r="H36" i="14"/>
  <c r="H38" i="14" s="1"/>
  <c r="H35" i="10" s="1"/>
  <c r="H34" i="10"/>
  <c r="H41" i="11"/>
  <c r="I32" i="14"/>
  <c r="I31" i="14"/>
  <c r="I36" i="14" s="1"/>
  <c r="I38" i="14" s="1"/>
  <c r="I35" i="10" s="1"/>
  <c r="I33" i="14"/>
  <c r="I35" i="14" s="1"/>
  <c r="I37" i="14" s="1"/>
  <c r="K88" i="5"/>
  <c r="K22" i="6" s="1"/>
  <c r="K30" i="6" s="1"/>
  <c r="J15" i="11"/>
  <c r="G139" i="18"/>
  <c r="N61" i="5"/>
  <c r="M63" i="5"/>
  <c r="M66" i="5"/>
  <c r="M68" i="5"/>
  <c r="E27" i="18"/>
  <c r="P52" i="5"/>
  <c r="O54" i="5"/>
  <c r="O59" i="5" s="1"/>
  <c r="O64" i="5" s="1"/>
  <c r="H88" i="15"/>
  <c r="E89" i="15"/>
  <c r="M41" i="5"/>
  <c r="L43" i="5"/>
  <c r="L83" i="5" s="1"/>
  <c r="L19" i="6" s="1"/>
  <c r="L27" i="6" s="1"/>
  <c r="L46" i="5"/>
  <c r="L86" i="5" s="1"/>
  <c r="L21" i="6" s="1"/>
  <c r="L29" i="6" s="1"/>
  <c r="L48" i="5"/>
  <c r="L88" i="5" s="1"/>
  <c r="L22" i="6" s="1"/>
  <c r="L30" i="6" s="1"/>
  <c r="L81" i="5"/>
  <c r="L18" i="6" s="1"/>
  <c r="D26" i="18"/>
  <c r="K12" i="11"/>
  <c r="D140" i="18"/>
  <c r="K14" i="11"/>
  <c r="F140" i="18"/>
  <c r="K34" i="6"/>
  <c r="K140" i="18" s="1"/>
  <c r="K26" i="6"/>
  <c r="K31" i="6"/>
  <c r="K32" i="6"/>
  <c r="I140" i="18" s="1"/>
  <c r="K33" i="6"/>
  <c r="J140" i="18" s="1"/>
  <c r="K12" i="7"/>
  <c r="K20" i="11" s="1"/>
  <c r="K41" i="9"/>
  <c r="K10" i="7"/>
  <c r="J11" i="11"/>
  <c r="C139" i="18"/>
  <c r="J36" i="6"/>
  <c r="J29" i="14" s="1"/>
  <c r="H139" i="18"/>
  <c r="J47" i="9"/>
  <c r="J34" i="11"/>
  <c r="J18" i="11"/>
  <c r="I37" i="6"/>
  <c r="I16" i="11"/>
  <c r="I25" i="11"/>
  <c r="I28" i="10"/>
  <c r="H26" i="10"/>
  <c r="H10" i="11"/>
  <c r="H11" i="7"/>
  <c r="G15" i="7"/>
  <c r="G19" i="11"/>
  <c r="C65" i="16"/>
  <c r="F29" i="10"/>
  <c r="F36" i="10" s="1"/>
  <c r="D185" i="18" s="1"/>
  <c r="F17" i="11"/>
  <c r="E23" i="11"/>
  <c r="D63" i="16"/>
  <c r="D24" i="11"/>
  <c r="D37" i="11"/>
  <c r="C11" i="18"/>
  <c r="C183" i="18"/>
  <c r="E25" i="10"/>
  <c r="E37" i="10" s="1"/>
  <c r="P32" i="5"/>
  <c r="O34" i="5"/>
  <c r="O72" i="5"/>
  <c r="N39" i="5"/>
  <c r="N74" i="5"/>
  <c r="N12" i="6" s="1"/>
  <c r="M44" i="5"/>
  <c r="M84" i="5" s="1"/>
  <c r="M20" i="6" s="1"/>
  <c r="M79" i="5"/>
  <c r="M16" i="6" s="1"/>
  <c r="L28" i="6"/>
  <c r="L13" i="7"/>
  <c r="L21" i="11" s="1"/>
  <c r="L14" i="7"/>
  <c r="L22" i="11" s="1"/>
  <c r="K13" i="11"/>
  <c r="E140" i="18"/>
  <c r="P12" i="5"/>
  <c r="O14" i="5"/>
  <c r="O19" i="5" s="1"/>
  <c r="O24" i="5" s="1"/>
  <c r="M21" i="5"/>
  <c r="L23" i="5"/>
  <c r="L26" i="5"/>
  <c r="L28" i="5"/>
  <c r="C26" i="18"/>
  <c r="M25" i="14"/>
  <c r="N23" i="14" s="1"/>
  <c r="M26" i="14"/>
  <c r="I34" i="10" l="1"/>
  <c r="I41" i="11"/>
  <c r="I30" i="14"/>
  <c r="J28" i="14" s="1"/>
  <c r="J32" i="14"/>
  <c r="J33" i="14"/>
  <c r="J35" i="14" s="1"/>
  <c r="J37" i="14" s="1"/>
  <c r="J31" i="14"/>
  <c r="J36" i="14" s="1"/>
  <c r="J38" i="14" s="1"/>
  <c r="J35" i="10" s="1"/>
  <c r="K15" i="11"/>
  <c r="G140" i="18"/>
  <c r="O61" i="5"/>
  <c r="N63" i="5"/>
  <c r="N66" i="5"/>
  <c r="N68" i="5"/>
  <c r="E28" i="18"/>
  <c r="Q52" i="5"/>
  <c r="P54" i="5"/>
  <c r="P59" i="5" s="1"/>
  <c r="P64" i="5" s="1"/>
  <c r="H89" i="15"/>
  <c r="E90" i="15"/>
  <c r="N41" i="5"/>
  <c r="M43" i="5"/>
  <c r="M83" i="5" s="1"/>
  <c r="M19" i="6" s="1"/>
  <c r="M27" i="6" s="1"/>
  <c r="M46" i="5"/>
  <c r="M86" i="5" s="1"/>
  <c r="M21" i="6" s="1"/>
  <c r="M29" i="6" s="1"/>
  <c r="M48" i="5"/>
  <c r="M88" i="5" s="1"/>
  <c r="M22" i="6" s="1"/>
  <c r="M30" i="6" s="1"/>
  <c r="M81" i="5"/>
  <c r="M18" i="6" s="1"/>
  <c r="D27" i="18"/>
  <c r="L12" i="11"/>
  <c r="D141" i="18"/>
  <c r="L14" i="11"/>
  <c r="F141" i="18"/>
  <c r="L15" i="11"/>
  <c r="G141" i="18"/>
  <c r="L34" i="6"/>
  <c r="K141" i="18" s="1"/>
  <c r="L26" i="6"/>
  <c r="L31" i="6"/>
  <c r="L32" i="6"/>
  <c r="I141" i="18" s="1"/>
  <c r="L33" i="6"/>
  <c r="J141" i="18" s="1"/>
  <c r="L10" i="7"/>
  <c r="L41" i="9"/>
  <c r="L12" i="7"/>
  <c r="L20" i="11" s="1"/>
  <c r="K11" i="11"/>
  <c r="C140" i="18"/>
  <c r="K36" i="6"/>
  <c r="K29" i="14" s="1"/>
  <c r="H140" i="18"/>
  <c r="K47" i="9"/>
  <c r="K34" i="11"/>
  <c r="K18" i="11"/>
  <c r="J37" i="6"/>
  <c r="J16" i="11"/>
  <c r="J25" i="11"/>
  <c r="J28" i="10"/>
  <c r="I26" i="10"/>
  <c r="I10" i="11"/>
  <c r="D8" i="18"/>
  <c r="I11" i="7"/>
  <c r="C66" i="16"/>
  <c r="H15" i="7"/>
  <c r="H19" i="11"/>
  <c r="G17" i="11"/>
  <c r="G29" i="10"/>
  <c r="G36" i="10" s="1"/>
  <c r="D186" i="18" s="1"/>
  <c r="F23" i="11"/>
  <c r="D64" i="16"/>
  <c r="E24" i="11"/>
  <c r="E37" i="11"/>
  <c r="C9" i="18"/>
  <c r="D40" i="11"/>
  <c r="D42" i="11" s="1"/>
  <c r="D38" i="11"/>
  <c r="C184" i="18"/>
  <c r="F25" i="10"/>
  <c r="F37" i="10" s="1"/>
  <c r="Q32" i="5"/>
  <c r="P34" i="5"/>
  <c r="P72" i="5"/>
  <c r="P10" i="6" s="1"/>
  <c r="O39" i="5"/>
  <c r="O74" i="5"/>
  <c r="O12" i="6" s="1"/>
  <c r="O10" i="6"/>
  <c r="C12" i="16"/>
  <c r="N44" i="5"/>
  <c r="N84" i="5" s="1"/>
  <c r="N20" i="6" s="1"/>
  <c r="N79" i="5"/>
  <c r="N16" i="6" s="1"/>
  <c r="M28" i="6"/>
  <c r="M14" i="7"/>
  <c r="M22" i="11" s="1"/>
  <c r="M13" i="7"/>
  <c r="M21" i="11" s="1"/>
  <c r="L13" i="11"/>
  <c r="E141" i="18"/>
  <c r="Q12" i="5"/>
  <c r="P14" i="5"/>
  <c r="P19" i="5" s="1"/>
  <c r="P24" i="5" s="1"/>
  <c r="N21" i="5"/>
  <c r="M23" i="5"/>
  <c r="M26" i="5"/>
  <c r="M28" i="5"/>
  <c r="C27" i="18"/>
  <c r="N25" i="14"/>
  <c r="O23" i="14" s="1"/>
  <c r="N26" i="14"/>
  <c r="J30" i="14" l="1"/>
  <c r="K28" i="14" s="1"/>
  <c r="J34" i="10"/>
  <c r="J41" i="11"/>
  <c r="K32" i="14"/>
  <c r="K33" i="14"/>
  <c r="K35" i="14" s="1"/>
  <c r="K37" i="14" s="1"/>
  <c r="K31" i="14"/>
  <c r="P61" i="5"/>
  <c r="O63" i="5"/>
  <c r="O66" i="5"/>
  <c r="O68" i="5"/>
  <c r="E29" i="18"/>
  <c r="R52" i="5"/>
  <c r="Q54" i="5"/>
  <c r="Q59" i="5" s="1"/>
  <c r="Q64" i="5" s="1"/>
  <c r="H90" i="15"/>
  <c r="E91" i="15"/>
  <c r="O41" i="5"/>
  <c r="N43" i="5"/>
  <c r="N83" i="5" s="1"/>
  <c r="N19" i="6" s="1"/>
  <c r="N27" i="6" s="1"/>
  <c r="N46" i="5"/>
  <c r="N86" i="5" s="1"/>
  <c r="N21" i="6" s="1"/>
  <c r="N29" i="6" s="1"/>
  <c r="N48" i="5"/>
  <c r="N88" i="5" s="1"/>
  <c r="N22" i="6" s="1"/>
  <c r="N30" i="6" s="1"/>
  <c r="N81" i="5"/>
  <c r="N18" i="6" s="1"/>
  <c r="D28" i="18"/>
  <c r="M12" i="11"/>
  <c r="D142" i="18"/>
  <c r="M14" i="11"/>
  <c r="F142" i="18"/>
  <c r="M15" i="11"/>
  <c r="G142" i="18"/>
  <c r="M34" i="6"/>
  <c r="K142" i="18" s="1"/>
  <c r="M26" i="6"/>
  <c r="M31" i="6"/>
  <c r="M32" i="6"/>
  <c r="I142" i="18" s="1"/>
  <c r="M33" i="6"/>
  <c r="J142" i="18" s="1"/>
  <c r="M12" i="7"/>
  <c r="M20" i="11" s="1"/>
  <c r="M41" i="9"/>
  <c r="M10" i="7"/>
  <c r="L11" i="11"/>
  <c r="C141" i="18"/>
  <c r="L36" i="6"/>
  <c r="L29" i="14" s="1"/>
  <c r="H141" i="18"/>
  <c r="L18" i="11"/>
  <c r="L47" i="9"/>
  <c r="L34" i="11"/>
  <c r="K16" i="11"/>
  <c r="K37" i="6"/>
  <c r="K25" i="11"/>
  <c r="K28" i="10"/>
  <c r="J26" i="10"/>
  <c r="J10" i="11"/>
  <c r="J11" i="7"/>
  <c r="C67" i="16"/>
  <c r="I15" i="7"/>
  <c r="I19" i="11"/>
  <c r="H29" i="10"/>
  <c r="H36" i="10" s="1"/>
  <c r="D187" i="18" s="1"/>
  <c r="H17" i="11"/>
  <c r="G23" i="11"/>
  <c r="D65" i="16"/>
  <c r="F24" i="11"/>
  <c r="F37" i="11"/>
  <c r="E38" i="11"/>
  <c r="E40" i="11"/>
  <c r="E42" i="11" s="1"/>
  <c r="D43" i="11"/>
  <c r="D44" i="11" s="1"/>
  <c r="C10" i="18" s="1"/>
  <c r="C185" i="18"/>
  <c r="G25" i="10"/>
  <c r="G37" i="10" s="1"/>
  <c r="R32" i="5"/>
  <c r="Q34" i="5"/>
  <c r="Q72" i="5"/>
  <c r="Q10" i="6" s="1"/>
  <c r="P39" i="5"/>
  <c r="P74" i="5"/>
  <c r="P12" i="6" s="1"/>
  <c r="O44" i="5"/>
  <c r="O84" i="5" s="1"/>
  <c r="O79" i="5"/>
  <c r="N28" i="6"/>
  <c r="N14" i="7"/>
  <c r="N22" i="11" s="1"/>
  <c r="N13" i="7"/>
  <c r="N21" i="11" s="1"/>
  <c r="M13" i="11"/>
  <c r="E142" i="18"/>
  <c r="R12" i="5"/>
  <c r="Q14" i="5"/>
  <c r="Q19" i="5" s="1"/>
  <c r="Q24" i="5" s="1"/>
  <c r="O21" i="5"/>
  <c r="N23" i="5"/>
  <c r="N26" i="5"/>
  <c r="N28" i="5"/>
  <c r="C28" i="18"/>
  <c r="O25" i="14"/>
  <c r="P23" i="14" s="1"/>
  <c r="O26" i="14"/>
  <c r="K41" i="11" l="1"/>
  <c r="K34" i="10"/>
  <c r="K30" i="14"/>
  <c r="L28" i="14" s="1"/>
  <c r="K36" i="14"/>
  <c r="K38" i="14" s="1"/>
  <c r="K35" i="10" s="1"/>
  <c r="L32" i="14"/>
  <c r="L31" i="14"/>
  <c r="L36" i="14" s="1"/>
  <c r="L38" i="14" s="1"/>
  <c r="L35" i="10" s="1"/>
  <c r="L33" i="14"/>
  <c r="L35" i="14" s="1"/>
  <c r="L37" i="14" s="1"/>
  <c r="Q61" i="5"/>
  <c r="P63" i="5"/>
  <c r="P66" i="5"/>
  <c r="P68" i="5"/>
  <c r="E30" i="18"/>
  <c r="S52" i="5"/>
  <c r="R54" i="5"/>
  <c r="R59" i="5" s="1"/>
  <c r="R64" i="5" s="1"/>
  <c r="H91" i="15"/>
  <c r="E92" i="15"/>
  <c r="P41" i="5"/>
  <c r="O43" i="5"/>
  <c r="O83" i="5" s="1"/>
  <c r="O46" i="5"/>
  <c r="O86" i="5" s="1"/>
  <c r="O48" i="5"/>
  <c r="O88" i="5" s="1"/>
  <c r="O81" i="5"/>
  <c r="D29" i="18"/>
  <c r="A5" i="5"/>
  <c r="N12" i="11"/>
  <c r="D143" i="18"/>
  <c r="N14" i="11"/>
  <c r="F143" i="18"/>
  <c r="N15" i="11"/>
  <c r="G143" i="18"/>
  <c r="N34" i="6"/>
  <c r="K143" i="18" s="1"/>
  <c r="N26" i="6"/>
  <c r="N31" i="6"/>
  <c r="N32" i="6"/>
  <c r="I143" i="18" s="1"/>
  <c r="N33" i="6"/>
  <c r="J143" i="18" s="1"/>
  <c r="N10" i="7"/>
  <c r="N41" i="9"/>
  <c r="N12" i="7"/>
  <c r="N20" i="11" s="1"/>
  <c r="M11" i="11"/>
  <c r="C142" i="18"/>
  <c r="M36" i="6"/>
  <c r="H142" i="18"/>
  <c r="M47" i="9"/>
  <c r="M34" i="11"/>
  <c r="M18" i="11"/>
  <c r="L37" i="6"/>
  <c r="L16" i="11"/>
  <c r="L25" i="11"/>
  <c r="L28" i="10"/>
  <c r="K11" i="7"/>
  <c r="K26" i="10"/>
  <c r="K10" i="11"/>
  <c r="C68" i="16"/>
  <c r="J15" i="7"/>
  <c r="J19" i="11"/>
  <c r="I29" i="10"/>
  <c r="I36" i="10" s="1"/>
  <c r="D188" i="18" s="1"/>
  <c r="I17" i="11"/>
  <c r="H23" i="11"/>
  <c r="D66" i="16"/>
  <c r="G24" i="11"/>
  <c r="G37" i="11"/>
  <c r="F38" i="11"/>
  <c r="F40" i="11"/>
  <c r="F42" i="11" s="1"/>
  <c r="E43" i="11"/>
  <c r="E44" i="11" s="1"/>
  <c r="C186" i="18"/>
  <c r="H25" i="10"/>
  <c r="H37" i="10" s="1"/>
  <c r="S32" i="5"/>
  <c r="R34" i="5"/>
  <c r="R72" i="5"/>
  <c r="R10" i="6" s="1"/>
  <c r="Q39" i="5"/>
  <c r="Q74" i="5"/>
  <c r="Q12" i="6" s="1"/>
  <c r="P44" i="5"/>
  <c r="P84" i="5" s="1"/>
  <c r="P20" i="6" s="1"/>
  <c r="P79" i="5"/>
  <c r="P16" i="6" s="1"/>
  <c r="E10" i="17"/>
  <c r="O20" i="6"/>
  <c r="C17" i="16"/>
  <c r="O16" i="6"/>
  <c r="C10" i="15" s="1"/>
  <c r="C12" i="15" s="1"/>
  <c r="C14" i="16"/>
  <c r="N13" i="11"/>
  <c r="E143" i="18"/>
  <c r="S12" i="5"/>
  <c r="R14" i="5"/>
  <c r="R19" i="5" s="1"/>
  <c r="R24" i="5" s="1"/>
  <c r="P21" i="5"/>
  <c r="O23" i="5"/>
  <c r="O26" i="5"/>
  <c r="O28" i="5"/>
  <c r="C29" i="18"/>
  <c r="P25" i="14"/>
  <c r="Q23" i="14" s="1"/>
  <c r="P26" i="14"/>
  <c r="M29" i="14" l="1"/>
  <c r="L34" i="10"/>
  <c r="L41" i="11"/>
  <c r="L30" i="14"/>
  <c r="M28" i="14" s="1"/>
  <c r="R61" i="5"/>
  <c r="Q63" i="5"/>
  <c r="Q66" i="5"/>
  <c r="Q68" i="5"/>
  <c r="E31" i="18"/>
  <c r="T52" i="5"/>
  <c r="S54" i="5"/>
  <c r="S59" i="5" s="1"/>
  <c r="S64" i="5" s="1"/>
  <c r="H92" i="15"/>
  <c r="E93" i="15"/>
  <c r="Q41" i="5"/>
  <c r="P43" i="5"/>
  <c r="P46" i="5"/>
  <c r="P48" i="5"/>
  <c r="P81" i="5"/>
  <c r="P18" i="6" s="1"/>
  <c r="D30" i="18"/>
  <c r="O19" i="6"/>
  <c r="O27" i="6" s="1"/>
  <c r="C16" i="16"/>
  <c r="E9" i="17"/>
  <c r="E11" i="17"/>
  <c r="O21" i="6"/>
  <c r="O29" i="6" s="1"/>
  <c r="C18" i="16"/>
  <c r="E12" i="17"/>
  <c r="O22" i="6"/>
  <c r="O30" i="6" s="1"/>
  <c r="C19" i="16"/>
  <c r="O18" i="6"/>
  <c r="B7" i="16"/>
  <c r="C15" i="16"/>
  <c r="E6" i="17"/>
  <c r="N11" i="11"/>
  <c r="C143" i="18"/>
  <c r="N36" i="6"/>
  <c r="H143" i="18"/>
  <c r="N18" i="11"/>
  <c r="N47" i="9"/>
  <c r="N34" i="11"/>
  <c r="M37" i="6"/>
  <c r="M16" i="11"/>
  <c r="M25" i="11"/>
  <c r="M28" i="10"/>
  <c r="L26" i="10"/>
  <c r="L10" i="11"/>
  <c r="L11" i="7"/>
  <c r="K15" i="7"/>
  <c r="K19" i="11"/>
  <c r="C69" i="16"/>
  <c r="J17" i="11"/>
  <c r="J29" i="10"/>
  <c r="J36" i="10" s="1"/>
  <c r="D189" i="18" s="1"/>
  <c r="I23" i="11"/>
  <c r="D67" i="16"/>
  <c r="H24" i="11"/>
  <c r="H37" i="11"/>
  <c r="G38" i="11"/>
  <c r="G40" i="11"/>
  <c r="G42" i="11" s="1"/>
  <c r="F43" i="11"/>
  <c r="F44" i="11" s="1"/>
  <c r="C187" i="18"/>
  <c r="I25" i="10"/>
  <c r="I37" i="10" s="1"/>
  <c r="T32" i="5"/>
  <c r="S34" i="5"/>
  <c r="S72" i="5"/>
  <c r="S10" i="6" s="1"/>
  <c r="R39" i="5"/>
  <c r="R74" i="5"/>
  <c r="R12" i="6" s="1"/>
  <c r="Q44" i="5"/>
  <c r="Q84" i="5" s="1"/>
  <c r="Q20" i="6" s="1"/>
  <c r="Q79" i="5"/>
  <c r="Q16" i="6" s="1"/>
  <c r="P28" i="6"/>
  <c r="P14" i="7"/>
  <c r="P22" i="11" s="1"/>
  <c r="P13" i="7"/>
  <c r="P21" i="11" s="1"/>
  <c r="F10" i="17"/>
  <c r="G10" i="17" s="1"/>
  <c r="H10" i="17"/>
  <c r="O28" i="6"/>
  <c r="O13" i="7"/>
  <c r="O21" i="11" s="1"/>
  <c r="D23" i="12" s="1"/>
  <c r="O14" i="7"/>
  <c r="O22" i="11" s="1"/>
  <c r="D24" i="12" s="1"/>
  <c r="C51" i="15"/>
  <c r="C41" i="16"/>
  <c r="C33" i="15"/>
  <c r="T12" i="5"/>
  <c r="S14" i="5"/>
  <c r="S19" i="5" s="1"/>
  <c r="S24" i="5" s="1"/>
  <c r="Q21" i="5"/>
  <c r="P23" i="5"/>
  <c r="P26" i="5"/>
  <c r="P28" i="5"/>
  <c r="C30" i="18"/>
  <c r="Q25" i="14"/>
  <c r="R23" i="14" s="1"/>
  <c r="Q26" i="14"/>
  <c r="M32" i="14" l="1"/>
  <c r="N29" i="14" s="1"/>
  <c r="M33" i="14"/>
  <c r="M35" i="14" s="1"/>
  <c r="M37" i="14" s="1"/>
  <c r="M34" i="10" s="1"/>
  <c r="M31" i="14"/>
  <c r="M41" i="11"/>
  <c r="N32" i="14"/>
  <c r="P83" i="5"/>
  <c r="P19" i="6" s="1"/>
  <c r="P27" i="6" s="1"/>
  <c r="P86" i="5"/>
  <c r="P21" i="6" s="1"/>
  <c r="P29" i="6" s="1"/>
  <c r="P88" i="5"/>
  <c r="P22" i="6" s="1"/>
  <c r="P30" i="6" s="1"/>
  <c r="S61" i="5"/>
  <c r="R63" i="5"/>
  <c r="R66" i="5"/>
  <c r="R68" i="5"/>
  <c r="E32" i="18"/>
  <c r="U52" i="5"/>
  <c r="T54" i="5"/>
  <c r="T59" i="5" s="1"/>
  <c r="T64" i="5" s="1"/>
  <c r="H93" i="15"/>
  <c r="E94" i="15"/>
  <c r="R41" i="5"/>
  <c r="Q43" i="5"/>
  <c r="Q83" i="5" s="1"/>
  <c r="Q19" i="6" s="1"/>
  <c r="Q27" i="6" s="1"/>
  <c r="Q46" i="5"/>
  <c r="Q86" i="5" s="1"/>
  <c r="Q21" i="6" s="1"/>
  <c r="Q29" i="6" s="1"/>
  <c r="Q48" i="5"/>
  <c r="Q88" i="5" s="1"/>
  <c r="Q22" i="6" s="1"/>
  <c r="Q30" i="6" s="1"/>
  <c r="Q81" i="5"/>
  <c r="Q18" i="6" s="1"/>
  <c r="D31" i="18"/>
  <c r="P34" i="6"/>
  <c r="K145" i="18" s="1"/>
  <c r="P26" i="6"/>
  <c r="P31" i="6"/>
  <c r="P32" i="6"/>
  <c r="I145" i="18" s="1"/>
  <c r="P33" i="6"/>
  <c r="J145" i="18" s="1"/>
  <c r="P10" i="7"/>
  <c r="P12" i="7"/>
  <c r="P20" i="11" s="1"/>
  <c r="P41" i="9"/>
  <c r="O12" i="11"/>
  <c r="D8" i="12" s="1"/>
  <c r="D144" i="18"/>
  <c r="F9" i="17"/>
  <c r="F11" i="17"/>
  <c r="O14" i="11"/>
  <c r="D10" i="12" s="1"/>
  <c r="F144" i="18"/>
  <c r="F12" i="17"/>
  <c r="O15" i="11"/>
  <c r="D11" i="12" s="1"/>
  <c r="G144" i="18"/>
  <c r="O34" i="6"/>
  <c r="K144" i="18" s="1"/>
  <c r="O26" i="6"/>
  <c r="O31" i="6"/>
  <c r="O32" i="6"/>
  <c r="I144" i="18" s="1"/>
  <c r="O33" i="6"/>
  <c r="J144" i="18" s="1"/>
  <c r="O41" i="9"/>
  <c r="O10" i="7"/>
  <c r="O12" i="7"/>
  <c r="O20" i="11" s="1"/>
  <c r="D22" i="12" s="1"/>
  <c r="E7" i="18"/>
  <c r="F6" i="17"/>
  <c r="N16" i="11"/>
  <c r="N37" i="6"/>
  <c r="N25" i="11"/>
  <c r="N28" i="10"/>
  <c r="M26" i="10"/>
  <c r="M10" i="11"/>
  <c r="M11" i="7"/>
  <c r="C70" i="16"/>
  <c r="L15" i="7"/>
  <c r="L19" i="11"/>
  <c r="K17" i="11"/>
  <c r="K29" i="10"/>
  <c r="K36" i="10" s="1"/>
  <c r="D190" i="18" s="1"/>
  <c r="J23" i="11"/>
  <c r="D68" i="16"/>
  <c r="I24" i="11"/>
  <c r="I37" i="11"/>
  <c r="H38" i="11"/>
  <c r="H40" i="11"/>
  <c r="H42" i="11" s="1"/>
  <c r="G43" i="11"/>
  <c r="G44" i="11" s="1"/>
  <c r="D11" i="18"/>
  <c r="C188" i="18"/>
  <c r="J25" i="10"/>
  <c r="J37" i="10" s="1"/>
  <c r="U32" i="5"/>
  <c r="T34" i="5"/>
  <c r="T72" i="5"/>
  <c r="T10" i="6" s="1"/>
  <c r="S39" i="5"/>
  <c r="S74" i="5"/>
  <c r="S12" i="6" s="1"/>
  <c r="R44" i="5"/>
  <c r="R84" i="5" s="1"/>
  <c r="R20" i="6" s="1"/>
  <c r="R79" i="5"/>
  <c r="R16" i="6" s="1"/>
  <c r="Q28" i="6"/>
  <c r="Q13" i="7"/>
  <c r="Q21" i="11" s="1"/>
  <c r="Q14" i="7"/>
  <c r="Q22" i="11" s="1"/>
  <c r="P13" i="11"/>
  <c r="E145" i="18"/>
  <c r="O13" i="11"/>
  <c r="D9" i="12" s="1"/>
  <c r="E144" i="18"/>
  <c r="G51" i="15"/>
  <c r="E51" i="15"/>
  <c r="E52" i="15" s="1"/>
  <c r="C55" i="16"/>
  <c r="C47" i="16"/>
  <c r="U12" i="5"/>
  <c r="T14" i="5"/>
  <c r="T19" i="5" s="1"/>
  <c r="T24" i="5" s="1"/>
  <c r="R21" i="5"/>
  <c r="Q23" i="5"/>
  <c r="Q26" i="5"/>
  <c r="Q28" i="5"/>
  <c r="C31" i="18"/>
  <c r="R25" i="14"/>
  <c r="S23" i="14" s="1"/>
  <c r="R26" i="14"/>
  <c r="N33" i="14" l="1"/>
  <c r="N35" i="14" s="1"/>
  <c r="N37" i="14" s="1"/>
  <c r="N31" i="14"/>
  <c r="M30" i="14"/>
  <c r="N28" i="14" s="1"/>
  <c r="M36" i="14"/>
  <c r="M38" i="14" s="1"/>
  <c r="M35" i="10" s="1"/>
  <c r="P12" i="11"/>
  <c r="D145" i="18"/>
  <c r="N34" i="10"/>
  <c r="N41" i="11"/>
  <c r="N30" i="14"/>
  <c r="O28" i="14" s="1"/>
  <c r="N36" i="14"/>
  <c r="N38" i="14" s="1"/>
  <c r="N35" i="10" s="1"/>
  <c r="G9" i="17"/>
  <c r="H9" i="17"/>
  <c r="P14" i="11"/>
  <c r="F145" i="18"/>
  <c r="P15" i="11"/>
  <c r="G145" i="18"/>
  <c r="T61" i="5"/>
  <c r="S63" i="5"/>
  <c r="S66" i="5"/>
  <c r="S68" i="5"/>
  <c r="E33" i="18"/>
  <c r="V52" i="5"/>
  <c r="U54" i="5"/>
  <c r="U59" i="5" s="1"/>
  <c r="U64" i="5" s="1"/>
  <c r="H94" i="15"/>
  <c r="E95" i="15"/>
  <c r="S41" i="5"/>
  <c r="R43" i="5"/>
  <c r="R83" i="5" s="1"/>
  <c r="R19" i="6" s="1"/>
  <c r="R27" i="6" s="1"/>
  <c r="R46" i="5"/>
  <c r="R48" i="5"/>
  <c r="R81" i="5"/>
  <c r="R18" i="6" s="1"/>
  <c r="D32" i="18"/>
  <c r="Q12" i="11"/>
  <c r="D146" i="18"/>
  <c r="Q14" i="11"/>
  <c r="F146" i="18"/>
  <c r="Q15" i="11"/>
  <c r="G146" i="18"/>
  <c r="Q34" i="6"/>
  <c r="K146" i="18" s="1"/>
  <c r="Q26" i="6"/>
  <c r="Q31" i="6"/>
  <c r="Q32" i="6"/>
  <c r="I146" i="18" s="1"/>
  <c r="Q33" i="6"/>
  <c r="J146" i="18" s="1"/>
  <c r="Q41" i="9"/>
  <c r="Q12" i="7"/>
  <c r="Q20" i="11" s="1"/>
  <c r="Q10" i="7"/>
  <c r="P11" i="11"/>
  <c r="C145" i="18"/>
  <c r="P36" i="6"/>
  <c r="H145" i="18"/>
  <c r="P18" i="11"/>
  <c r="P47" i="9"/>
  <c r="P34" i="11"/>
  <c r="O11" i="11"/>
  <c r="D7" i="12" s="1"/>
  <c r="C144" i="18"/>
  <c r="O36" i="6"/>
  <c r="O29" i="14" s="1"/>
  <c r="H144" i="18"/>
  <c r="O47" i="9"/>
  <c r="O34" i="11"/>
  <c r="D34" i="12" s="1"/>
  <c r="O18" i="11"/>
  <c r="D20" i="12" s="1"/>
  <c r="N11" i="7"/>
  <c r="N26" i="10"/>
  <c r="N10" i="11"/>
  <c r="C71" i="16"/>
  <c r="M15" i="7"/>
  <c r="M19" i="11"/>
  <c r="L29" i="10"/>
  <c r="L36" i="10" s="1"/>
  <c r="D191" i="18" s="1"/>
  <c r="L17" i="11"/>
  <c r="K23" i="11"/>
  <c r="D69" i="16"/>
  <c r="J24" i="11"/>
  <c r="J37" i="11"/>
  <c r="D9" i="18"/>
  <c r="I40" i="11"/>
  <c r="I42" i="11" s="1"/>
  <c r="I38" i="11"/>
  <c r="H43" i="11"/>
  <c r="H44" i="11" s="1"/>
  <c r="C189" i="18"/>
  <c r="K25" i="10"/>
  <c r="K37" i="10" s="1"/>
  <c r="V32" i="5"/>
  <c r="U34" i="5"/>
  <c r="U72" i="5"/>
  <c r="U10" i="6" s="1"/>
  <c r="T39" i="5"/>
  <c r="T74" i="5"/>
  <c r="T12" i="6" s="1"/>
  <c r="S44" i="5"/>
  <c r="S84" i="5" s="1"/>
  <c r="S20" i="6" s="1"/>
  <c r="S79" i="5"/>
  <c r="S16" i="6" s="1"/>
  <c r="R28" i="6"/>
  <c r="R13" i="7"/>
  <c r="R21" i="11" s="1"/>
  <c r="R14" i="7"/>
  <c r="R22" i="11" s="1"/>
  <c r="Q13" i="11"/>
  <c r="E146" i="18"/>
  <c r="H52" i="15"/>
  <c r="E53" i="15"/>
  <c r="V12" i="5"/>
  <c r="U14" i="5"/>
  <c r="U19" i="5" s="1"/>
  <c r="U24" i="5" s="1"/>
  <c r="S21" i="5"/>
  <c r="R23" i="5"/>
  <c r="R26" i="5"/>
  <c r="R28" i="5"/>
  <c r="C32" i="18"/>
  <c r="S25" i="14"/>
  <c r="T23" i="14" s="1"/>
  <c r="S26" i="14"/>
  <c r="G11" i="17"/>
  <c r="H11" i="17"/>
  <c r="G12" i="17"/>
  <c r="H12" i="17"/>
  <c r="G6" i="17"/>
  <c r="H6" i="17"/>
  <c r="O32" i="14" l="1"/>
  <c r="O33" i="14"/>
  <c r="O35" i="14" s="1"/>
  <c r="O37" i="14" s="1"/>
  <c r="O31" i="14"/>
  <c r="R86" i="5"/>
  <c r="R21" i="6" s="1"/>
  <c r="R29" i="6" s="1"/>
  <c r="R88" i="5"/>
  <c r="R22" i="6" s="1"/>
  <c r="R30" i="6" s="1"/>
  <c r="U61" i="5"/>
  <c r="T63" i="5"/>
  <c r="T66" i="5"/>
  <c r="T68" i="5"/>
  <c r="E34" i="18"/>
  <c r="W52" i="5"/>
  <c r="V54" i="5"/>
  <c r="V59" i="5" s="1"/>
  <c r="V64" i="5" s="1"/>
  <c r="H95" i="15"/>
  <c r="E96" i="15"/>
  <c r="T41" i="5"/>
  <c r="S43" i="5"/>
  <c r="S83" i="5" s="1"/>
  <c r="S19" i="6" s="1"/>
  <c r="S27" i="6" s="1"/>
  <c r="S46" i="5"/>
  <c r="S86" i="5" s="1"/>
  <c r="S21" i="6" s="1"/>
  <c r="S29" i="6" s="1"/>
  <c r="S48" i="5"/>
  <c r="S88" i="5" s="1"/>
  <c r="S22" i="6" s="1"/>
  <c r="S30" i="6" s="1"/>
  <c r="S81" i="5"/>
  <c r="S18" i="6" s="1"/>
  <c r="D33" i="18"/>
  <c r="R12" i="11"/>
  <c r="D147" i="18"/>
  <c r="R34" i="6"/>
  <c r="K147" i="18" s="1"/>
  <c r="R26" i="6"/>
  <c r="R31" i="6"/>
  <c r="R32" i="6"/>
  <c r="I147" i="18" s="1"/>
  <c r="R33" i="6"/>
  <c r="J147" i="18" s="1"/>
  <c r="R10" i="7"/>
  <c r="R12" i="7"/>
  <c r="R20" i="11" s="1"/>
  <c r="R41" i="9"/>
  <c r="Q11" i="11"/>
  <c r="C146" i="18"/>
  <c r="Q36" i="6"/>
  <c r="H146" i="18"/>
  <c r="Q47" i="9"/>
  <c r="Q34" i="11"/>
  <c r="Q18" i="11"/>
  <c r="P37" i="6"/>
  <c r="P16" i="11"/>
  <c r="P25" i="11"/>
  <c r="P28" i="10"/>
  <c r="D5" i="6"/>
  <c r="O16" i="11"/>
  <c r="D12" i="12" s="1"/>
  <c r="D13" i="12" s="1"/>
  <c r="D17" i="12" s="1"/>
  <c r="O37" i="6"/>
  <c r="B4" i="12" s="1"/>
  <c r="O25" i="11"/>
  <c r="O28" i="10"/>
  <c r="D37" i="12"/>
  <c r="N15" i="7"/>
  <c r="N19" i="11"/>
  <c r="C72" i="16"/>
  <c r="M29" i="10"/>
  <c r="M36" i="10" s="1"/>
  <c r="D192" i="18" s="1"/>
  <c r="M17" i="11"/>
  <c r="L23" i="11"/>
  <c r="D70" i="16"/>
  <c r="K24" i="11"/>
  <c r="K37" i="11"/>
  <c r="J38" i="11"/>
  <c r="J40" i="11"/>
  <c r="J42" i="11" s="1"/>
  <c r="I43" i="11"/>
  <c r="I44" i="11" s="1"/>
  <c r="D10" i="18" s="1"/>
  <c r="C190" i="18"/>
  <c r="L25" i="10"/>
  <c r="L37" i="10" s="1"/>
  <c r="W32" i="5"/>
  <c r="V34" i="5"/>
  <c r="V72" i="5"/>
  <c r="V10" i="6" s="1"/>
  <c r="U39" i="5"/>
  <c r="U74" i="5"/>
  <c r="U12" i="6" s="1"/>
  <c r="T44" i="5"/>
  <c r="T84" i="5" s="1"/>
  <c r="T20" i="6" s="1"/>
  <c r="T79" i="5"/>
  <c r="T16" i="6" s="1"/>
  <c r="S28" i="6"/>
  <c r="S13" i="7"/>
  <c r="S21" i="11" s="1"/>
  <c r="S14" i="7"/>
  <c r="S22" i="11" s="1"/>
  <c r="R13" i="11"/>
  <c r="E147" i="18"/>
  <c r="H53" i="15"/>
  <c r="E54" i="15"/>
  <c r="W12" i="5"/>
  <c r="V14" i="5"/>
  <c r="V19" i="5" s="1"/>
  <c r="V24" i="5" s="1"/>
  <c r="T21" i="5"/>
  <c r="S23" i="5"/>
  <c r="S26" i="5"/>
  <c r="S28" i="5"/>
  <c r="C33" i="18"/>
  <c r="T25" i="14"/>
  <c r="U23" i="14" s="1"/>
  <c r="T26" i="14"/>
  <c r="R15" i="11" l="1"/>
  <c r="G147" i="18"/>
  <c r="P29" i="14"/>
  <c r="P32" i="14" s="1"/>
  <c r="O41" i="11"/>
  <c r="O34" i="10"/>
  <c r="D44" i="12" s="1"/>
  <c r="O30" i="14"/>
  <c r="P28" i="14" s="1"/>
  <c r="O36" i="14"/>
  <c r="O38" i="14" s="1"/>
  <c r="O35" i="10" s="1"/>
  <c r="D45" i="12" s="1"/>
  <c r="R14" i="11"/>
  <c r="F147" i="18"/>
  <c r="C21" i="13"/>
  <c r="C37" i="13"/>
  <c r="V61" i="5"/>
  <c r="U63" i="5"/>
  <c r="U66" i="5"/>
  <c r="U68" i="5"/>
  <c r="E35" i="18"/>
  <c r="X52" i="5"/>
  <c r="W54" i="5"/>
  <c r="W59" i="5" s="1"/>
  <c r="W64" i="5" s="1"/>
  <c r="H96" i="15"/>
  <c r="E97" i="15"/>
  <c r="U41" i="5"/>
  <c r="T43" i="5"/>
  <c r="T83" i="5" s="1"/>
  <c r="T19" i="6" s="1"/>
  <c r="T27" i="6" s="1"/>
  <c r="T46" i="5"/>
  <c r="T48" i="5"/>
  <c r="T81" i="5"/>
  <c r="T18" i="6" s="1"/>
  <c r="D34" i="18"/>
  <c r="S12" i="11"/>
  <c r="D148" i="18"/>
  <c r="S14" i="11"/>
  <c r="F148" i="18"/>
  <c r="S15" i="11"/>
  <c r="G148" i="18"/>
  <c r="S34" i="6"/>
  <c r="K148" i="18" s="1"/>
  <c r="S26" i="6"/>
  <c r="S31" i="6"/>
  <c r="S32" i="6"/>
  <c r="I148" i="18" s="1"/>
  <c r="S33" i="6"/>
  <c r="J148" i="18" s="1"/>
  <c r="S10" i="7"/>
  <c r="S41" i="9"/>
  <c r="S12" i="7"/>
  <c r="S20" i="11" s="1"/>
  <c r="R11" i="11"/>
  <c r="C147" i="18"/>
  <c r="R36" i="6"/>
  <c r="H147" i="18"/>
  <c r="R18" i="11"/>
  <c r="R47" i="9"/>
  <c r="R34" i="11"/>
  <c r="Q37" i="6"/>
  <c r="Q16" i="11"/>
  <c r="Q25" i="11"/>
  <c r="Q28" i="10"/>
  <c r="P26" i="10"/>
  <c r="P10" i="11"/>
  <c r="P11" i="7"/>
  <c r="C20" i="15"/>
  <c r="O11" i="7"/>
  <c r="O26" i="10"/>
  <c r="O10" i="11"/>
  <c r="E8" i="18"/>
  <c r="C29" i="13"/>
  <c r="C27" i="16"/>
  <c r="N17" i="11"/>
  <c r="N29" i="10"/>
  <c r="M23" i="11"/>
  <c r="D71" i="16"/>
  <c r="L24" i="11"/>
  <c r="L37" i="11"/>
  <c r="K38" i="11"/>
  <c r="K40" i="11"/>
  <c r="K42" i="11" s="1"/>
  <c r="J43" i="11"/>
  <c r="J44" i="11" s="1"/>
  <c r="C191" i="18"/>
  <c r="M25" i="10"/>
  <c r="M37" i="10" s="1"/>
  <c r="X32" i="5"/>
  <c r="W34" i="5"/>
  <c r="W72" i="5"/>
  <c r="W10" i="6" s="1"/>
  <c r="V39" i="5"/>
  <c r="V74" i="5"/>
  <c r="V12" i="6" s="1"/>
  <c r="U44" i="5"/>
  <c r="U84" i="5" s="1"/>
  <c r="U20" i="6" s="1"/>
  <c r="U79" i="5"/>
  <c r="U16" i="6" s="1"/>
  <c r="T28" i="6"/>
  <c r="T14" i="7"/>
  <c r="T22" i="11" s="1"/>
  <c r="T13" i="7"/>
  <c r="T21" i="11" s="1"/>
  <c r="S13" i="11"/>
  <c r="E148" i="18"/>
  <c r="H54" i="15"/>
  <c r="E55" i="15"/>
  <c r="X12" i="5"/>
  <c r="W14" i="5"/>
  <c r="W19" i="5" s="1"/>
  <c r="W24" i="5" s="1"/>
  <c r="U21" i="5"/>
  <c r="T23" i="5"/>
  <c r="T26" i="5"/>
  <c r="T28" i="5"/>
  <c r="C34" i="18"/>
  <c r="U25" i="14"/>
  <c r="V23" i="14" s="1"/>
  <c r="U26" i="14"/>
  <c r="P31" i="14" l="1"/>
  <c r="P33" i="14"/>
  <c r="P35" i="14" s="1"/>
  <c r="P37" i="14" s="1"/>
  <c r="Q29" i="14"/>
  <c r="Q32" i="14" s="1"/>
  <c r="C18" i="13"/>
  <c r="C34" i="13"/>
  <c r="T86" i="5"/>
  <c r="T21" i="6" s="1"/>
  <c r="T29" i="6" s="1"/>
  <c r="T88" i="5"/>
  <c r="T22" i="6" s="1"/>
  <c r="T30" i="6" s="1"/>
  <c r="W61" i="5"/>
  <c r="V63" i="5"/>
  <c r="V66" i="5"/>
  <c r="V68" i="5"/>
  <c r="E36" i="18"/>
  <c r="Y52" i="5"/>
  <c r="X54" i="5"/>
  <c r="X59" i="5" s="1"/>
  <c r="X64" i="5" s="1"/>
  <c r="H97" i="15"/>
  <c r="E98" i="15"/>
  <c r="V41" i="5"/>
  <c r="U43" i="5"/>
  <c r="U46" i="5"/>
  <c r="U48" i="5"/>
  <c r="U81" i="5"/>
  <c r="U18" i="6" s="1"/>
  <c r="D35" i="18"/>
  <c r="T12" i="11"/>
  <c r="D149" i="18"/>
  <c r="T34" i="6"/>
  <c r="K149" i="18" s="1"/>
  <c r="T26" i="6"/>
  <c r="T31" i="6"/>
  <c r="T32" i="6"/>
  <c r="I149" i="18" s="1"/>
  <c r="T33" i="6"/>
  <c r="J149" i="18" s="1"/>
  <c r="T41" i="9"/>
  <c r="T12" i="7"/>
  <c r="T20" i="11" s="1"/>
  <c r="T10" i="7"/>
  <c r="S11" i="11"/>
  <c r="C148" i="18"/>
  <c r="S36" i="6"/>
  <c r="H148" i="18"/>
  <c r="S18" i="11"/>
  <c r="S47" i="9"/>
  <c r="S34" i="11"/>
  <c r="R37" i="6"/>
  <c r="R16" i="11"/>
  <c r="R25" i="11"/>
  <c r="R28" i="10"/>
  <c r="Q11" i="7"/>
  <c r="Q26" i="10"/>
  <c r="Q10" i="11"/>
  <c r="C74" i="16"/>
  <c r="P15" i="7"/>
  <c r="P19" i="11"/>
  <c r="C30" i="15"/>
  <c r="C24" i="15"/>
  <c r="O15" i="7"/>
  <c r="D5" i="7" s="1"/>
  <c r="O19" i="11"/>
  <c r="D21" i="12" s="1"/>
  <c r="C26" i="13"/>
  <c r="E7" i="17"/>
  <c r="C7" i="16"/>
  <c r="C23" i="16"/>
  <c r="C73" i="16"/>
  <c r="N23" i="11"/>
  <c r="D72" i="16"/>
  <c r="M24" i="11"/>
  <c r="M37" i="11"/>
  <c r="L38" i="11"/>
  <c r="L40" i="11"/>
  <c r="L42" i="11" s="1"/>
  <c r="K43" i="11"/>
  <c r="K44" i="11" s="1"/>
  <c r="C192" i="18"/>
  <c r="N25" i="10"/>
  <c r="Y32" i="5"/>
  <c r="X34" i="5"/>
  <c r="X72" i="5"/>
  <c r="X10" i="6" s="1"/>
  <c r="W39" i="5"/>
  <c r="W74" i="5"/>
  <c r="W12" i="6" s="1"/>
  <c r="V44" i="5"/>
  <c r="V84" i="5" s="1"/>
  <c r="V20" i="6" s="1"/>
  <c r="V79" i="5"/>
  <c r="V16" i="6" s="1"/>
  <c r="U28" i="6"/>
  <c r="U14" i="7"/>
  <c r="U22" i="11" s="1"/>
  <c r="U13" i="7"/>
  <c r="U21" i="11" s="1"/>
  <c r="T13" i="11"/>
  <c r="E149" i="18"/>
  <c r="H55" i="15"/>
  <c r="E56" i="15"/>
  <c r="Y12" i="5"/>
  <c r="X14" i="5"/>
  <c r="X19" i="5" s="1"/>
  <c r="X24" i="5" s="1"/>
  <c r="V21" i="5"/>
  <c r="U23" i="5"/>
  <c r="U26" i="5"/>
  <c r="U28" i="5"/>
  <c r="C35" i="18"/>
  <c r="V25" i="14"/>
  <c r="W23" i="14" s="1"/>
  <c r="V26" i="14"/>
  <c r="N36" i="10"/>
  <c r="D193" i="18" s="1"/>
  <c r="P30" i="14" l="1"/>
  <c r="Q28" i="14" s="1"/>
  <c r="P36" i="14"/>
  <c r="P38" i="14" s="1"/>
  <c r="P35" i="10" s="1"/>
  <c r="P34" i="10"/>
  <c r="P41" i="11"/>
  <c r="Q31" i="14"/>
  <c r="Q36" i="14" s="1"/>
  <c r="Q38" i="14" s="1"/>
  <c r="Q35" i="10" s="1"/>
  <c r="Q33" i="14"/>
  <c r="Q35" i="14" s="1"/>
  <c r="Q37" i="14" s="1"/>
  <c r="R29" i="14"/>
  <c r="R32" i="14" s="1"/>
  <c r="U83" i="5"/>
  <c r="U19" i="6" s="1"/>
  <c r="U27" i="6" s="1"/>
  <c r="U86" i="5"/>
  <c r="U21" i="6" s="1"/>
  <c r="U29" i="6" s="1"/>
  <c r="U88" i="5"/>
  <c r="U22" i="6" s="1"/>
  <c r="U30" i="6" s="1"/>
  <c r="T14" i="11"/>
  <c r="F149" i="18"/>
  <c r="T15" i="11"/>
  <c r="G149" i="18"/>
  <c r="N37" i="10"/>
  <c r="X61" i="5"/>
  <c r="W63" i="5"/>
  <c r="W66" i="5"/>
  <c r="W68" i="5"/>
  <c r="E37" i="18"/>
  <c r="Z52" i="5"/>
  <c r="Y54" i="5"/>
  <c r="Y59" i="5" s="1"/>
  <c r="Y64" i="5" s="1"/>
  <c r="H98" i="15"/>
  <c r="E99" i="15"/>
  <c r="W41" i="5"/>
  <c r="V43" i="5"/>
  <c r="V46" i="5"/>
  <c r="V48" i="5"/>
  <c r="V81" i="5"/>
  <c r="V18" i="6" s="1"/>
  <c r="D36" i="18"/>
  <c r="U34" i="6"/>
  <c r="K150" i="18" s="1"/>
  <c r="U26" i="6"/>
  <c r="U31" i="6"/>
  <c r="U32" i="6"/>
  <c r="I150" i="18" s="1"/>
  <c r="U33" i="6"/>
  <c r="J150" i="18" s="1"/>
  <c r="U10" i="7"/>
  <c r="U41" i="9"/>
  <c r="U12" i="7"/>
  <c r="U20" i="11" s="1"/>
  <c r="T11" i="11"/>
  <c r="C149" i="18"/>
  <c r="T36" i="6"/>
  <c r="H149" i="18"/>
  <c r="T47" i="9"/>
  <c r="T34" i="11"/>
  <c r="T18" i="11"/>
  <c r="S37" i="6"/>
  <c r="S16" i="11"/>
  <c r="S25" i="11"/>
  <c r="S28" i="10"/>
  <c r="R26" i="10"/>
  <c r="R11" i="7"/>
  <c r="R10" i="11"/>
  <c r="Q15" i="7"/>
  <c r="Q19" i="11"/>
  <c r="C75" i="16"/>
  <c r="P29" i="10"/>
  <c r="P17" i="11"/>
  <c r="C32" i="15"/>
  <c r="C34" i="15"/>
  <c r="C48" i="16" s="1"/>
  <c r="F52" i="15"/>
  <c r="G52" i="15" s="1"/>
  <c r="F53" i="15"/>
  <c r="F54" i="15"/>
  <c r="F55" i="15"/>
  <c r="F56" i="15"/>
  <c r="F57" i="15"/>
  <c r="F58" i="15"/>
  <c r="F59" i="15"/>
  <c r="F60" i="15"/>
  <c r="F61" i="15"/>
  <c r="F62" i="15"/>
  <c r="F63" i="15"/>
  <c r="F64" i="15"/>
  <c r="F65" i="15"/>
  <c r="F66" i="15"/>
  <c r="F67" i="15"/>
  <c r="F68" i="15"/>
  <c r="F69" i="15"/>
  <c r="F70" i="15"/>
  <c r="F71" i="15"/>
  <c r="F72" i="15"/>
  <c r="F73" i="15"/>
  <c r="F74" i="15"/>
  <c r="F75" i="15"/>
  <c r="F81" i="15"/>
  <c r="G81" i="15" s="1"/>
  <c r="F82" i="15"/>
  <c r="F83" i="15"/>
  <c r="F84" i="15"/>
  <c r="F85" i="15"/>
  <c r="F86" i="15"/>
  <c r="F87" i="15"/>
  <c r="F88" i="15"/>
  <c r="F89" i="15"/>
  <c r="F90" i="15"/>
  <c r="F91" i="15"/>
  <c r="F92" i="15"/>
  <c r="F93" i="15"/>
  <c r="F94" i="15"/>
  <c r="F95" i="15"/>
  <c r="F96" i="15"/>
  <c r="F97" i="15"/>
  <c r="F98" i="15"/>
  <c r="F99" i="15"/>
  <c r="F100" i="15"/>
  <c r="F101" i="15"/>
  <c r="F102" i="15"/>
  <c r="F103" i="15"/>
  <c r="F104" i="15"/>
  <c r="C36" i="15"/>
  <c r="C37" i="15"/>
  <c r="C46" i="16" s="1"/>
  <c r="C44" i="16"/>
  <c r="O29" i="10"/>
  <c r="O17" i="11"/>
  <c r="D25" i="12"/>
  <c r="F7" i="17"/>
  <c r="G7" i="17" s="1"/>
  <c r="H7" i="17"/>
  <c r="N24" i="11"/>
  <c r="N37" i="11"/>
  <c r="M38" i="11"/>
  <c r="M40" i="11"/>
  <c r="M42" i="11" s="1"/>
  <c r="L43" i="11"/>
  <c r="L44" i="11" s="1"/>
  <c r="Z32" i="5"/>
  <c r="Y34" i="5"/>
  <c r="Y72" i="5"/>
  <c r="Y10" i="6" s="1"/>
  <c r="X39" i="5"/>
  <c r="X74" i="5"/>
  <c r="X12" i="6" s="1"/>
  <c r="W44" i="5"/>
  <c r="W84" i="5" s="1"/>
  <c r="W20" i="6" s="1"/>
  <c r="W79" i="5"/>
  <c r="W16" i="6" s="1"/>
  <c r="V28" i="6"/>
  <c r="V14" i="7"/>
  <c r="V22" i="11" s="1"/>
  <c r="V13" i="7"/>
  <c r="V21" i="11" s="1"/>
  <c r="U13" i="11"/>
  <c r="E150" i="18"/>
  <c r="H56" i="15"/>
  <c r="E57" i="15"/>
  <c r="Z12" i="5"/>
  <c r="Y14" i="5"/>
  <c r="Y19" i="5" s="1"/>
  <c r="Y24" i="5" s="1"/>
  <c r="W21" i="5"/>
  <c r="V23" i="5"/>
  <c r="V26" i="5"/>
  <c r="V28" i="5"/>
  <c r="C36" i="18"/>
  <c r="W25" i="14"/>
  <c r="X23" i="14" s="1"/>
  <c r="W26" i="14"/>
  <c r="P36" i="10" l="1"/>
  <c r="D195" i="18" s="1"/>
  <c r="Q30" i="14"/>
  <c r="R28" i="14" s="1"/>
  <c r="Q34" i="10"/>
  <c r="Q41" i="11"/>
  <c r="R33" i="14"/>
  <c r="R35" i="14" s="1"/>
  <c r="R37" i="14" s="1"/>
  <c r="R31" i="14"/>
  <c r="S29" i="14"/>
  <c r="S32" i="14"/>
  <c r="C19" i="13"/>
  <c r="C22" i="13" s="1"/>
  <c r="C35" i="13"/>
  <c r="V83" i="5"/>
  <c r="V19" i="6" s="1"/>
  <c r="V27" i="6" s="1"/>
  <c r="V86" i="5"/>
  <c r="V21" i="6" s="1"/>
  <c r="V29" i="6" s="1"/>
  <c r="V88" i="5"/>
  <c r="V22" i="6" s="1"/>
  <c r="V30" i="6" s="1"/>
  <c r="U12" i="11"/>
  <c r="D150" i="18"/>
  <c r="U14" i="11"/>
  <c r="F150" i="18"/>
  <c r="U15" i="11"/>
  <c r="G150" i="18"/>
  <c r="C193" i="18"/>
  <c r="O25" i="10"/>
  <c r="Y61" i="5"/>
  <c r="X63" i="5"/>
  <c r="X66" i="5"/>
  <c r="X68" i="5"/>
  <c r="E38" i="18"/>
  <c r="AA52" i="5"/>
  <c r="Z54" i="5"/>
  <c r="Z59" i="5" s="1"/>
  <c r="Z64" i="5" s="1"/>
  <c r="H99" i="15"/>
  <c r="E100" i="15"/>
  <c r="X41" i="5"/>
  <c r="W43" i="5"/>
  <c r="W46" i="5"/>
  <c r="W48" i="5"/>
  <c r="W81" i="5"/>
  <c r="W18" i="6" s="1"/>
  <c r="D37" i="18"/>
  <c r="V34" i="6"/>
  <c r="K151" i="18" s="1"/>
  <c r="V26" i="6"/>
  <c r="V31" i="6"/>
  <c r="V32" i="6"/>
  <c r="I151" i="18" s="1"/>
  <c r="V33" i="6"/>
  <c r="J151" i="18" s="1"/>
  <c r="V10" i="7"/>
  <c r="V41" i="9"/>
  <c r="V12" i="7"/>
  <c r="V20" i="11" s="1"/>
  <c r="U11" i="11"/>
  <c r="C150" i="18"/>
  <c r="U36" i="6"/>
  <c r="H150" i="18"/>
  <c r="U18" i="11"/>
  <c r="U47" i="9"/>
  <c r="U34" i="11"/>
  <c r="T16" i="11"/>
  <c r="T37" i="6"/>
  <c r="T25" i="11"/>
  <c r="T28" i="10"/>
  <c r="S26" i="10"/>
  <c r="S10" i="11"/>
  <c r="S11" i="7"/>
  <c r="R15" i="7"/>
  <c r="R19" i="11"/>
  <c r="C76" i="16"/>
  <c r="Q17" i="11"/>
  <c r="Q29" i="10"/>
  <c r="P23" i="11"/>
  <c r="D74" i="16"/>
  <c r="G53" i="15"/>
  <c r="I52" i="15"/>
  <c r="G82" i="15"/>
  <c r="I81" i="15"/>
  <c r="B40" i="15"/>
  <c r="C45" i="16"/>
  <c r="E47" i="14"/>
  <c r="D47" i="14"/>
  <c r="C47" i="14"/>
  <c r="O36" i="10"/>
  <c r="O23" i="11"/>
  <c r="C27" i="13"/>
  <c r="C24" i="16"/>
  <c r="D73" i="16"/>
  <c r="N38" i="11"/>
  <c r="N40" i="11"/>
  <c r="N42" i="11" s="1"/>
  <c r="M43" i="11"/>
  <c r="M44" i="11" s="1"/>
  <c r="AA32" i="5"/>
  <c r="Z34" i="5"/>
  <c r="Z72" i="5"/>
  <c r="Z10" i="6" s="1"/>
  <c r="Y39" i="5"/>
  <c r="Y74" i="5"/>
  <c r="Y12" i="6" s="1"/>
  <c r="X44" i="5"/>
  <c r="X84" i="5" s="1"/>
  <c r="X20" i="6" s="1"/>
  <c r="X79" i="5"/>
  <c r="X16" i="6" s="1"/>
  <c r="W28" i="6"/>
  <c r="W13" i="7"/>
  <c r="W21" i="11" s="1"/>
  <c r="W14" i="7"/>
  <c r="W22" i="11" s="1"/>
  <c r="V13" i="11"/>
  <c r="E151" i="18"/>
  <c r="H57" i="15"/>
  <c r="E58" i="15"/>
  <c r="AA12" i="5"/>
  <c r="Z14" i="5"/>
  <c r="Z19" i="5" s="1"/>
  <c r="Z24" i="5" s="1"/>
  <c r="X21" i="5"/>
  <c r="W23" i="5"/>
  <c r="W26" i="5"/>
  <c r="W28" i="5"/>
  <c r="C37" i="18"/>
  <c r="X25" i="14"/>
  <c r="Y23" i="14" s="1"/>
  <c r="X26" i="14"/>
  <c r="Q36" i="10" l="1"/>
  <c r="D196" i="18" s="1"/>
  <c r="R34" i="10"/>
  <c r="R41" i="11"/>
  <c r="R30" i="14"/>
  <c r="S28" i="14" s="1"/>
  <c r="R36" i="14"/>
  <c r="R38" i="14" s="1"/>
  <c r="R35" i="10" s="1"/>
  <c r="S33" i="14"/>
  <c r="S35" i="14" s="1"/>
  <c r="S37" i="14" s="1"/>
  <c r="S31" i="14"/>
  <c r="S36" i="14" s="1"/>
  <c r="S38" i="14" s="1"/>
  <c r="S35" i="10" s="1"/>
  <c r="T29" i="14"/>
  <c r="T32" i="14" s="1"/>
  <c r="C38" i="13"/>
  <c r="W83" i="5"/>
  <c r="W19" i="6" s="1"/>
  <c r="W27" i="6" s="1"/>
  <c r="W88" i="5"/>
  <c r="W22" i="6" s="1"/>
  <c r="W30" i="6" s="1"/>
  <c r="W86" i="5"/>
  <c r="W21" i="6" s="1"/>
  <c r="W29" i="6" s="1"/>
  <c r="V12" i="11"/>
  <c r="D151" i="18"/>
  <c r="V14" i="11"/>
  <c r="F151" i="18"/>
  <c r="V15" i="11"/>
  <c r="G151" i="18"/>
  <c r="C59" i="18"/>
  <c r="Z61" i="5"/>
  <c r="Y63" i="5"/>
  <c r="Y66" i="5"/>
  <c r="Y68" i="5"/>
  <c r="E39" i="18"/>
  <c r="AB52" i="5"/>
  <c r="AA54" i="5"/>
  <c r="AA59" i="5" s="1"/>
  <c r="AA64" i="5" s="1"/>
  <c r="H100" i="15"/>
  <c r="E101" i="15"/>
  <c r="Y41" i="5"/>
  <c r="X43" i="5"/>
  <c r="X46" i="5"/>
  <c r="X48" i="5"/>
  <c r="X81" i="5"/>
  <c r="X18" i="6" s="1"/>
  <c r="D38" i="18"/>
  <c r="W34" i="6"/>
  <c r="K152" i="18" s="1"/>
  <c r="W26" i="6"/>
  <c r="W31" i="6"/>
  <c r="W32" i="6"/>
  <c r="I152" i="18" s="1"/>
  <c r="W33" i="6"/>
  <c r="J152" i="18" s="1"/>
  <c r="W10" i="7"/>
  <c r="W12" i="7"/>
  <c r="W20" i="11" s="1"/>
  <c r="W41" i="9"/>
  <c r="V11" i="11"/>
  <c r="C151" i="18"/>
  <c r="V36" i="6"/>
  <c r="H151" i="18"/>
  <c r="V18" i="11"/>
  <c r="V47" i="9"/>
  <c r="V34" i="11"/>
  <c r="U37" i="6"/>
  <c r="U16" i="11"/>
  <c r="U25" i="11"/>
  <c r="U28" i="10"/>
  <c r="T11" i="7"/>
  <c r="T26" i="10"/>
  <c r="T10" i="11"/>
  <c r="C77" i="16"/>
  <c r="S15" i="7"/>
  <c r="S19" i="11"/>
  <c r="R29" i="10"/>
  <c r="R17" i="11"/>
  <c r="Q23" i="11"/>
  <c r="D75" i="16"/>
  <c r="P24" i="11"/>
  <c r="P37" i="11"/>
  <c r="I53" i="15"/>
  <c r="G54" i="15"/>
  <c r="I82" i="15"/>
  <c r="G83" i="15"/>
  <c r="O37" i="10"/>
  <c r="D194" i="18"/>
  <c r="C37" i="16"/>
  <c r="C34" i="16"/>
  <c r="C25" i="16"/>
  <c r="O37" i="11"/>
  <c r="O24" i="11"/>
  <c r="C26" i="16" s="1"/>
  <c r="C30" i="13"/>
  <c r="N43" i="11"/>
  <c r="N44" i="11" s="1"/>
  <c r="AB32" i="5"/>
  <c r="AA34" i="5"/>
  <c r="AA72" i="5"/>
  <c r="AA10" i="6" s="1"/>
  <c r="Z39" i="5"/>
  <c r="Z74" i="5"/>
  <c r="Z12" i="6" s="1"/>
  <c r="Y44" i="5"/>
  <c r="Y84" i="5" s="1"/>
  <c r="Y20" i="6" s="1"/>
  <c r="Y79" i="5"/>
  <c r="Y16" i="6" s="1"/>
  <c r="X28" i="6"/>
  <c r="X14" i="7"/>
  <c r="X22" i="11" s="1"/>
  <c r="X13" i="7"/>
  <c r="X21" i="11" s="1"/>
  <c r="W13" i="11"/>
  <c r="E152" i="18"/>
  <c r="H58" i="15"/>
  <c r="E59" i="15"/>
  <c r="AB12" i="5"/>
  <c r="AA14" i="5"/>
  <c r="AA19" i="5" s="1"/>
  <c r="AA24" i="5" s="1"/>
  <c r="Y21" i="5"/>
  <c r="X23" i="5"/>
  <c r="X26" i="5"/>
  <c r="X28" i="5"/>
  <c r="C38" i="18"/>
  <c r="Y25" i="14"/>
  <c r="Z23" i="14" s="1"/>
  <c r="Y26" i="14"/>
  <c r="S30" i="14" l="1"/>
  <c r="T28" i="14" s="1"/>
  <c r="S34" i="10"/>
  <c r="S41" i="11"/>
  <c r="T33" i="14"/>
  <c r="T35" i="14" s="1"/>
  <c r="T37" i="14" s="1"/>
  <c r="T31" i="14"/>
  <c r="U29" i="14"/>
  <c r="U32" i="14" s="1"/>
  <c r="E59" i="18"/>
  <c r="R36" i="10"/>
  <c r="D197" i="18" s="1"/>
  <c r="C23" i="13"/>
  <c r="C39" i="13"/>
  <c r="W12" i="11"/>
  <c r="D152" i="18"/>
  <c r="W15" i="11"/>
  <c r="G152" i="18"/>
  <c r="W14" i="11"/>
  <c r="F152" i="18"/>
  <c r="X83" i="5"/>
  <c r="X19" i="6" s="1"/>
  <c r="X27" i="6" s="1"/>
  <c r="X86" i="5"/>
  <c r="X21" i="6" s="1"/>
  <c r="X29" i="6" s="1"/>
  <c r="X88" i="5"/>
  <c r="X22" i="6" s="1"/>
  <c r="X30" i="6" s="1"/>
  <c r="AA61" i="5"/>
  <c r="Z63" i="5"/>
  <c r="Z66" i="5"/>
  <c r="Z68" i="5"/>
  <c r="E40" i="18"/>
  <c r="AC52" i="5"/>
  <c r="AB54" i="5"/>
  <c r="AB59" i="5" s="1"/>
  <c r="AB64" i="5" s="1"/>
  <c r="H101" i="15"/>
  <c r="E102" i="15"/>
  <c r="Z41" i="5"/>
  <c r="Y43" i="5"/>
  <c r="Y83" i="5" s="1"/>
  <c r="Y19" i="6" s="1"/>
  <c r="Y27" i="6" s="1"/>
  <c r="Y46" i="5"/>
  <c r="Y48" i="5"/>
  <c r="Y88" i="5" s="1"/>
  <c r="Y22" i="6" s="1"/>
  <c r="Y30" i="6" s="1"/>
  <c r="Y81" i="5"/>
  <c r="Y18" i="6" s="1"/>
  <c r="D39" i="18"/>
  <c r="X34" i="6"/>
  <c r="K153" i="18" s="1"/>
  <c r="X26" i="6"/>
  <c r="X31" i="6"/>
  <c r="X32" i="6"/>
  <c r="I153" i="18" s="1"/>
  <c r="X33" i="6"/>
  <c r="J153" i="18" s="1"/>
  <c r="X41" i="9"/>
  <c r="X10" i="7"/>
  <c r="X12" i="7"/>
  <c r="X20" i="11" s="1"/>
  <c r="W11" i="11"/>
  <c r="C152" i="18"/>
  <c r="W36" i="6"/>
  <c r="H152" i="18"/>
  <c r="W18" i="11"/>
  <c r="W47" i="9"/>
  <c r="W34" i="11"/>
  <c r="V37" i="6"/>
  <c r="V16" i="11"/>
  <c r="V25" i="11"/>
  <c r="V28" i="10"/>
  <c r="U10" i="11"/>
  <c r="U11" i="7"/>
  <c r="U26" i="10"/>
  <c r="T15" i="7"/>
  <c r="T19" i="11"/>
  <c r="C78" i="16"/>
  <c r="S29" i="10"/>
  <c r="S17" i="11"/>
  <c r="R23" i="11"/>
  <c r="D76" i="16"/>
  <c r="Q24" i="11"/>
  <c r="Q37" i="11"/>
  <c r="P38" i="11"/>
  <c r="P40" i="11"/>
  <c r="P42" i="11" s="1"/>
  <c r="I54" i="15"/>
  <c r="G55" i="15"/>
  <c r="I83" i="15"/>
  <c r="G84" i="15"/>
  <c r="P25" i="10"/>
  <c r="D5" i="10"/>
  <c r="C194" i="18"/>
  <c r="E11" i="18"/>
  <c r="C35" i="16"/>
  <c r="F7" i="16"/>
  <c r="C31" i="13"/>
  <c r="O38" i="11"/>
  <c r="O40" i="11"/>
  <c r="O42" i="11" s="1"/>
  <c r="E7" i="16"/>
  <c r="C28" i="16"/>
  <c r="E9" i="18"/>
  <c r="D59" i="18"/>
  <c r="AC32" i="5"/>
  <c r="AB34" i="5"/>
  <c r="AB72" i="5"/>
  <c r="AB10" i="6" s="1"/>
  <c r="AA39" i="5"/>
  <c r="AA74" i="5"/>
  <c r="AA12" i="6" s="1"/>
  <c r="Z44" i="5"/>
  <c r="Z84" i="5" s="1"/>
  <c r="Z20" i="6" s="1"/>
  <c r="Z79" i="5"/>
  <c r="Z16" i="6" s="1"/>
  <c r="Y28" i="6"/>
  <c r="Y14" i="7"/>
  <c r="Y22" i="11" s="1"/>
  <c r="Y13" i="7"/>
  <c r="Y21" i="11" s="1"/>
  <c r="X13" i="11"/>
  <c r="E153" i="18"/>
  <c r="H59" i="15"/>
  <c r="E60" i="15"/>
  <c r="AC12" i="5"/>
  <c r="AB14" i="5"/>
  <c r="AB19" i="5" s="1"/>
  <c r="AB24" i="5" s="1"/>
  <c r="Z21" i="5"/>
  <c r="Y23" i="5"/>
  <c r="Y26" i="5"/>
  <c r="Y28" i="5"/>
  <c r="C39" i="18"/>
  <c r="Z25" i="14"/>
  <c r="AA23" i="14" s="1"/>
  <c r="Z26" i="14"/>
  <c r="S36" i="10" l="1"/>
  <c r="D198" i="18" s="1"/>
  <c r="T34" i="10"/>
  <c r="T41" i="11"/>
  <c r="T30" i="14"/>
  <c r="U28" i="14" s="1"/>
  <c r="T36" i="14"/>
  <c r="T38" i="14" s="1"/>
  <c r="T35" i="10" s="1"/>
  <c r="U31" i="14"/>
  <c r="U36" i="14" s="1"/>
  <c r="U38" i="14" s="1"/>
  <c r="U35" i="10" s="1"/>
  <c r="U33" i="14"/>
  <c r="U35" i="14" s="1"/>
  <c r="U37" i="14" s="1"/>
  <c r="V29" i="14"/>
  <c r="V32" i="14"/>
  <c r="X12" i="11"/>
  <c r="D153" i="18"/>
  <c r="X14" i="11"/>
  <c r="F153" i="18"/>
  <c r="Y86" i="5"/>
  <c r="Y21" i="6" s="1"/>
  <c r="Y29" i="6" s="1"/>
  <c r="X15" i="11"/>
  <c r="G153" i="18"/>
  <c r="AB61" i="5"/>
  <c r="AA63" i="5"/>
  <c r="AA66" i="5"/>
  <c r="AA68" i="5"/>
  <c r="E41" i="18"/>
  <c r="AD52" i="5"/>
  <c r="AC54" i="5"/>
  <c r="AC59" i="5" s="1"/>
  <c r="AC64" i="5" s="1"/>
  <c r="H102" i="15"/>
  <c r="E103" i="15"/>
  <c r="AA41" i="5"/>
  <c r="Z43" i="5"/>
  <c r="Z83" i="5" s="1"/>
  <c r="Z19" i="6" s="1"/>
  <c r="Z27" i="6" s="1"/>
  <c r="Z46" i="5"/>
  <c r="Z86" i="5" s="1"/>
  <c r="Z21" i="6" s="1"/>
  <c r="Z29" i="6" s="1"/>
  <c r="Z48" i="5"/>
  <c r="Z88" i="5" s="1"/>
  <c r="Z22" i="6" s="1"/>
  <c r="Z30" i="6" s="1"/>
  <c r="Z81" i="5"/>
  <c r="Z18" i="6" s="1"/>
  <c r="D40" i="18"/>
  <c r="Y12" i="11"/>
  <c r="D154" i="18"/>
  <c r="Y15" i="11"/>
  <c r="G154" i="18"/>
  <c r="Y34" i="6"/>
  <c r="K154" i="18" s="1"/>
  <c r="Y26" i="6"/>
  <c r="Y31" i="6"/>
  <c r="Y32" i="6"/>
  <c r="I154" i="18" s="1"/>
  <c r="Y33" i="6"/>
  <c r="J154" i="18" s="1"/>
  <c r="Y10" i="7"/>
  <c r="Y12" i="7"/>
  <c r="Y20" i="11" s="1"/>
  <c r="Y41" i="9"/>
  <c r="X11" i="11"/>
  <c r="C153" i="18"/>
  <c r="X36" i="6"/>
  <c r="H153" i="18"/>
  <c r="X47" i="9"/>
  <c r="X34" i="11"/>
  <c r="X18" i="11"/>
  <c r="W16" i="11"/>
  <c r="W37" i="6"/>
  <c r="W25" i="11"/>
  <c r="W28" i="10"/>
  <c r="V26" i="10"/>
  <c r="V10" i="11"/>
  <c r="V11" i="7"/>
  <c r="C79" i="16"/>
  <c r="U15" i="7"/>
  <c r="U19" i="11"/>
  <c r="T29" i="10"/>
  <c r="T17" i="11"/>
  <c r="S23" i="11"/>
  <c r="D77" i="16"/>
  <c r="R24" i="11"/>
  <c r="R37" i="11"/>
  <c r="Q38" i="11"/>
  <c r="Q40" i="11"/>
  <c r="Q42" i="11" s="1"/>
  <c r="P43" i="11"/>
  <c r="P44" i="11" s="1"/>
  <c r="I55" i="15"/>
  <c r="G56" i="15"/>
  <c r="I84" i="15"/>
  <c r="G85" i="15"/>
  <c r="P37" i="10"/>
  <c r="E51" i="12"/>
  <c r="D5" i="11"/>
  <c r="C29" i="16"/>
  <c r="O43" i="11"/>
  <c r="AD32" i="5"/>
  <c r="AC34" i="5"/>
  <c r="AC72" i="5"/>
  <c r="AC10" i="6" s="1"/>
  <c r="AB39" i="5"/>
  <c r="AB74" i="5"/>
  <c r="AB12" i="6" s="1"/>
  <c r="AA44" i="5"/>
  <c r="AA84" i="5" s="1"/>
  <c r="AA20" i="6" s="1"/>
  <c r="AA79" i="5"/>
  <c r="AA16" i="6" s="1"/>
  <c r="Z28" i="6"/>
  <c r="Z14" i="7"/>
  <c r="Z22" i="11" s="1"/>
  <c r="Z13" i="7"/>
  <c r="Z21" i="11" s="1"/>
  <c r="Y13" i="11"/>
  <c r="E154" i="18"/>
  <c r="H60" i="15"/>
  <c r="E61" i="15"/>
  <c r="AD12" i="5"/>
  <c r="AC14" i="5"/>
  <c r="AC19" i="5" s="1"/>
  <c r="AC24" i="5" s="1"/>
  <c r="AA21" i="5"/>
  <c r="Z23" i="5"/>
  <c r="Z26" i="5"/>
  <c r="Z28" i="5"/>
  <c r="C40" i="18"/>
  <c r="AA25" i="14"/>
  <c r="AB23" i="14" s="1"/>
  <c r="AA26" i="14"/>
  <c r="T36" i="10" l="1"/>
  <c r="D199" i="18" s="1"/>
  <c r="U34" i="10"/>
  <c r="U41" i="11"/>
  <c r="V33" i="14"/>
  <c r="V35" i="14" s="1"/>
  <c r="V37" i="14" s="1"/>
  <c r="V31" i="14"/>
  <c r="V36" i="14" s="1"/>
  <c r="V38" i="14" s="1"/>
  <c r="V35" i="10" s="1"/>
  <c r="W29" i="14"/>
  <c r="W32" i="14" s="1"/>
  <c r="U30" i="14"/>
  <c r="V28" i="14" s="1"/>
  <c r="V30" i="14" s="1"/>
  <c r="W28" i="14" s="1"/>
  <c r="Y14" i="11"/>
  <c r="F154" i="18"/>
  <c r="AC61" i="5"/>
  <c r="AB63" i="5"/>
  <c r="AB66" i="5"/>
  <c r="AB68" i="5"/>
  <c r="E42" i="18"/>
  <c r="AE52" i="5"/>
  <c r="AD54" i="5"/>
  <c r="AD59" i="5" s="1"/>
  <c r="AD64" i="5" s="1"/>
  <c r="H103" i="15"/>
  <c r="E104" i="15"/>
  <c r="H104" i="15" s="1"/>
  <c r="AB41" i="5"/>
  <c r="AA43" i="5"/>
  <c r="AA83" i="5" s="1"/>
  <c r="AA19" i="6" s="1"/>
  <c r="AA27" i="6" s="1"/>
  <c r="AA46" i="5"/>
  <c r="AA86" i="5" s="1"/>
  <c r="AA21" i="6" s="1"/>
  <c r="AA29" i="6" s="1"/>
  <c r="AA48" i="5"/>
  <c r="AA88" i="5" s="1"/>
  <c r="AA22" i="6" s="1"/>
  <c r="AA30" i="6" s="1"/>
  <c r="AA81" i="5"/>
  <c r="AA18" i="6" s="1"/>
  <c r="D41" i="18"/>
  <c r="Z12" i="11"/>
  <c r="D155" i="18"/>
  <c r="Z14" i="11"/>
  <c r="F155" i="18"/>
  <c r="Z15" i="11"/>
  <c r="G155" i="18"/>
  <c r="Z34" i="6"/>
  <c r="K155" i="18" s="1"/>
  <c r="Z26" i="6"/>
  <c r="Z31" i="6"/>
  <c r="Z32" i="6"/>
  <c r="I155" i="18" s="1"/>
  <c r="Z33" i="6"/>
  <c r="J155" i="18" s="1"/>
  <c r="Z41" i="9"/>
  <c r="Z10" i="7"/>
  <c r="Z12" i="7"/>
  <c r="Z20" i="11" s="1"/>
  <c r="Y11" i="11"/>
  <c r="C154" i="18"/>
  <c r="Y36" i="6"/>
  <c r="H154" i="18"/>
  <c r="Y18" i="11"/>
  <c r="Y47" i="9"/>
  <c r="Y34" i="11"/>
  <c r="X37" i="6"/>
  <c r="X16" i="11"/>
  <c r="X25" i="11"/>
  <c r="X28" i="10"/>
  <c r="W11" i="7"/>
  <c r="W26" i="10"/>
  <c r="W10" i="11"/>
  <c r="C80" i="16"/>
  <c r="V15" i="7"/>
  <c r="V19" i="11"/>
  <c r="U29" i="10"/>
  <c r="U17" i="11"/>
  <c r="T23" i="11"/>
  <c r="D78" i="16"/>
  <c r="S24" i="11"/>
  <c r="S37" i="11"/>
  <c r="R38" i="11"/>
  <c r="R40" i="11"/>
  <c r="R42" i="11" s="1"/>
  <c r="Q43" i="11"/>
  <c r="Q44" i="11" s="1"/>
  <c r="I56" i="15"/>
  <c r="G57" i="15"/>
  <c r="I85" i="15"/>
  <c r="G86" i="15"/>
  <c r="C195" i="18"/>
  <c r="Q25" i="10"/>
  <c r="Q37" i="10" s="1"/>
  <c r="AE32" i="5"/>
  <c r="AD34" i="5"/>
  <c r="AD72" i="5"/>
  <c r="AD10" i="6" s="1"/>
  <c r="AC39" i="5"/>
  <c r="AC74" i="5"/>
  <c r="AC12" i="6" s="1"/>
  <c r="AB44" i="5"/>
  <c r="AB84" i="5" s="1"/>
  <c r="AB20" i="6" s="1"/>
  <c r="AB79" i="5"/>
  <c r="AB16" i="6" s="1"/>
  <c r="AA28" i="6"/>
  <c r="AA14" i="7"/>
  <c r="AA22" i="11" s="1"/>
  <c r="E24" i="12" s="1"/>
  <c r="AA13" i="7"/>
  <c r="AA21" i="11" s="1"/>
  <c r="E23" i="12" s="1"/>
  <c r="Z13" i="11"/>
  <c r="E155" i="18"/>
  <c r="H61" i="15"/>
  <c r="E62" i="15"/>
  <c r="AE12" i="5"/>
  <c r="AD14" i="5"/>
  <c r="AD19" i="5" s="1"/>
  <c r="AD24" i="5" s="1"/>
  <c r="AB21" i="5"/>
  <c r="AA23" i="5"/>
  <c r="AA26" i="5"/>
  <c r="AA28" i="5"/>
  <c r="C41" i="18"/>
  <c r="AB25" i="14"/>
  <c r="AC23" i="14" s="1"/>
  <c r="AB26" i="14"/>
  <c r="D46" i="12"/>
  <c r="O44" i="11"/>
  <c r="U36" i="10" l="1"/>
  <c r="D200" i="18" s="1"/>
  <c r="V41" i="11"/>
  <c r="V34" i="10"/>
  <c r="W31" i="14"/>
  <c r="W33" i="14"/>
  <c r="W35" i="14" s="1"/>
  <c r="W37" i="14" s="1"/>
  <c r="X29" i="14"/>
  <c r="X32" i="14" s="1"/>
  <c r="AD61" i="5"/>
  <c r="AC63" i="5"/>
  <c r="AC66" i="5"/>
  <c r="AC68" i="5"/>
  <c r="E43" i="18"/>
  <c r="AF52" i="5"/>
  <c r="AE54" i="5"/>
  <c r="AE59" i="5" s="1"/>
  <c r="AE64" i="5" s="1"/>
  <c r="AC41" i="5"/>
  <c r="AB43" i="5"/>
  <c r="AB46" i="5"/>
  <c r="AB86" i="5" s="1"/>
  <c r="AB21" i="6" s="1"/>
  <c r="AB29" i="6" s="1"/>
  <c r="AB48" i="5"/>
  <c r="AB88" i="5" s="1"/>
  <c r="AB22" i="6" s="1"/>
  <c r="AB30" i="6" s="1"/>
  <c r="AB81" i="5"/>
  <c r="AB18" i="6" s="1"/>
  <c r="D42" i="18"/>
  <c r="AA12" i="11"/>
  <c r="E8" i="12" s="1"/>
  <c r="D156" i="18"/>
  <c r="AA14" i="11"/>
  <c r="E10" i="12" s="1"/>
  <c r="F156" i="18"/>
  <c r="AA15" i="11"/>
  <c r="E11" i="12" s="1"/>
  <c r="G156" i="18"/>
  <c r="AA34" i="6"/>
  <c r="K156" i="18" s="1"/>
  <c r="AA26" i="6"/>
  <c r="AA31" i="6"/>
  <c r="AA32" i="6"/>
  <c r="I156" i="18" s="1"/>
  <c r="AA33" i="6"/>
  <c r="J156" i="18" s="1"/>
  <c r="AA12" i="7"/>
  <c r="AA20" i="11" s="1"/>
  <c r="E22" i="12" s="1"/>
  <c r="AA41" i="9"/>
  <c r="F7" i="18"/>
  <c r="AA10" i="7"/>
  <c r="Z11" i="11"/>
  <c r="C155" i="18"/>
  <c r="Z36" i="6"/>
  <c r="H155" i="18"/>
  <c r="Z47" i="9"/>
  <c r="Z34" i="11"/>
  <c r="Z18" i="11"/>
  <c r="Y37" i="6"/>
  <c r="Y16" i="11"/>
  <c r="Y25" i="11"/>
  <c r="Y28" i="10"/>
  <c r="X11" i="7"/>
  <c r="X26" i="10"/>
  <c r="X10" i="11"/>
  <c r="W15" i="7"/>
  <c r="W19" i="11"/>
  <c r="C81" i="16"/>
  <c r="V29" i="10"/>
  <c r="V17" i="11"/>
  <c r="U23" i="11"/>
  <c r="D79" i="16"/>
  <c r="T24" i="11"/>
  <c r="T37" i="11"/>
  <c r="S38" i="11"/>
  <c r="S40" i="11"/>
  <c r="S42" i="11" s="1"/>
  <c r="R43" i="11"/>
  <c r="R44" i="11" s="1"/>
  <c r="I57" i="15"/>
  <c r="G58" i="15"/>
  <c r="I86" i="15"/>
  <c r="G87" i="15"/>
  <c r="C196" i="18"/>
  <c r="R25" i="10"/>
  <c r="R37" i="10" s="1"/>
  <c r="AF32" i="5"/>
  <c r="AE34" i="5"/>
  <c r="AE72" i="5"/>
  <c r="AE10" i="6" s="1"/>
  <c r="AD39" i="5"/>
  <c r="AD74" i="5"/>
  <c r="AD12" i="6" s="1"/>
  <c r="AC44" i="5"/>
  <c r="AC84" i="5" s="1"/>
  <c r="AC20" i="6" s="1"/>
  <c r="AC79" i="5"/>
  <c r="AC16" i="6" s="1"/>
  <c r="AB28" i="6"/>
  <c r="AB13" i="7"/>
  <c r="AB21" i="11" s="1"/>
  <c r="AB14" i="7"/>
  <c r="AB22" i="11" s="1"/>
  <c r="AA13" i="11"/>
  <c r="E9" i="12" s="1"/>
  <c r="E156" i="18"/>
  <c r="H62" i="15"/>
  <c r="E63" i="15"/>
  <c r="AF12" i="5"/>
  <c r="AE14" i="5"/>
  <c r="AE19" i="5" s="1"/>
  <c r="AE24" i="5" s="1"/>
  <c r="AC21" i="5"/>
  <c r="AB23" i="5"/>
  <c r="AB26" i="5"/>
  <c r="AB28" i="5"/>
  <c r="C42" i="18"/>
  <c r="AC25" i="14"/>
  <c r="AD23" i="14" s="1"/>
  <c r="AC26" i="14"/>
  <c r="D47" i="12"/>
  <c r="D48" i="12" s="1"/>
  <c r="D52" i="12" s="1"/>
  <c r="E10" i="18"/>
  <c r="C30" i="16"/>
  <c r="W30" i="14" l="1"/>
  <c r="X28" i="14" s="1"/>
  <c r="W36" i="14"/>
  <c r="W38" i="14" s="1"/>
  <c r="W35" i="10" s="1"/>
  <c r="W34" i="10"/>
  <c r="W41" i="11"/>
  <c r="X33" i="14"/>
  <c r="X35" i="14" s="1"/>
  <c r="X37" i="14" s="1"/>
  <c r="X31" i="14"/>
  <c r="X36" i="14" s="1"/>
  <c r="X38" i="14" s="1"/>
  <c r="X35" i="10" s="1"/>
  <c r="Y29" i="14"/>
  <c r="Y32" i="14" s="1"/>
  <c r="V36" i="10"/>
  <c r="D201" i="18" s="1"/>
  <c r="AB83" i="5"/>
  <c r="AB19" i="6" s="1"/>
  <c r="AB27" i="6" s="1"/>
  <c r="AE61" i="5"/>
  <c r="AD63" i="5"/>
  <c r="AD66" i="5"/>
  <c r="AD68" i="5"/>
  <c r="E44" i="18"/>
  <c r="AG52" i="5"/>
  <c r="AF54" i="5"/>
  <c r="AF59" i="5" s="1"/>
  <c r="AF64" i="5" s="1"/>
  <c r="AD41" i="5"/>
  <c r="AC43" i="5"/>
  <c r="AC46" i="5"/>
  <c r="AC86" i="5" s="1"/>
  <c r="AC21" i="6" s="1"/>
  <c r="AC29" i="6" s="1"/>
  <c r="AC48" i="5"/>
  <c r="AC88" i="5" s="1"/>
  <c r="AC22" i="6" s="1"/>
  <c r="AC30" i="6" s="1"/>
  <c r="AC81" i="5"/>
  <c r="AC18" i="6" s="1"/>
  <c r="D43" i="18"/>
  <c r="AB14" i="11"/>
  <c r="F157" i="18"/>
  <c r="AB15" i="11"/>
  <c r="G157" i="18"/>
  <c r="AB34" i="6"/>
  <c r="K157" i="18" s="1"/>
  <c r="AB26" i="6"/>
  <c r="AB31" i="6"/>
  <c r="AB32" i="6"/>
  <c r="I157" i="18" s="1"/>
  <c r="AB33" i="6"/>
  <c r="J157" i="18" s="1"/>
  <c r="AB41" i="9"/>
  <c r="AB10" i="7"/>
  <c r="AB12" i="7"/>
  <c r="AB20" i="11" s="1"/>
  <c r="AA11" i="11"/>
  <c r="E7" i="12" s="1"/>
  <c r="C156" i="18"/>
  <c r="AA36" i="6"/>
  <c r="H156" i="18"/>
  <c r="AA47" i="9"/>
  <c r="AA34" i="11"/>
  <c r="E34" i="12" s="1"/>
  <c r="E37" i="12" s="1"/>
  <c r="AA18" i="11"/>
  <c r="E20" i="12" s="1"/>
  <c r="Z37" i="6"/>
  <c r="Z16" i="11"/>
  <c r="Z25" i="11"/>
  <c r="Z28" i="10"/>
  <c r="Y26" i="10"/>
  <c r="Y10" i="11"/>
  <c r="Y11" i="7"/>
  <c r="X15" i="7"/>
  <c r="X19" i="11"/>
  <c r="C82" i="16"/>
  <c r="W17" i="11"/>
  <c r="W29" i="10"/>
  <c r="W36" i="10" s="1"/>
  <c r="D202" i="18" s="1"/>
  <c r="V23" i="11"/>
  <c r="D80" i="16"/>
  <c r="U24" i="11"/>
  <c r="U37" i="11"/>
  <c r="T38" i="11"/>
  <c r="T40" i="11"/>
  <c r="T42" i="11" s="1"/>
  <c r="S43" i="11"/>
  <c r="S44" i="11" s="1"/>
  <c r="I58" i="15"/>
  <c r="G59" i="15"/>
  <c r="I87" i="15"/>
  <c r="G88" i="15"/>
  <c r="C197" i="18"/>
  <c r="S25" i="10"/>
  <c r="S37" i="10" s="1"/>
  <c r="AG32" i="5"/>
  <c r="AF34" i="5"/>
  <c r="AF72" i="5"/>
  <c r="AF10" i="6" s="1"/>
  <c r="AE39" i="5"/>
  <c r="AE74" i="5"/>
  <c r="AE12" i="6" s="1"/>
  <c r="AD44" i="5"/>
  <c r="AD84" i="5" s="1"/>
  <c r="AD20" i="6" s="1"/>
  <c r="AD79" i="5"/>
  <c r="AD16" i="6" s="1"/>
  <c r="AC28" i="6"/>
  <c r="AC13" i="7"/>
  <c r="AC21" i="11" s="1"/>
  <c r="AC14" i="7"/>
  <c r="AC22" i="11" s="1"/>
  <c r="AB13" i="11"/>
  <c r="E157" i="18"/>
  <c r="H63" i="15"/>
  <c r="E64" i="15"/>
  <c r="AG12" i="5"/>
  <c r="AF14" i="5"/>
  <c r="AF19" i="5" s="1"/>
  <c r="AF24" i="5" s="1"/>
  <c r="AD21" i="5"/>
  <c r="AC23" i="5"/>
  <c r="AC26" i="5"/>
  <c r="AC28" i="5"/>
  <c r="C43" i="18"/>
  <c r="AD25" i="14"/>
  <c r="AE23" i="14" s="1"/>
  <c r="AD26" i="14"/>
  <c r="D53" i="12"/>
  <c r="D55" i="12" s="1"/>
  <c r="X34" i="10" l="1"/>
  <c r="X41" i="11"/>
  <c r="Y33" i="14"/>
  <c r="Y35" i="14" s="1"/>
  <c r="Y37" i="14" s="1"/>
  <c r="Y31" i="14"/>
  <c r="Y36" i="14" s="1"/>
  <c r="Y38" i="14" s="1"/>
  <c r="Y35" i="10" s="1"/>
  <c r="Z29" i="14"/>
  <c r="Z32" i="14" s="1"/>
  <c r="X30" i="14"/>
  <c r="Y28" i="14" s="1"/>
  <c r="Y30" i="14" s="1"/>
  <c r="Z28" i="14" s="1"/>
  <c r="AC83" i="5"/>
  <c r="AC19" i="6" s="1"/>
  <c r="AC27" i="6" s="1"/>
  <c r="AB12" i="11"/>
  <c r="D157" i="18"/>
  <c r="AF61" i="5"/>
  <c r="AE63" i="5"/>
  <c r="AE66" i="5"/>
  <c r="AE68" i="5"/>
  <c r="E45" i="18"/>
  <c r="AH52" i="5"/>
  <c r="AG54" i="5"/>
  <c r="AG59" i="5" s="1"/>
  <c r="AG64" i="5" s="1"/>
  <c r="AE41" i="5"/>
  <c r="AD43" i="5"/>
  <c r="AD83" i="5" s="1"/>
  <c r="AD19" i="6" s="1"/>
  <c r="AD27" i="6" s="1"/>
  <c r="AD46" i="5"/>
  <c r="AD86" i="5" s="1"/>
  <c r="AD21" i="6" s="1"/>
  <c r="AD29" i="6" s="1"/>
  <c r="AD48" i="5"/>
  <c r="AD81" i="5"/>
  <c r="AD18" i="6" s="1"/>
  <c r="D44" i="18"/>
  <c r="AC14" i="11"/>
  <c r="F158" i="18"/>
  <c r="AC15" i="11"/>
  <c r="G158" i="18"/>
  <c r="AC34" i="6"/>
  <c r="K158" i="18" s="1"/>
  <c r="AC26" i="6"/>
  <c r="AC31" i="6"/>
  <c r="AC32" i="6"/>
  <c r="I158" i="18" s="1"/>
  <c r="AC33" i="6"/>
  <c r="J158" i="18" s="1"/>
  <c r="AC10" i="7"/>
  <c r="AC41" i="9"/>
  <c r="AC12" i="7"/>
  <c r="AC20" i="11" s="1"/>
  <c r="AB11" i="11"/>
  <c r="C157" i="18"/>
  <c r="AB36" i="6"/>
  <c r="H157" i="18"/>
  <c r="AB47" i="9"/>
  <c r="AB34" i="11"/>
  <c r="AB18" i="11"/>
  <c r="AA37" i="6"/>
  <c r="AA16" i="11"/>
  <c r="E12" i="12" s="1"/>
  <c r="E13" i="12" s="1"/>
  <c r="E17" i="12" s="1"/>
  <c r="AA25" i="11"/>
  <c r="D37" i="13" s="1"/>
  <c r="AA28" i="10"/>
  <c r="Z26" i="10"/>
  <c r="Z10" i="11"/>
  <c r="Z11" i="7"/>
  <c r="C83" i="16"/>
  <c r="Y15" i="7"/>
  <c r="Y19" i="11"/>
  <c r="X29" i="10"/>
  <c r="X36" i="10" s="1"/>
  <c r="D203" i="18" s="1"/>
  <c r="X17" i="11"/>
  <c r="W23" i="11"/>
  <c r="D81" i="16"/>
  <c r="V24" i="11"/>
  <c r="V37" i="11"/>
  <c r="U38" i="11"/>
  <c r="U40" i="11"/>
  <c r="U42" i="11" s="1"/>
  <c r="T43" i="11"/>
  <c r="T44" i="11" s="1"/>
  <c r="I59" i="15"/>
  <c r="G60" i="15"/>
  <c r="I88" i="15"/>
  <c r="G89" i="15"/>
  <c r="C198" i="18"/>
  <c r="T25" i="10"/>
  <c r="T37" i="10" s="1"/>
  <c r="AH32" i="5"/>
  <c r="AG34" i="5"/>
  <c r="AG72" i="5"/>
  <c r="AG10" i="6" s="1"/>
  <c r="AF39" i="5"/>
  <c r="AF74" i="5"/>
  <c r="AF12" i="6" s="1"/>
  <c r="AE44" i="5"/>
  <c r="AE84" i="5" s="1"/>
  <c r="AE20" i="6" s="1"/>
  <c r="AE79" i="5"/>
  <c r="AE16" i="6" s="1"/>
  <c r="AD28" i="6"/>
  <c r="AD14" i="7"/>
  <c r="AD22" i="11" s="1"/>
  <c r="AD13" i="7"/>
  <c r="AD21" i="11" s="1"/>
  <c r="AC13" i="11"/>
  <c r="E158" i="18"/>
  <c r="H64" i="15"/>
  <c r="E65" i="15"/>
  <c r="AH12" i="5"/>
  <c r="AG14" i="5"/>
  <c r="AG19" i="5" s="1"/>
  <c r="AG24" i="5" s="1"/>
  <c r="AE21" i="5"/>
  <c r="AD23" i="5"/>
  <c r="AD26" i="5"/>
  <c r="AD28" i="5"/>
  <c r="C44" i="18"/>
  <c r="AE25" i="14"/>
  <c r="AF23" i="14" s="1"/>
  <c r="AE26" i="14"/>
  <c r="Y34" i="10" l="1"/>
  <c r="Y41" i="11"/>
  <c r="Z31" i="14"/>
  <c r="Z33" i="14"/>
  <c r="Z35" i="14" s="1"/>
  <c r="Z37" i="14" s="1"/>
  <c r="AA29" i="14"/>
  <c r="AA32" i="14" s="1"/>
  <c r="AD88" i="5"/>
  <c r="AD22" i="6" s="1"/>
  <c r="AD30" i="6" s="1"/>
  <c r="AC12" i="11"/>
  <c r="D158" i="18"/>
  <c r="D29" i="13"/>
  <c r="D21" i="13"/>
  <c r="AG61" i="5"/>
  <c r="AF63" i="5"/>
  <c r="AF66" i="5"/>
  <c r="AF68" i="5"/>
  <c r="E46" i="18"/>
  <c r="AI52" i="5"/>
  <c r="AH54" i="5"/>
  <c r="AH59" i="5" s="1"/>
  <c r="AH64" i="5" s="1"/>
  <c r="AF41" i="5"/>
  <c r="AE43" i="5"/>
  <c r="AE83" i="5" s="1"/>
  <c r="AE19" i="6" s="1"/>
  <c r="AE27" i="6" s="1"/>
  <c r="AE46" i="5"/>
  <c r="AE86" i="5" s="1"/>
  <c r="AE21" i="6" s="1"/>
  <c r="AE29" i="6" s="1"/>
  <c r="AE48" i="5"/>
  <c r="AE88" i="5" s="1"/>
  <c r="AE22" i="6" s="1"/>
  <c r="AE30" i="6" s="1"/>
  <c r="AE81" i="5"/>
  <c r="AE18" i="6" s="1"/>
  <c r="D45" i="18"/>
  <c r="AD12" i="11"/>
  <c r="D159" i="18"/>
  <c r="AD14" i="11"/>
  <c r="F159" i="18"/>
  <c r="AD34" i="6"/>
  <c r="K159" i="18" s="1"/>
  <c r="AD26" i="6"/>
  <c r="AD31" i="6"/>
  <c r="AD32" i="6"/>
  <c r="I159" i="18" s="1"/>
  <c r="AD33" i="6"/>
  <c r="J159" i="18" s="1"/>
  <c r="AD10" i="7"/>
  <c r="AD41" i="9"/>
  <c r="AD12" i="7"/>
  <c r="AD20" i="11" s="1"/>
  <c r="AC11" i="11"/>
  <c r="C158" i="18"/>
  <c r="AC36" i="6"/>
  <c r="H158" i="18"/>
  <c r="AC18" i="11"/>
  <c r="AC47" i="9"/>
  <c r="AC34" i="11"/>
  <c r="AB37" i="6"/>
  <c r="AB16" i="11"/>
  <c r="AB25" i="11"/>
  <c r="AB28" i="10"/>
  <c r="AA26" i="10"/>
  <c r="AA10" i="11"/>
  <c r="F8" i="18"/>
  <c r="AA11" i="7"/>
  <c r="C84" i="16"/>
  <c r="Z15" i="7"/>
  <c r="Z19" i="11"/>
  <c r="Y29" i="10"/>
  <c r="Y17" i="11"/>
  <c r="X23" i="11"/>
  <c r="D82" i="16"/>
  <c r="W24" i="11"/>
  <c r="W37" i="11"/>
  <c r="V38" i="11"/>
  <c r="V40" i="11"/>
  <c r="V42" i="11" s="1"/>
  <c r="U43" i="11"/>
  <c r="U44" i="11" s="1"/>
  <c r="I60" i="15"/>
  <c r="G61" i="15"/>
  <c r="I89" i="15"/>
  <c r="G90" i="15"/>
  <c r="C199" i="18"/>
  <c r="U25" i="10"/>
  <c r="U37" i="10" s="1"/>
  <c r="AI32" i="5"/>
  <c r="AH34" i="5"/>
  <c r="AH72" i="5"/>
  <c r="AH10" i="6" s="1"/>
  <c r="AG39" i="5"/>
  <c r="AG74" i="5"/>
  <c r="AG12" i="6" s="1"/>
  <c r="AF44" i="5"/>
  <c r="AF84" i="5" s="1"/>
  <c r="AF20" i="6" s="1"/>
  <c r="AF79" i="5"/>
  <c r="AF16" i="6" s="1"/>
  <c r="AE28" i="6"/>
  <c r="AE13" i="7"/>
  <c r="AE21" i="11" s="1"/>
  <c r="AE14" i="7"/>
  <c r="AE22" i="11" s="1"/>
  <c r="AD13" i="11"/>
  <c r="E159" i="18"/>
  <c r="H65" i="15"/>
  <c r="E66" i="15"/>
  <c r="AI12" i="5"/>
  <c r="AH14" i="5"/>
  <c r="AH19" i="5" s="1"/>
  <c r="AH24" i="5" s="1"/>
  <c r="AF21" i="5"/>
  <c r="AE23" i="5"/>
  <c r="AE26" i="5"/>
  <c r="AE28" i="5"/>
  <c r="C45" i="18"/>
  <c r="AF25" i="14"/>
  <c r="AG23" i="14" s="1"/>
  <c r="AF26" i="14"/>
  <c r="Y36" i="10" l="1"/>
  <c r="D204" i="18" s="1"/>
  <c r="Z30" i="14"/>
  <c r="AA28" i="14" s="1"/>
  <c r="Z36" i="14"/>
  <c r="Z38" i="14" s="1"/>
  <c r="Z35" i="10" s="1"/>
  <c r="Z34" i="10"/>
  <c r="Z41" i="11"/>
  <c r="AA33" i="14"/>
  <c r="AA35" i="14" s="1"/>
  <c r="AA37" i="14" s="1"/>
  <c r="AA31" i="14"/>
  <c r="AA36" i="14" s="1"/>
  <c r="AA38" i="14" s="1"/>
  <c r="AA35" i="10" s="1"/>
  <c r="AB29" i="14"/>
  <c r="AB32" i="14" s="1"/>
  <c r="D18" i="13"/>
  <c r="D34" i="13"/>
  <c r="AD15" i="11"/>
  <c r="G159" i="18"/>
  <c r="AH61" i="5"/>
  <c r="AG63" i="5"/>
  <c r="AG66" i="5"/>
  <c r="AG68" i="5"/>
  <c r="E47" i="18"/>
  <c r="AJ52" i="5"/>
  <c r="AI54" i="5"/>
  <c r="AI59" i="5" s="1"/>
  <c r="AI64" i="5" s="1"/>
  <c r="AG41" i="5"/>
  <c r="AF43" i="5"/>
  <c r="AF83" i="5" s="1"/>
  <c r="AF19" i="6" s="1"/>
  <c r="AF27" i="6" s="1"/>
  <c r="AF46" i="5"/>
  <c r="AF86" i="5" s="1"/>
  <c r="AF21" i="6" s="1"/>
  <c r="AF29" i="6" s="1"/>
  <c r="AF48" i="5"/>
  <c r="AF88" i="5" s="1"/>
  <c r="AF22" i="6" s="1"/>
  <c r="AF30" i="6" s="1"/>
  <c r="AF81" i="5"/>
  <c r="AF18" i="6" s="1"/>
  <c r="D46" i="18"/>
  <c r="AE12" i="11"/>
  <c r="D160" i="18"/>
  <c r="AE14" i="11"/>
  <c r="F160" i="18"/>
  <c r="AE15" i="11"/>
  <c r="G160" i="18"/>
  <c r="AE34" i="6"/>
  <c r="K160" i="18" s="1"/>
  <c r="AE26" i="6"/>
  <c r="AE31" i="6"/>
  <c r="AE32" i="6"/>
  <c r="I160" i="18" s="1"/>
  <c r="AE33" i="6"/>
  <c r="J160" i="18" s="1"/>
  <c r="AE12" i="7"/>
  <c r="AE20" i="11" s="1"/>
  <c r="AE41" i="9"/>
  <c r="AE10" i="7"/>
  <c r="AD11" i="11"/>
  <c r="C159" i="18"/>
  <c r="AD36" i="6"/>
  <c r="H159" i="18"/>
  <c r="AD18" i="11"/>
  <c r="AD47" i="9"/>
  <c r="AD34" i="11"/>
  <c r="AC16" i="11"/>
  <c r="AC37" i="6"/>
  <c r="AC25" i="11"/>
  <c r="AC28" i="10"/>
  <c r="AB11" i="7"/>
  <c r="AB26" i="10"/>
  <c r="AB10" i="11"/>
  <c r="D26" i="13"/>
  <c r="C85" i="16"/>
  <c r="AA15" i="7"/>
  <c r="AA19" i="11"/>
  <c r="E21" i="12" s="1"/>
  <c r="Z29" i="10"/>
  <c r="Z17" i="11"/>
  <c r="Y23" i="11"/>
  <c r="D83" i="16"/>
  <c r="X24" i="11"/>
  <c r="X37" i="11"/>
  <c r="W38" i="11"/>
  <c r="W40" i="11"/>
  <c r="W42" i="11" s="1"/>
  <c r="V43" i="11"/>
  <c r="V44" i="11" s="1"/>
  <c r="I61" i="15"/>
  <c r="G62" i="15"/>
  <c r="I90" i="15"/>
  <c r="G91" i="15"/>
  <c r="C200" i="18"/>
  <c r="V25" i="10"/>
  <c r="V37" i="10" s="1"/>
  <c r="AJ32" i="5"/>
  <c r="AI34" i="5"/>
  <c r="AI72" i="5"/>
  <c r="AI10" i="6" s="1"/>
  <c r="AH39" i="5"/>
  <c r="AH74" i="5"/>
  <c r="AH12" i="6" s="1"/>
  <c r="AG44" i="5"/>
  <c r="AG84" i="5" s="1"/>
  <c r="AG20" i="6" s="1"/>
  <c r="AG79" i="5"/>
  <c r="AG16" i="6" s="1"/>
  <c r="AF28" i="6"/>
  <c r="AF14" i="7"/>
  <c r="AF22" i="11" s="1"/>
  <c r="AF13" i="7"/>
  <c r="AF21" i="11" s="1"/>
  <c r="AE13" i="11"/>
  <c r="E160" i="18"/>
  <c r="H66" i="15"/>
  <c r="E67" i="15"/>
  <c r="AJ12" i="5"/>
  <c r="AI14" i="5"/>
  <c r="AI19" i="5" s="1"/>
  <c r="AI24" i="5" s="1"/>
  <c r="AG21" i="5"/>
  <c r="AF23" i="5"/>
  <c r="AF26" i="5"/>
  <c r="AF28" i="5"/>
  <c r="C46" i="18"/>
  <c r="AG25" i="14"/>
  <c r="AH23" i="14" s="1"/>
  <c r="AG26" i="14"/>
  <c r="E45" i="12" l="1"/>
  <c r="AA34" i="10"/>
  <c r="E44" i="12" s="1"/>
  <c r="AA41" i="11"/>
  <c r="AB31" i="14"/>
  <c r="AB36" i="14" s="1"/>
  <c r="AB38" i="14" s="1"/>
  <c r="AB35" i="10" s="1"/>
  <c r="AB33" i="14"/>
  <c r="AB35" i="14" s="1"/>
  <c r="AB37" i="14" s="1"/>
  <c r="AC29" i="14"/>
  <c r="AC32" i="14" s="1"/>
  <c r="AA30" i="14"/>
  <c r="AB28" i="14" s="1"/>
  <c r="Z36" i="10"/>
  <c r="D205" i="18" s="1"/>
  <c r="AI61" i="5"/>
  <c r="AH63" i="5"/>
  <c r="AH66" i="5"/>
  <c r="AH68" i="5"/>
  <c r="E48" i="18"/>
  <c r="AK52" i="5"/>
  <c r="AJ54" i="5"/>
  <c r="AJ59" i="5" s="1"/>
  <c r="AJ64" i="5" s="1"/>
  <c r="AH41" i="5"/>
  <c r="AG43" i="5"/>
  <c r="AG46" i="5"/>
  <c r="AG86" i="5" s="1"/>
  <c r="AG21" i="6" s="1"/>
  <c r="AG29" i="6" s="1"/>
  <c r="AG48" i="5"/>
  <c r="AG88" i="5" s="1"/>
  <c r="AG22" i="6" s="1"/>
  <c r="AG30" i="6" s="1"/>
  <c r="AG81" i="5"/>
  <c r="AG18" i="6" s="1"/>
  <c r="D47" i="18"/>
  <c r="AF12" i="11"/>
  <c r="D161" i="18"/>
  <c r="AF14" i="11"/>
  <c r="F161" i="18"/>
  <c r="AF15" i="11"/>
  <c r="G161" i="18"/>
  <c r="AF34" i="6"/>
  <c r="K161" i="18" s="1"/>
  <c r="AF26" i="6"/>
  <c r="AF31" i="6"/>
  <c r="AF32" i="6"/>
  <c r="I161" i="18" s="1"/>
  <c r="AF33" i="6"/>
  <c r="J161" i="18" s="1"/>
  <c r="AF10" i="7"/>
  <c r="AF41" i="9"/>
  <c r="AF12" i="7"/>
  <c r="AF20" i="11" s="1"/>
  <c r="AE11" i="11"/>
  <c r="C160" i="18"/>
  <c r="AE36" i="6"/>
  <c r="H160" i="18"/>
  <c r="AE47" i="9"/>
  <c r="AE34" i="11"/>
  <c r="AE18" i="11"/>
  <c r="AD16" i="11"/>
  <c r="AD37" i="6"/>
  <c r="AD25" i="11"/>
  <c r="AD28" i="10"/>
  <c r="AC26" i="10"/>
  <c r="AC10" i="11"/>
  <c r="AC11" i="7"/>
  <c r="AB15" i="7"/>
  <c r="AB19" i="11"/>
  <c r="C86" i="16"/>
  <c r="AA29" i="10"/>
  <c r="AA17" i="11"/>
  <c r="E25" i="12"/>
  <c r="Z23" i="11"/>
  <c r="D84" i="16"/>
  <c r="Y24" i="11"/>
  <c r="Y37" i="11"/>
  <c r="X38" i="11"/>
  <c r="X40" i="11"/>
  <c r="X42" i="11" s="1"/>
  <c r="W43" i="11"/>
  <c r="W44" i="11" s="1"/>
  <c r="I62" i="15"/>
  <c r="G63" i="15"/>
  <c r="I91" i="15"/>
  <c r="G92" i="15"/>
  <c r="C201" i="18"/>
  <c r="W25" i="10"/>
  <c r="W37" i="10" s="1"/>
  <c r="AK32" i="5"/>
  <c r="AJ34" i="5"/>
  <c r="AJ72" i="5"/>
  <c r="AJ10" i="6" s="1"/>
  <c r="AI39" i="5"/>
  <c r="AI74" i="5"/>
  <c r="AI12" i="6" s="1"/>
  <c r="AH44" i="5"/>
  <c r="AH84" i="5" s="1"/>
  <c r="AH20" i="6" s="1"/>
  <c r="AH79" i="5"/>
  <c r="AH16" i="6" s="1"/>
  <c r="AG28" i="6"/>
  <c r="AG13" i="7"/>
  <c r="AG21" i="11" s="1"/>
  <c r="AG14" i="7"/>
  <c r="AG22" i="11" s="1"/>
  <c r="AF13" i="11"/>
  <c r="E161" i="18"/>
  <c r="H67" i="15"/>
  <c r="E68" i="15"/>
  <c r="AK12" i="5"/>
  <c r="AJ14" i="5"/>
  <c r="AJ19" i="5" s="1"/>
  <c r="AJ24" i="5" s="1"/>
  <c r="AH21" i="5"/>
  <c r="AG23" i="5"/>
  <c r="AG26" i="5"/>
  <c r="AG28" i="5"/>
  <c r="C47" i="18"/>
  <c r="AH25" i="14"/>
  <c r="AI23" i="14" s="1"/>
  <c r="AH26" i="14"/>
  <c r="AB30" i="14" l="1"/>
  <c r="AC28" i="14" s="1"/>
  <c r="AB41" i="11"/>
  <c r="AB34" i="10"/>
  <c r="AC33" i="14"/>
  <c r="AC35" i="14" s="1"/>
  <c r="AC37" i="14" s="1"/>
  <c r="AC31" i="14"/>
  <c r="AD29" i="14"/>
  <c r="AD32" i="14" s="1"/>
  <c r="AA36" i="10"/>
  <c r="D206" i="18" s="1"/>
  <c r="D19" i="13"/>
  <c r="D22" i="13" s="1"/>
  <c r="D35" i="13"/>
  <c r="AG83" i="5"/>
  <c r="AG19" i="6" s="1"/>
  <c r="AG27" i="6" s="1"/>
  <c r="AJ61" i="5"/>
  <c r="AI63" i="5"/>
  <c r="AI66" i="5"/>
  <c r="AI68" i="5"/>
  <c r="E49" i="18"/>
  <c r="AL52" i="5"/>
  <c r="AK54" i="5"/>
  <c r="AK59" i="5" s="1"/>
  <c r="AK64" i="5" s="1"/>
  <c r="AI41" i="5"/>
  <c r="AH43" i="5"/>
  <c r="AH83" i="5" s="1"/>
  <c r="AH19" i="6" s="1"/>
  <c r="AH27" i="6" s="1"/>
  <c r="AH46" i="5"/>
  <c r="AH86" i="5" s="1"/>
  <c r="AH21" i="6" s="1"/>
  <c r="AH29" i="6" s="1"/>
  <c r="AH48" i="5"/>
  <c r="AH88" i="5" s="1"/>
  <c r="AH22" i="6" s="1"/>
  <c r="AH30" i="6" s="1"/>
  <c r="AH81" i="5"/>
  <c r="AH18" i="6" s="1"/>
  <c r="D48" i="18"/>
  <c r="AG14" i="11"/>
  <c r="F162" i="18"/>
  <c r="AG15" i="11"/>
  <c r="G162" i="18"/>
  <c r="AG34" i="6"/>
  <c r="K162" i="18" s="1"/>
  <c r="AG26" i="6"/>
  <c r="AG31" i="6"/>
  <c r="AG32" i="6"/>
  <c r="I162" i="18" s="1"/>
  <c r="AG33" i="6"/>
  <c r="J162" i="18" s="1"/>
  <c r="AG41" i="9"/>
  <c r="AG12" i="7"/>
  <c r="AG20" i="11" s="1"/>
  <c r="AG10" i="7"/>
  <c r="AF11" i="11"/>
  <c r="C161" i="18"/>
  <c r="AF36" i="6"/>
  <c r="H161" i="18"/>
  <c r="AF18" i="11"/>
  <c r="AF47" i="9"/>
  <c r="AF34" i="11"/>
  <c r="AE37" i="6"/>
  <c r="AE16" i="11"/>
  <c r="AE25" i="11"/>
  <c r="AE28" i="10"/>
  <c r="AD11" i="7"/>
  <c r="AD26" i="10"/>
  <c r="AD10" i="11"/>
  <c r="C87" i="16"/>
  <c r="AC15" i="7"/>
  <c r="AC19" i="11"/>
  <c r="AB29" i="10"/>
  <c r="AB17" i="11"/>
  <c r="AA23" i="11"/>
  <c r="D27" i="13"/>
  <c r="D85" i="16"/>
  <c r="Z24" i="11"/>
  <c r="Z37" i="11"/>
  <c r="Y38" i="11"/>
  <c r="Y40" i="11"/>
  <c r="Y42" i="11" s="1"/>
  <c r="X43" i="11"/>
  <c r="X44" i="11" s="1"/>
  <c r="I63" i="15"/>
  <c r="G64" i="15"/>
  <c r="I92" i="15"/>
  <c r="G93" i="15"/>
  <c r="C202" i="18"/>
  <c r="X25" i="10"/>
  <c r="X37" i="10" s="1"/>
  <c r="AL32" i="5"/>
  <c r="AK34" i="5"/>
  <c r="AK72" i="5"/>
  <c r="AK10" i="6" s="1"/>
  <c r="AJ39" i="5"/>
  <c r="AJ74" i="5"/>
  <c r="AJ12" i="6" s="1"/>
  <c r="AI44" i="5"/>
  <c r="AI84" i="5" s="1"/>
  <c r="AI20" i="6" s="1"/>
  <c r="AI79" i="5"/>
  <c r="AI16" i="6" s="1"/>
  <c r="AH28" i="6"/>
  <c r="AH14" i="7"/>
  <c r="AH22" i="11" s="1"/>
  <c r="AH13" i="7"/>
  <c r="AH21" i="11" s="1"/>
  <c r="AG13" i="11"/>
  <c r="E162" i="18"/>
  <c r="H68" i="15"/>
  <c r="E69" i="15"/>
  <c r="AL12" i="5"/>
  <c r="AK14" i="5"/>
  <c r="AK19" i="5" s="1"/>
  <c r="AK24" i="5" s="1"/>
  <c r="AI21" i="5"/>
  <c r="AH23" i="5"/>
  <c r="AH26" i="5"/>
  <c r="AH28" i="5"/>
  <c r="C48" i="18"/>
  <c r="AI25" i="14"/>
  <c r="AJ23" i="14" s="1"/>
  <c r="AI26" i="14"/>
  <c r="AB36" i="10" l="1"/>
  <c r="D207" i="18" s="1"/>
  <c r="AC34" i="10"/>
  <c r="AC41" i="11"/>
  <c r="AC30" i="14"/>
  <c r="AD28" i="14" s="1"/>
  <c r="AD30" i="14" s="1"/>
  <c r="AE28" i="14" s="1"/>
  <c r="AC36" i="14"/>
  <c r="AC38" i="14" s="1"/>
  <c r="AC35" i="10" s="1"/>
  <c r="AD33" i="14"/>
  <c r="AD35" i="14" s="1"/>
  <c r="AD37" i="14" s="1"/>
  <c r="AD31" i="14"/>
  <c r="AD36" i="14" s="1"/>
  <c r="AD38" i="14" s="1"/>
  <c r="AD35" i="10" s="1"/>
  <c r="AE29" i="14"/>
  <c r="AE32" i="14"/>
  <c r="D38" i="13"/>
  <c r="D162" i="18"/>
  <c r="AG12" i="11"/>
  <c r="C60" i="18"/>
  <c r="AK61" i="5"/>
  <c r="AJ63" i="5"/>
  <c r="AJ66" i="5"/>
  <c r="AJ68" i="5"/>
  <c r="E50" i="18"/>
  <c r="AM52" i="5"/>
  <c r="AL54" i="5"/>
  <c r="AL59" i="5" s="1"/>
  <c r="AL64" i="5" s="1"/>
  <c r="AJ41" i="5"/>
  <c r="AI43" i="5"/>
  <c r="AI46" i="5"/>
  <c r="AI48" i="5"/>
  <c r="AI81" i="5"/>
  <c r="AI18" i="6" s="1"/>
  <c r="D49" i="18"/>
  <c r="AH12" i="11"/>
  <c r="D163" i="18"/>
  <c r="AH14" i="11"/>
  <c r="F163" i="18"/>
  <c r="AH15" i="11"/>
  <c r="G163" i="18"/>
  <c r="AH34" i="6"/>
  <c r="K163" i="18" s="1"/>
  <c r="AH26" i="6"/>
  <c r="AH31" i="6"/>
  <c r="AH32" i="6"/>
  <c r="I163" i="18" s="1"/>
  <c r="AH33" i="6"/>
  <c r="J163" i="18" s="1"/>
  <c r="AH41" i="9"/>
  <c r="AH10" i="7"/>
  <c r="AH12" i="7"/>
  <c r="AH20" i="11" s="1"/>
  <c r="AG11" i="11"/>
  <c r="C162" i="18"/>
  <c r="AG36" i="6"/>
  <c r="H162" i="18"/>
  <c r="AG47" i="9"/>
  <c r="AG34" i="11"/>
  <c r="AG18" i="11"/>
  <c r="AF37" i="6"/>
  <c r="AF16" i="11"/>
  <c r="AF25" i="11"/>
  <c r="AF28" i="10"/>
  <c r="AE11" i="7"/>
  <c r="AE26" i="10"/>
  <c r="AE10" i="11"/>
  <c r="AD15" i="7"/>
  <c r="AD19" i="11"/>
  <c r="C88" i="16"/>
  <c r="AC29" i="10"/>
  <c r="AC17" i="11"/>
  <c r="AB23" i="11"/>
  <c r="D86" i="16"/>
  <c r="AA24" i="11"/>
  <c r="AA37" i="11"/>
  <c r="D30" i="13"/>
  <c r="Z38" i="11"/>
  <c r="Z40" i="11"/>
  <c r="Z42" i="11" s="1"/>
  <c r="Y43" i="11"/>
  <c r="Y44" i="11" s="1"/>
  <c r="I64" i="15"/>
  <c r="G65" i="15"/>
  <c r="I93" i="15"/>
  <c r="G94" i="15"/>
  <c r="C203" i="18"/>
  <c r="Y25" i="10"/>
  <c r="Y37" i="10" s="1"/>
  <c r="AM32" i="5"/>
  <c r="AL34" i="5"/>
  <c r="AL72" i="5"/>
  <c r="AL10" i="6" s="1"/>
  <c r="AK39" i="5"/>
  <c r="AK74" i="5"/>
  <c r="AK12" i="6" s="1"/>
  <c r="AJ44" i="5"/>
  <c r="AJ84" i="5" s="1"/>
  <c r="AJ20" i="6" s="1"/>
  <c r="AJ79" i="5"/>
  <c r="AJ16" i="6" s="1"/>
  <c r="AI28" i="6"/>
  <c r="AI14" i="7"/>
  <c r="AI22" i="11" s="1"/>
  <c r="AI13" i="7"/>
  <c r="AI21" i="11" s="1"/>
  <c r="AH13" i="11"/>
  <c r="E163" i="18"/>
  <c r="H69" i="15"/>
  <c r="E70" i="15"/>
  <c r="AM12" i="5"/>
  <c r="AL14" i="5"/>
  <c r="AL19" i="5" s="1"/>
  <c r="AL24" i="5" s="1"/>
  <c r="AJ21" i="5"/>
  <c r="AI23" i="5"/>
  <c r="AI26" i="5"/>
  <c r="AI28" i="5"/>
  <c r="C49" i="18"/>
  <c r="AJ25" i="14"/>
  <c r="AK23" i="14" s="1"/>
  <c r="AJ26" i="14"/>
  <c r="AC36" i="10" l="1"/>
  <c r="D208" i="18" s="1"/>
  <c r="AD34" i="10"/>
  <c r="AD41" i="11"/>
  <c r="AE33" i="14"/>
  <c r="AE35" i="14" s="1"/>
  <c r="AE37" i="14" s="1"/>
  <c r="AE31" i="14"/>
  <c r="AF29" i="14"/>
  <c r="AF32" i="14" s="1"/>
  <c r="E60" i="18"/>
  <c r="AI83" i="5"/>
  <c r="AI19" i="6" s="1"/>
  <c r="AI27" i="6" s="1"/>
  <c r="AI86" i="5"/>
  <c r="AI21" i="6" s="1"/>
  <c r="AI29" i="6" s="1"/>
  <c r="AI88" i="5"/>
  <c r="AI22" i="6" s="1"/>
  <c r="AI30" i="6" s="1"/>
  <c r="AL61" i="5"/>
  <c r="AK63" i="5"/>
  <c r="AK66" i="5"/>
  <c r="AK68" i="5"/>
  <c r="E51" i="18"/>
  <c r="AN52" i="5"/>
  <c r="AM54" i="5"/>
  <c r="AM59" i="5" s="1"/>
  <c r="AM64" i="5" s="1"/>
  <c r="AK41" i="5"/>
  <c r="AJ43" i="5"/>
  <c r="AJ46" i="5"/>
  <c r="AJ86" i="5" s="1"/>
  <c r="AJ21" i="6" s="1"/>
  <c r="AJ29" i="6" s="1"/>
  <c r="AJ48" i="5"/>
  <c r="AJ88" i="5" s="1"/>
  <c r="AJ22" i="6" s="1"/>
  <c r="AJ30" i="6" s="1"/>
  <c r="AJ81" i="5"/>
  <c r="AJ18" i="6" s="1"/>
  <c r="D50" i="18"/>
  <c r="AI34" i="6"/>
  <c r="K164" i="18" s="1"/>
  <c r="AI26" i="6"/>
  <c r="AI31" i="6"/>
  <c r="AI32" i="6"/>
  <c r="I164" i="18" s="1"/>
  <c r="AI33" i="6"/>
  <c r="J164" i="18" s="1"/>
  <c r="AI41" i="9"/>
  <c r="AI10" i="7"/>
  <c r="AI12" i="7"/>
  <c r="AI20" i="11" s="1"/>
  <c r="AH11" i="11"/>
  <c r="C163" i="18"/>
  <c r="AH36" i="6"/>
  <c r="H163" i="18"/>
  <c r="AH47" i="9"/>
  <c r="AH34" i="11"/>
  <c r="AH18" i="11"/>
  <c r="AG16" i="11"/>
  <c r="AG37" i="6"/>
  <c r="AG25" i="11"/>
  <c r="AG28" i="10"/>
  <c r="AF10" i="11"/>
  <c r="AF11" i="7"/>
  <c r="AF26" i="10"/>
  <c r="AE15" i="7"/>
  <c r="AE19" i="11"/>
  <c r="C89" i="16"/>
  <c r="AD17" i="11"/>
  <c r="AD29" i="10"/>
  <c r="AC23" i="11"/>
  <c r="D87" i="16"/>
  <c r="AB24" i="11"/>
  <c r="AB37" i="11"/>
  <c r="F9" i="18"/>
  <c r="AA40" i="11"/>
  <c r="AA42" i="11" s="1"/>
  <c r="AA38" i="11"/>
  <c r="D60" i="18"/>
  <c r="Z43" i="11"/>
  <c r="Z44" i="11" s="1"/>
  <c r="I65" i="15"/>
  <c r="G66" i="15"/>
  <c r="I94" i="15"/>
  <c r="G95" i="15"/>
  <c r="C204" i="18"/>
  <c r="Z25" i="10"/>
  <c r="Z37" i="10" s="1"/>
  <c r="AN32" i="5"/>
  <c r="AM34" i="5"/>
  <c r="AM72" i="5"/>
  <c r="AM10" i="6" s="1"/>
  <c r="AL39" i="5"/>
  <c r="AL74" i="5"/>
  <c r="AL12" i="6" s="1"/>
  <c r="AK44" i="5"/>
  <c r="AK84" i="5" s="1"/>
  <c r="AK20" i="6" s="1"/>
  <c r="AK79" i="5"/>
  <c r="AK16" i="6" s="1"/>
  <c r="AJ28" i="6"/>
  <c r="AJ13" i="7"/>
  <c r="AJ21" i="11" s="1"/>
  <c r="AJ14" i="7"/>
  <c r="AJ22" i="11" s="1"/>
  <c r="AI13" i="11"/>
  <c r="E164" i="18"/>
  <c r="H70" i="15"/>
  <c r="E71" i="15"/>
  <c r="AN12" i="5"/>
  <c r="AM14" i="5"/>
  <c r="AM19" i="5" s="1"/>
  <c r="AM24" i="5" s="1"/>
  <c r="AK21" i="5"/>
  <c r="AJ23" i="5"/>
  <c r="AJ26" i="5"/>
  <c r="AJ28" i="5"/>
  <c r="C50" i="18"/>
  <c r="AK25" i="14"/>
  <c r="AL23" i="14" s="1"/>
  <c r="AK26" i="14"/>
  <c r="AD36" i="10" l="1"/>
  <c r="D209" i="18" s="1"/>
  <c r="AE34" i="10"/>
  <c r="AE41" i="11"/>
  <c r="AE30" i="14"/>
  <c r="AF28" i="14" s="1"/>
  <c r="AE36" i="14"/>
  <c r="AE38" i="14" s="1"/>
  <c r="AE35" i="10" s="1"/>
  <c r="AF33" i="14"/>
  <c r="AF35" i="14" s="1"/>
  <c r="AF37" i="14" s="1"/>
  <c r="AF31" i="14"/>
  <c r="AF36" i="14" s="1"/>
  <c r="AF38" i="14" s="1"/>
  <c r="AF35" i="10" s="1"/>
  <c r="AG29" i="14"/>
  <c r="AG32" i="14"/>
  <c r="AJ83" i="5"/>
  <c r="AJ19" i="6" s="1"/>
  <c r="AJ27" i="6" s="1"/>
  <c r="AI12" i="11"/>
  <c r="D164" i="18"/>
  <c r="AI14" i="11"/>
  <c r="F164" i="18"/>
  <c r="AI15" i="11"/>
  <c r="G164" i="18"/>
  <c r="AM61" i="5"/>
  <c r="AL63" i="5"/>
  <c r="AL66" i="5"/>
  <c r="AL68" i="5"/>
  <c r="E52" i="18"/>
  <c r="AO52" i="5"/>
  <c r="AN54" i="5"/>
  <c r="AN59" i="5" s="1"/>
  <c r="AN64" i="5" s="1"/>
  <c r="AL41" i="5"/>
  <c r="AK43" i="5"/>
  <c r="AK46" i="5"/>
  <c r="AK48" i="5"/>
  <c r="AK88" i="5" s="1"/>
  <c r="AK22" i="6" s="1"/>
  <c r="AK30" i="6" s="1"/>
  <c r="AK81" i="5"/>
  <c r="AK18" i="6" s="1"/>
  <c r="D51" i="18"/>
  <c r="AJ14" i="11"/>
  <c r="F165" i="18"/>
  <c r="AJ15" i="11"/>
  <c r="G165" i="18"/>
  <c r="AJ34" i="6"/>
  <c r="K165" i="18" s="1"/>
  <c r="AJ26" i="6"/>
  <c r="AJ31" i="6"/>
  <c r="AJ32" i="6"/>
  <c r="I165" i="18" s="1"/>
  <c r="AJ33" i="6"/>
  <c r="J165" i="18" s="1"/>
  <c r="AJ10" i="7"/>
  <c r="AJ12" i="7"/>
  <c r="AJ20" i="11" s="1"/>
  <c r="AJ41" i="9"/>
  <c r="AI11" i="11"/>
  <c r="C164" i="18"/>
  <c r="AI36" i="6"/>
  <c r="H164" i="18"/>
  <c r="AI47" i="9"/>
  <c r="AI34" i="11"/>
  <c r="AI18" i="11"/>
  <c r="AH37" i="6"/>
  <c r="AH16" i="11"/>
  <c r="AH25" i="11"/>
  <c r="AH28" i="10"/>
  <c r="AG26" i="10"/>
  <c r="AG10" i="11"/>
  <c r="AG11" i="7"/>
  <c r="C90" i="16"/>
  <c r="AF15" i="7"/>
  <c r="AF19" i="11"/>
  <c r="AE29" i="10"/>
  <c r="AE17" i="11"/>
  <c r="AD23" i="11"/>
  <c r="D88" i="16"/>
  <c r="AC24" i="11"/>
  <c r="AC37" i="11"/>
  <c r="AB38" i="11"/>
  <c r="AB40" i="11"/>
  <c r="AB42" i="11" s="1"/>
  <c r="AA43" i="11"/>
  <c r="I66" i="15"/>
  <c r="G67" i="15"/>
  <c r="I95" i="15"/>
  <c r="G96" i="15"/>
  <c r="C205" i="18"/>
  <c r="AA25" i="10"/>
  <c r="AA37" i="10" s="1"/>
  <c r="AO32" i="5"/>
  <c r="AN34" i="5"/>
  <c r="AN72" i="5"/>
  <c r="AN10" i="6" s="1"/>
  <c r="AM39" i="5"/>
  <c r="AM74" i="5"/>
  <c r="AM12" i="6" s="1"/>
  <c r="AL44" i="5"/>
  <c r="AL84" i="5" s="1"/>
  <c r="AL20" i="6" s="1"/>
  <c r="AL79" i="5"/>
  <c r="AL16" i="6" s="1"/>
  <c r="AK28" i="6"/>
  <c r="AK13" i="7"/>
  <c r="AK21" i="11" s="1"/>
  <c r="AK14" i="7"/>
  <c r="AK22" i="11" s="1"/>
  <c r="AJ13" i="11"/>
  <c r="E165" i="18"/>
  <c r="H71" i="15"/>
  <c r="E72" i="15"/>
  <c r="AO12" i="5"/>
  <c r="AN14" i="5"/>
  <c r="AN19" i="5" s="1"/>
  <c r="AN24" i="5" s="1"/>
  <c r="AL21" i="5"/>
  <c r="AK23" i="5"/>
  <c r="AK26" i="5"/>
  <c r="AK28" i="5"/>
  <c r="C51" i="18"/>
  <c r="AL25" i="14"/>
  <c r="AM23" i="14" s="1"/>
  <c r="AL26" i="14"/>
  <c r="AF30" i="14" l="1"/>
  <c r="AG28" i="14" s="1"/>
  <c r="AF41" i="11"/>
  <c r="AF34" i="10"/>
  <c r="AG31" i="14"/>
  <c r="AG33" i="14"/>
  <c r="AG35" i="14" s="1"/>
  <c r="AG37" i="14" s="1"/>
  <c r="AH29" i="14"/>
  <c r="AH32" i="14" s="1"/>
  <c r="AE36" i="10"/>
  <c r="D210" i="18" s="1"/>
  <c r="D23" i="13"/>
  <c r="D39" i="13"/>
  <c r="AJ12" i="11"/>
  <c r="D165" i="18"/>
  <c r="E46" i="12"/>
  <c r="E47" i="12" s="1"/>
  <c r="E48" i="12" s="1"/>
  <c r="E52" i="12" s="1"/>
  <c r="AA44" i="11"/>
  <c r="F10" i="18" s="1"/>
  <c r="AK86" i="5"/>
  <c r="AK21" i="6" s="1"/>
  <c r="AK29" i="6" s="1"/>
  <c r="AK83" i="5"/>
  <c r="AK19" i="6" s="1"/>
  <c r="AK27" i="6" s="1"/>
  <c r="AN61" i="5"/>
  <c r="AM63" i="5"/>
  <c r="AM66" i="5"/>
  <c r="AM68" i="5"/>
  <c r="E53" i="18"/>
  <c r="AP52" i="5"/>
  <c r="AO54" i="5"/>
  <c r="AO59" i="5" s="1"/>
  <c r="AO64" i="5" s="1"/>
  <c r="AM41" i="5"/>
  <c r="AL43" i="5"/>
  <c r="AL83" i="5" s="1"/>
  <c r="AL19" i="6" s="1"/>
  <c r="AL27" i="6" s="1"/>
  <c r="AL46" i="5"/>
  <c r="AL86" i="5" s="1"/>
  <c r="AL21" i="6" s="1"/>
  <c r="AL29" i="6" s="1"/>
  <c r="AL48" i="5"/>
  <c r="AL81" i="5"/>
  <c r="AL18" i="6" s="1"/>
  <c r="D52" i="18"/>
  <c r="AK15" i="11"/>
  <c r="G166" i="18"/>
  <c r="AK34" i="6"/>
  <c r="K166" i="18" s="1"/>
  <c r="AK26" i="6"/>
  <c r="AK31" i="6"/>
  <c r="AK32" i="6"/>
  <c r="I166" i="18" s="1"/>
  <c r="AK33" i="6"/>
  <c r="J166" i="18" s="1"/>
  <c r="AK12" i="7"/>
  <c r="AK20" i="11" s="1"/>
  <c r="AK41" i="9"/>
  <c r="AK10" i="7"/>
  <c r="AJ11" i="11"/>
  <c r="C165" i="18"/>
  <c r="AJ36" i="6"/>
  <c r="H165" i="18"/>
  <c r="AJ18" i="11"/>
  <c r="AJ47" i="9"/>
  <c r="AJ34" i="11"/>
  <c r="AI16" i="11"/>
  <c r="AI37" i="6"/>
  <c r="AI25" i="11"/>
  <c r="AI28" i="10"/>
  <c r="AH26" i="10"/>
  <c r="AH11" i="7"/>
  <c r="AH10" i="11"/>
  <c r="C91" i="16"/>
  <c r="AG15" i="7"/>
  <c r="AG19" i="11"/>
  <c r="AF29" i="10"/>
  <c r="AF17" i="11"/>
  <c r="AE23" i="11"/>
  <c r="D89" i="16"/>
  <c r="AD24" i="11"/>
  <c r="AD37" i="11"/>
  <c r="AC38" i="11"/>
  <c r="AC40" i="11"/>
  <c r="AC42" i="11" s="1"/>
  <c r="AB43" i="11"/>
  <c r="AB44" i="11" s="1"/>
  <c r="I67" i="15"/>
  <c r="G68" i="15"/>
  <c r="I96" i="15"/>
  <c r="G97" i="15"/>
  <c r="D31" i="13"/>
  <c r="F11" i="18"/>
  <c r="C206" i="18"/>
  <c r="AB25" i="10"/>
  <c r="AP32" i="5"/>
  <c r="AO34" i="5"/>
  <c r="AO72" i="5"/>
  <c r="AO10" i="6" s="1"/>
  <c r="AN39" i="5"/>
  <c r="AN74" i="5"/>
  <c r="AN12" i="6" s="1"/>
  <c r="AM44" i="5"/>
  <c r="AM84" i="5" s="1"/>
  <c r="AM20" i="6" s="1"/>
  <c r="AM79" i="5"/>
  <c r="AM16" i="6" s="1"/>
  <c r="AL28" i="6"/>
  <c r="AL14" i="7"/>
  <c r="AL22" i="11" s="1"/>
  <c r="AL13" i="7"/>
  <c r="AL21" i="11" s="1"/>
  <c r="AK13" i="11"/>
  <c r="E166" i="18"/>
  <c r="H72" i="15"/>
  <c r="E73" i="15"/>
  <c r="AP12" i="5"/>
  <c r="AO14" i="5"/>
  <c r="AO19" i="5" s="1"/>
  <c r="AO24" i="5" s="1"/>
  <c r="AM21" i="5"/>
  <c r="AL23" i="5"/>
  <c r="AL26" i="5"/>
  <c r="AL28" i="5"/>
  <c r="C52" i="18"/>
  <c r="AM25" i="14"/>
  <c r="AN23" i="14" s="1"/>
  <c r="AM26" i="14"/>
  <c r="AK14" i="11" l="1"/>
  <c r="F166" i="18"/>
  <c r="AG30" i="14"/>
  <c r="AH28" i="14" s="1"/>
  <c r="AG36" i="14"/>
  <c r="AG38" i="14" s="1"/>
  <c r="AG35" i="10" s="1"/>
  <c r="AG34" i="10"/>
  <c r="AG41" i="11"/>
  <c r="AH31" i="14"/>
  <c r="AH36" i="14" s="1"/>
  <c r="AH38" i="14" s="1"/>
  <c r="AH35" i="10" s="1"/>
  <c r="AH33" i="14"/>
  <c r="AH35" i="14" s="1"/>
  <c r="AH37" i="14" s="1"/>
  <c r="AI29" i="14"/>
  <c r="AI32" i="14" s="1"/>
  <c r="AF36" i="10"/>
  <c r="D211" i="18" s="1"/>
  <c r="AL88" i="5"/>
  <c r="AL22" i="6" s="1"/>
  <c r="AL30" i="6" s="1"/>
  <c r="AK12" i="11"/>
  <c r="D166" i="18"/>
  <c r="AO61" i="5"/>
  <c r="AN63" i="5"/>
  <c r="AN66" i="5"/>
  <c r="AN68" i="5"/>
  <c r="AQ52" i="5"/>
  <c r="AP54" i="5"/>
  <c r="AP59" i="5" s="1"/>
  <c r="AP64" i="5" s="1"/>
  <c r="AN41" i="5"/>
  <c r="AM43" i="5"/>
  <c r="AM83" i="5" s="1"/>
  <c r="AM19" i="6" s="1"/>
  <c r="AM27" i="6" s="1"/>
  <c r="AM46" i="5"/>
  <c r="AM86" i="5" s="1"/>
  <c r="AM21" i="6" s="1"/>
  <c r="AM29" i="6" s="1"/>
  <c r="AM48" i="5"/>
  <c r="AM88" i="5" s="1"/>
  <c r="AM22" i="6" s="1"/>
  <c r="AM30" i="6" s="1"/>
  <c r="AM81" i="5"/>
  <c r="AM18" i="6" s="1"/>
  <c r="D53" i="18"/>
  <c r="AL12" i="11"/>
  <c r="D167" i="18"/>
  <c r="AL14" i="11"/>
  <c r="F167" i="18"/>
  <c r="AL34" i="6"/>
  <c r="K167" i="18" s="1"/>
  <c r="AL26" i="6"/>
  <c r="AL31" i="6"/>
  <c r="AL32" i="6"/>
  <c r="I167" i="18" s="1"/>
  <c r="AL33" i="6"/>
  <c r="J167" i="18" s="1"/>
  <c r="AL12" i="7"/>
  <c r="AL20" i="11" s="1"/>
  <c r="AL10" i="7"/>
  <c r="AL41" i="9"/>
  <c r="AK11" i="11"/>
  <c r="C166" i="18"/>
  <c r="AK36" i="6"/>
  <c r="H166" i="18"/>
  <c r="AK47" i="9"/>
  <c r="AK34" i="11"/>
  <c r="AK18" i="11"/>
  <c r="AJ37" i="6"/>
  <c r="AJ16" i="11"/>
  <c r="AJ25" i="11"/>
  <c r="AJ28" i="10"/>
  <c r="AI26" i="10"/>
  <c r="AI10" i="11"/>
  <c r="AI11" i="7"/>
  <c r="AH15" i="7"/>
  <c r="AH19" i="11"/>
  <c r="C92" i="16"/>
  <c r="AG17" i="11"/>
  <c r="AG29" i="10"/>
  <c r="AG36" i="10" s="1"/>
  <c r="D212" i="18" s="1"/>
  <c r="AF23" i="11"/>
  <c r="D90" i="16"/>
  <c r="AE24" i="11"/>
  <c r="AE37" i="11"/>
  <c r="AD38" i="11"/>
  <c r="AD40" i="11"/>
  <c r="AD42" i="11" s="1"/>
  <c r="AC43" i="11"/>
  <c r="AC44" i="11" s="1"/>
  <c r="E53" i="12"/>
  <c r="E55" i="12" s="1"/>
  <c r="I68" i="15"/>
  <c r="G69" i="15"/>
  <c r="I97" i="15"/>
  <c r="G98" i="15"/>
  <c r="AB37" i="10"/>
  <c r="F51" i="12"/>
  <c r="AQ32" i="5"/>
  <c r="AP34" i="5"/>
  <c r="AP72" i="5"/>
  <c r="AP10" i="6" s="1"/>
  <c r="AO39" i="5"/>
  <c r="AO74" i="5"/>
  <c r="AO12" i="6" s="1"/>
  <c r="AN44" i="5"/>
  <c r="AN84" i="5" s="1"/>
  <c r="AN20" i="6" s="1"/>
  <c r="AN79" i="5"/>
  <c r="AN16" i="6" s="1"/>
  <c r="AM28" i="6"/>
  <c r="AM13" i="7"/>
  <c r="AM21" i="11" s="1"/>
  <c r="F23" i="12" s="1"/>
  <c r="G23" i="12" s="1"/>
  <c r="AM14" i="7"/>
  <c r="AM22" i="11" s="1"/>
  <c r="F24" i="12" s="1"/>
  <c r="G24" i="12" s="1"/>
  <c r="AL13" i="11"/>
  <c r="E167" i="18"/>
  <c r="H73" i="15"/>
  <c r="E74" i="15"/>
  <c r="AQ12" i="5"/>
  <c r="AP14" i="5"/>
  <c r="AP19" i="5" s="1"/>
  <c r="AP24" i="5" s="1"/>
  <c r="AN21" i="5"/>
  <c r="AM23" i="5"/>
  <c r="AM26" i="5"/>
  <c r="AM28" i="5"/>
  <c r="C53" i="18"/>
  <c r="AN25" i="14"/>
  <c r="AO23" i="14" s="1"/>
  <c r="AN26" i="14"/>
  <c r="AH30" i="14" l="1"/>
  <c r="AI28" i="14" s="1"/>
  <c r="AH34" i="10"/>
  <c r="AH41" i="11"/>
  <c r="AI33" i="14"/>
  <c r="AI35" i="14" s="1"/>
  <c r="AI37" i="14" s="1"/>
  <c r="AI31" i="14"/>
  <c r="AJ29" i="14"/>
  <c r="AJ32" i="14" s="1"/>
  <c r="AL15" i="11"/>
  <c r="G167" i="18"/>
  <c r="AP61" i="5"/>
  <c r="AO63" i="5"/>
  <c r="AO66" i="5"/>
  <c r="AO68" i="5"/>
  <c r="AR52" i="5"/>
  <c r="AQ54" i="5"/>
  <c r="AQ59" i="5" s="1"/>
  <c r="AQ64" i="5" s="1"/>
  <c r="AO41" i="5"/>
  <c r="AN43" i="5"/>
  <c r="AN83" i="5" s="1"/>
  <c r="AN19" i="6" s="1"/>
  <c r="AN27" i="6" s="1"/>
  <c r="AN12" i="11" s="1"/>
  <c r="AN46" i="5"/>
  <c r="AN86" i="5" s="1"/>
  <c r="AN21" i="6" s="1"/>
  <c r="AN29" i="6" s="1"/>
  <c r="AN14" i="11" s="1"/>
  <c r="AN48" i="5"/>
  <c r="AN81" i="5"/>
  <c r="AN18" i="6" s="1"/>
  <c r="AM12" i="11"/>
  <c r="F8" i="12" s="1"/>
  <c r="D168" i="18"/>
  <c r="AM14" i="11"/>
  <c r="F10" i="12" s="1"/>
  <c r="F168" i="18"/>
  <c r="AM15" i="11"/>
  <c r="G168" i="18"/>
  <c r="AM34" i="6"/>
  <c r="K168" i="18" s="1"/>
  <c r="AM26" i="6"/>
  <c r="AM31" i="6"/>
  <c r="AM32" i="6"/>
  <c r="I168" i="18" s="1"/>
  <c r="AM33" i="6"/>
  <c r="J168" i="18" s="1"/>
  <c r="AM12" i="7"/>
  <c r="AM20" i="11" s="1"/>
  <c r="F22" i="12" s="1"/>
  <c r="G22" i="12" s="1"/>
  <c r="AM10" i="7"/>
  <c r="AM41" i="9"/>
  <c r="G7" i="18"/>
  <c r="AL11" i="11"/>
  <c r="C167" i="18"/>
  <c r="AL36" i="6"/>
  <c r="H167" i="18"/>
  <c r="AL18" i="11"/>
  <c r="AL47" i="9"/>
  <c r="AL34" i="11"/>
  <c r="AK37" i="6"/>
  <c r="AK16" i="11"/>
  <c r="AK25" i="11"/>
  <c r="AK28" i="10"/>
  <c r="AJ26" i="10"/>
  <c r="AJ10" i="11"/>
  <c r="AJ11" i="7"/>
  <c r="C93" i="16"/>
  <c r="AI15" i="7"/>
  <c r="AI19" i="11"/>
  <c r="AH29" i="10"/>
  <c r="AH17" i="11"/>
  <c r="AG23" i="11"/>
  <c r="D91" i="16"/>
  <c r="AF24" i="11"/>
  <c r="AF37" i="11"/>
  <c r="AE38" i="11"/>
  <c r="AE40" i="11"/>
  <c r="AE42" i="11" s="1"/>
  <c r="AD43" i="11"/>
  <c r="AD44" i="11" s="1"/>
  <c r="I69" i="15"/>
  <c r="G70" i="15"/>
  <c r="I98" i="15"/>
  <c r="G99" i="15"/>
  <c r="C207" i="18"/>
  <c r="AC25" i="10"/>
  <c r="AC37" i="10" s="1"/>
  <c r="AR32" i="5"/>
  <c r="AQ34" i="5"/>
  <c r="AQ72" i="5"/>
  <c r="AQ10" i="6" s="1"/>
  <c r="AP39" i="5"/>
  <c r="AP74" i="5"/>
  <c r="AP12" i="6" s="1"/>
  <c r="AO44" i="5"/>
  <c r="AO84" i="5" s="1"/>
  <c r="AO20" i="6" s="1"/>
  <c r="AO79" i="5"/>
  <c r="AO16" i="6" s="1"/>
  <c r="AN28" i="6"/>
  <c r="AN13" i="11" s="1"/>
  <c r="AN14" i="7"/>
  <c r="AN22" i="11" s="1"/>
  <c r="AN13" i="7"/>
  <c r="AN21" i="11" s="1"/>
  <c r="AM13" i="11"/>
  <c r="F9" i="12" s="1"/>
  <c r="E168" i="18"/>
  <c r="H74" i="15"/>
  <c r="E75" i="15"/>
  <c r="H75" i="15" s="1"/>
  <c r="AR12" i="5"/>
  <c r="AQ14" i="5"/>
  <c r="AQ19" i="5" s="1"/>
  <c r="AQ24" i="5" s="1"/>
  <c r="AO21" i="5"/>
  <c r="AN23" i="5"/>
  <c r="AN26" i="5"/>
  <c r="AN28" i="5"/>
  <c r="AO25" i="14"/>
  <c r="AP23" i="14" s="1"/>
  <c r="AO26" i="14"/>
  <c r="AH36" i="10" l="1"/>
  <c r="D213" i="18" s="1"/>
  <c r="AI34" i="10"/>
  <c r="AI41" i="11"/>
  <c r="AI30" i="14"/>
  <c r="AJ28" i="14" s="1"/>
  <c r="AI36" i="14"/>
  <c r="AI38" i="14" s="1"/>
  <c r="AI35" i="10" s="1"/>
  <c r="AJ33" i="14"/>
  <c r="AJ35" i="14" s="1"/>
  <c r="AJ37" i="14" s="1"/>
  <c r="AJ31" i="14"/>
  <c r="AJ36" i="14" s="1"/>
  <c r="AJ38" i="14" s="1"/>
  <c r="AJ35" i="10" s="1"/>
  <c r="AK29" i="14"/>
  <c r="AK32" i="14"/>
  <c r="F11" i="12"/>
  <c r="AN88" i="5"/>
  <c r="AN22" i="6" s="1"/>
  <c r="AN30" i="6" s="1"/>
  <c r="AN15" i="11" s="1"/>
  <c r="AQ61" i="5"/>
  <c r="AP63" i="5"/>
  <c r="AP66" i="5"/>
  <c r="AP68" i="5"/>
  <c r="AS52" i="5"/>
  <c r="AR54" i="5"/>
  <c r="AR59" i="5" s="1"/>
  <c r="AR64" i="5" s="1"/>
  <c r="AP41" i="5"/>
  <c r="AO43" i="5"/>
  <c r="AO83" i="5" s="1"/>
  <c r="AO19" i="6" s="1"/>
  <c r="AO27" i="6" s="1"/>
  <c r="AO12" i="11" s="1"/>
  <c r="AO46" i="5"/>
  <c r="AO86" i="5" s="1"/>
  <c r="AO21" i="6" s="1"/>
  <c r="AO29" i="6" s="1"/>
  <c r="AO14" i="11" s="1"/>
  <c r="AO48" i="5"/>
  <c r="AO81" i="5"/>
  <c r="AO18" i="6" s="1"/>
  <c r="AN34" i="6"/>
  <c r="AN26" i="6"/>
  <c r="AN11" i="11" s="1"/>
  <c r="AN31" i="6"/>
  <c r="AN32" i="6"/>
  <c r="AN33" i="6"/>
  <c r="AN41" i="9"/>
  <c r="AN12" i="7"/>
  <c r="AN20" i="11" s="1"/>
  <c r="AN10" i="7"/>
  <c r="G8" i="12"/>
  <c r="C109" i="18"/>
  <c r="C111" i="18"/>
  <c r="G10" i="12"/>
  <c r="C112" i="18"/>
  <c r="G11" i="12"/>
  <c r="AM11" i="11"/>
  <c r="F7" i="12" s="1"/>
  <c r="C168" i="18"/>
  <c r="H168" i="18"/>
  <c r="AM36" i="6"/>
  <c r="AM18" i="11"/>
  <c r="F20" i="12" s="1"/>
  <c r="AM47" i="9"/>
  <c r="AM34" i="11"/>
  <c r="F34" i="12" s="1"/>
  <c r="AL37" i="6"/>
  <c r="AL16" i="11"/>
  <c r="AL25" i="11"/>
  <c r="AL28" i="10"/>
  <c r="AK26" i="10"/>
  <c r="AK10" i="11"/>
  <c r="AK11" i="7"/>
  <c r="C94" i="16"/>
  <c r="AJ15" i="7"/>
  <c r="AJ19" i="11"/>
  <c r="AI29" i="10"/>
  <c r="AI17" i="11"/>
  <c r="AH23" i="11"/>
  <c r="D92" i="16"/>
  <c r="AG24" i="11"/>
  <c r="AG37" i="11"/>
  <c r="AF38" i="11"/>
  <c r="AF40" i="11"/>
  <c r="AF42" i="11" s="1"/>
  <c r="AE43" i="11"/>
  <c r="AE44" i="11" s="1"/>
  <c r="I70" i="15"/>
  <c r="G71" i="15"/>
  <c r="I99" i="15"/>
  <c r="G100" i="15"/>
  <c r="C208" i="18"/>
  <c r="AD25" i="10"/>
  <c r="AD37" i="10" s="1"/>
  <c r="AS32" i="5"/>
  <c r="AR34" i="5"/>
  <c r="AR72" i="5"/>
  <c r="AR10" i="6" s="1"/>
  <c r="AQ39" i="5"/>
  <c r="AQ74" i="5"/>
  <c r="AQ12" i="6" s="1"/>
  <c r="AP44" i="5"/>
  <c r="AP84" i="5" s="1"/>
  <c r="AP20" i="6" s="1"/>
  <c r="AP79" i="5"/>
  <c r="AP16" i="6" s="1"/>
  <c r="AO28" i="6"/>
  <c r="AO13" i="11" s="1"/>
  <c r="AO13" i="7"/>
  <c r="AO21" i="11" s="1"/>
  <c r="AO14" i="7"/>
  <c r="AO22" i="11" s="1"/>
  <c r="G9" i="12"/>
  <c r="C110" i="18"/>
  <c r="AS12" i="5"/>
  <c r="AR14" i="5"/>
  <c r="AR19" i="5" s="1"/>
  <c r="AR24" i="5" s="1"/>
  <c r="AP21" i="5"/>
  <c r="AO23" i="5"/>
  <c r="AO26" i="5"/>
  <c r="AO28" i="5"/>
  <c r="AP25" i="14"/>
  <c r="AQ23" i="14" s="1"/>
  <c r="AP26" i="14"/>
  <c r="AJ30" i="14" l="1"/>
  <c r="AK28" i="14" s="1"/>
  <c r="AJ34" i="10"/>
  <c r="AJ41" i="11"/>
  <c r="AK33" i="14"/>
  <c r="AK35" i="14" s="1"/>
  <c r="AK37" i="14" s="1"/>
  <c r="AK31" i="14"/>
  <c r="AL29" i="14"/>
  <c r="AL32" i="14" s="1"/>
  <c r="AI36" i="10"/>
  <c r="D214" i="18" s="1"/>
  <c r="AO88" i="5"/>
  <c r="AO22" i="6" s="1"/>
  <c r="AO30" i="6" s="1"/>
  <c r="AO15" i="11" s="1"/>
  <c r="AR61" i="5"/>
  <c r="AQ63" i="5"/>
  <c r="AQ66" i="5"/>
  <c r="AQ68" i="5"/>
  <c r="AT52" i="5"/>
  <c r="AS54" i="5"/>
  <c r="AS59" i="5" s="1"/>
  <c r="AS64" i="5" s="1"/>
  <c r="AQ41" i="5"/>
  <c r="AP43" i="5"/>
  <c r="AP83" i="5" s="1"/>
  <c r="AP19" i="6" s="1"/>
  <c r="AP27" i="6" s="1"/>
  <c r="AP12" i="11" s="1"/>
  <c r="AP46" i="5"/>
  <c r="AP48" i="5"/>
  <c r="AP81" i="5"/>
  <c r="AP18" i="6" s="1"/>
  <c r="AO34" i="6"/>
  <c r="AO26" i="6"/>
  <c r="AO11" i="11" s="1"/>
  <c r="AO31" i="6"/>
  <c r="AO32" i="6"/>
  <c r="AO33" i="6"/>
  <c r="AO10" i="7"/>
  <c r="AO12" i="7"/>
  <c r="AO20" i="11" s="1"/>
  <c r="AO41" i="9"/>
  <c r="AN47" i="9"/>
  <c r="AN34" i="11"/>
  <c r="AN18" i="11"/>
  <c r="C108" i="18"/>
  <c r="G7" i="12"/>
  <c r="AM37" i="6"/>
  <c r="AM16" i="11"/>
  <c r="F12" i="12" s="1"/>
  <c r="F13" i="12" s="1"/>
  <c r="F17" i="12" s="1"/>
  <c r="G20" i="12"/>
  <c r="AM25" i="11"/>
  <c r="E37" i="13" s="1"/>
  <c r="F37" i="13" s="1"/>
  <c r="AM28" i="10"/>
  <c r="AL11" i="7"/>
  <c r="AL26" i="10"/>
  <c r="AL10" i="11"/>
  <c r="C95" i="16"/>
  <c r="AK15" i="7"/>
  <c r="AK19" i="11"/>
  <c r="AJ29" i="10"/>
  <c r="AJ36" i="10" s="1"/>
  <c r="D215" i="18" s="1"/>
  <c r="AJ17" i="11"/>
  <c r="AI23" i="11"/>
  <c r="D93" i="16"/>
  <c r="AH24" i="11"/>
  <c r="AH37" i="11"/>
  <c r="AG38" i="11"/>
  <c r="AG40" i="11"/>
  <c r="AG42" i="11" s="1"/>
  <c r="AF43" i="11"/>
  <c r="AF44" i="11" s="1"/>
  <c r="I71" i="15"/>
  <c r="G72" i="15"/>
  <c r="I100" i="15"/>
  <c r="G101" i="15"/>
  <c r="C209" i="18"/>
  <c r="AE25" i="10"/>
  <c r="AE37" i="10" s="1"/>
  <c r="AT32" i="5"/>
  <c r="AS34" i="5"/>
  <c r="AS72" i="5"/>
  <c r="AS10" i="6" s="1"/>
  <c r="AR39" i="5"/>
  <c r="AR74" i="5"/>
  <c r="AR12" i="6" s="1"/>
  <c r="AQ44" i="5"/>
  <c r="AQ84" i="5" s="1"/>
  <c r="AQ20" i="6" s="1"/>
  <c r="AQ79" i="5"/>
  <c r="AQ16" i="6" s="1"/>
  <c r="AP28" i="6"/>
  <c r="AP13" i="11" s="1"/>
  <c r="AP13" i="7"/>
  <c r="AP21" i="11" s="1"/>
  <c r="AP14" i="7"/>
  <c r="AP22" i="11" s="1"/>
  <c r="AT12" i="5"/>
  <c r="AS14" i="5"/>
  <c r="AS19" i="5" s="1"/>
  <c r="AS24" i="5" s="1"/>
  <c r="AQ21" i="5"/>
  <c r="AP23" i="5"/>
  <c r="AP26" i="5"/>
  <c r="AP28" i="5"/>
  <c r="AQ25" i="14"/>
  <c r="AR23" i="14" s="1"/>
  <c r="AQ26" i="14"/>
  <c r="AN36" i="6"/>
  <c r="F37" i="12"/>
  <c r="G34" i="12"/>
  <c r="G37" i="12" s="1"/>
  <c r="AK34" i="10" l="1"/>
  <c r="AK41" i="11"/>
  <c r="AK30" i="14"/>
  <c r="AL28" i="14" s="1"/>
  <c r="AL30" i="14" s="1"/>
  <c r="AM28" i="14" s="1"/>
  <c r="AK36" i="14"/>
  <c r="AK38" i="14" s="1"/>
  <c r="AK35" i="10" s="1"/>
  <c r="AL31" i="14"/>
  <c r="AL36" i="14" s="1"/>
  <c r="AL38" i="14" s="1"/>
  <c r="AL35" i="10" s="1"/>
  <c r="AL33" i="14"/>
  <c r="AL35" i="14" s="1"/>
  <c r="AL37" i="14" s="1"/>
  <c r="AM29" i="14"/>
  <c r="AM32" i="14" s="1"/>
  <c r="AO36" i="6"/>
  <c r="AP86" i="5"/>
  <c r="AP21" i="6" s="1"/>
  <c r="AP29" i="6" s="1"/>
  <c r="AP14" i="11" s="1"/>
  <c r="AP88" i="5"/>
  <c r="AP22" i="6" s="1"/>
  <c r="AP30" i="6" s="1"/>
  <c r="AP15" i="11" s="1"/>
  <c r="E29" i="13"/>
  <c r="F29" i="13" s="1"/>
  <c r="E21" i="13"/>
  <c r="F21" i="13" s="1"/>
  <c r="AS61" i="5"/>
  <c r="AR63" i="5"/>
  <c r="AR66" i="5"/>
  <c r="AR68" i="5"/>
  <c r="AU52" i="5"/>
  <c r="AT54" i="5"/>
  <c r="AT59" i="5" s="1"/>
  <c r="AT64" i="5" s="1"/>
  <c r="AR41" i="5"/>
  <c r="AQ43" i="5"/>
  <c r="AQ83" i="5" s="1"/>
  <c r="AQ19" i="6" s="1"/>
  <c r="AQ27" i="6" s="1"/>
  <c r="AQ12" i="11" s="1"/>
  <c r="AQ46" i="5"/>
  <c r="AQ86" i="5" s="1"/>
  <c r="AQ21" i="6" s="1"/>
  <c r="AQ29" i="6" s="1"/>
  <c r="AQ14" i="11" s="1"/>
  <c r="AQ48" i="5"/>
  <c r="AQ88" i="5" s="1"/>
  <c r="AQ22" i="6" s="1"/>
  <c r="AQ30" i="6" s="1"/>
  <c r="AQ15" i="11" s="1"/>
  <c r="AQ81" i="5"/>
  <c r="AQ18" i="6" s="1"/>
  <c r="AP34" i="6"/>
  <c r="AP26" i="6"/>
  <c r="AP11" i="11" s="1"/>
  <c r="AP31" i="6"/>
  <c r="AP32" i="6"/>
  <c r="AP33" i="6"/>
  <c r="AP41" i="9"/>
  <c r="AP10" i="7"/>
  <c r="AP12" i="7"/>
  <c r="AP20" i="11" s="1"/>
  <c r="AO18" i="11"/>
  <c r="AO47" i="9"/>
  <c r="AO34" i="11"/>
  <c r="AN25" i="11"/>
  <c r="AN28" i="10"/>
  <c r="AM26" i="10"/>
  <c r="AM10" i="11"/>
  <c r="G8" i="18"/>
  <c r="AM11" i="7"/>
  <c r="G12" i="12"/>
  <c r="G13" i="12" s="1"/>
  <c r="G17" i="12" s="1"/>
  <c r="C113" i="18"/>
  <c r="C114" i="18" s="1"/>
  <c r="AL15" i="7"/>
  <c r="AL19" i="11"/>
  <c r="C96" i="16"/>
  <c r="AK29" i="10"/>
  <c r="AK17" i="11"/>
  <c r="AJ23" i="11"/>
  <c r="D94" i="16"/>
  <c r="AI24" i="11"/>
  <c r="AI37" i="11"/>
  <c r="AH38" i="11"/>
  <c r="AH40" i="11"/>
  <c r="AH42" i="11" s="1"/>
  <c r="AG43" i="11"/>
  <c r="AG44" i="11" s="1"/>
  <c r="I72" i="15"/>
  <c r="G73" i="15"/>
  <c r="I101" i="15"/>
  <c r="G102" i="15"/>
  <c r="C210" i="18"/>
  <c r="AF25" i="10"/>
  <c r="AF37" i="10" s="1"/>
  <c r="AU32" i="5"/>
  <c r="AT34" i="5"/>
  <c r="AT72" i="5"/>
  <c r="AT10" i="6" s="1"/>
  <c r="AS39" i="5"/>
  <c r="AS74" i="5"/>
  <c r="AS12" i="6" s="1"/>
  <c r="AR44" i="5"/>
  <c r="AR84" i="5" s="1"/>
  <c r="AR20" i="6" s="1"/>
  <c r="AR79" i="5"/>
  <c r="AR16" i="6" s="1"/>
  <c r="AQ28" i="6"/>
  <c r="AQ13" i="11" s="1"/>
  <c r="AQ13" i="7"/>
  <c r="AQ21" i="11" s="1"/>
  <c r="AQ14" i="7"/>
  <c r="AQ22" i="11" s="1"/>
  <c r="AU12" i="5"/>
  <c r="AT14" i="5"/>
  <c r="AT19" i="5" s="1"/>
  <c r="AT24" i="5" s="1"/>
  <c r="AR21" i="5"/>
  <c r="AQ23" i="5"/>
  <c r="AQ26" i="5"/>
  <c r="AQ28" i="5"/>
  <c r="AR25" i="14"/>
  <c r="AS23" i="14" s="1"/>
  <c r="AR26" i="14"/>
  <c r="AN16" i="11"/>
  <c r="AN37" i="6"/>
  <c r="AK36" i="10" l="1"/>
  <c r="D216" i="18" s="1"/>
  <c r="AL34" i="10"/>
  <c r="AL41" i="11"/>
  <c r="AM31" i="14"/>
  <c r="AM33" i="14"/>
  <c r="AM35" i="14" s="1"/>
  <c r="AM37" i="14" s="1"/>
  <c r="AN29" i="14"/>
  <c r="AN32" i="14" s="1"/>
  <c r="E18" i="13"/>
  <c r="E34" i="13"/>
  <c r="AO16" i="11"/>
  <c r="AO37" i="6"/>
  <c r="AO11" i="7" s="1"/>
  <c r="F18" i="13"/>
  <c r="AT61" i="5"/>
  <c r="AS63" i="5"/>
  <c r="AS66" i="5"/>
  <c r="AS68" i="5"/>
  <c r="AV52" i="5"/>
  <c r="AU54" i="5"/>
  <c r="AU59" i="5" s="1"/>
  <c r="AU64" i="5" s="1"/>
  <c r="AS41" i="5"/>
  <c r="AR43" i="5"/>
  <c r="AR83" i="5" s="1"/>
  <c r="AR19" i="6" s="1"/>
  <c r="AR27" i="6" s="1"/>
  <c r="AR12" i="11" s="1"/>
  <c r="AR46" i="5"/>
  <c r="AR86" i="5" s="1"/>
  <c r="AR21" i="6" s="1"/>
  <c r="AR29" i="6" s="1"/>
  <c r="AR14" i="11" s="1"/>
  <c r="AR48" i="5"/>
  <c r="AR88" i="5" s="1"/>
  <c r="AR22" i="6" s="1"/>
  <c r="AR30" i="6" s="1"/>
  <c r="AR15" i="11" s="1"/>
  <c r="AR81" i="5"/>
  <c r="AR18" i="6" s="1"/>
  <c r="AQ34" i="6"/>
  <c r="AQ26" i="6"/>
  <c r="AQ11" i="11" s="1"/>
  <c r="AQ31" i="6"/>
  <c r="AQ32" i="6"/>
  <c r="AQ33" i="6"/>
  <c r="AQ41" i="9"/>
  <c r="AQ10" i="7"/>
  <c r="AQ12" i="7"/>
  <c r="AQ20" i="11" s="1"/>
  <c r="AP47" i="9"/>
  <c r="AP34" i="11"/>
  <c r="AP18" i="11"/>
  <c r="AO25" i="11"/>
  <c r="AO28" i="10"/>
  <c r="D110" i="18"/>
  <c r="D112" i="18"/>
  <c r="D111" i="18"/>
  <c r="D109" i="18"/>
  <c r="E26" i="13"/>
  <c r="C97" i="16"/>
  <c r="AM15" i="7"/>
  <c r="AM19" i="11"/>
  <c r="F21" i="12" s="1"/>
  <c r="AL29" i="10"/>
  <c r="AL36" i="10" s="1"/>
  <c r="D217" i="18" s="1"/>
  <c r="AL17" i="11"/>
  <c r="AK23" i="11"/>
  <c r="D95" i="16"/>
  <c r="AJ24" i="11"/>
  <c r="AJ37" i="11"/>
  <c r="AI38" i="11"/>
  <c r="AI40" i="11"/>
  <c r="AI42" i="11" s="1"/>
  <c r="AH43" i="11"/>
  <c r="AH44" i="11" s="1"/>
  <c r="I73" i="15"/>
  <c r="G74" i="15"/>
  <c r="I102" i="15"/>
  <c r="G103" i="15"/>
  <c r="C211" i="18"/>
  <c r="AG25" i="10"/>
  <c r="AG37" i="10" s="1"/>
  <c r="AV32" i="5"/>
  <c r="AU34" i="5"/>
  <c r="AU72" i="5"/>
  <c r="AU10" i="6" s="1"/>
  <c r="AT39" i="5"/>
  <c r="AT74" i="5"/>
  <c r="AT12" i="6" s="1"/>
  <c r="AS44" i="5"/>
  <c r="AS84" i="5" s="1"/>
  <c r="AS20" i="6" s="1"/>
  <c r="AS79" i="5"/>
  <c r="AS16" i="6" s="1"/>
  <c r="AR28" i="6"/>
  <c r="AR13" i="11" s="1"/>
  <c r="AR14" i="7"/>
  <c r="AR22" i="11" s="1"/>
  <c r="AR13" i="7"/>
  <c r="AR21" i="11" s="1"/>
  <c r="AV12" i="5"/>
  <c r="AU14" i="5"/>
  <c r="AU19" i="5" s="1"/>
  <c r="AU24" i="5" s="1"/>
  <c r="AS21" i="5"/>
  <c r="AR23" i="5"/>
  <c r="AR26" i="5"/>
  <c r="AR28" i="5"/>
  <c r="AS25" i="14"/>
  <c r="AT23" i="14" s="1"/>
  <c r="AS26" i="14"/>
  <c r="AN26" i="10"/>
  <c r="AN11" i="7"/>
  <c r="AN10" i="11"/>
  <c r="AP36" i="6"/>
  <c r="D108" i="18"/>
  <c r="D113" i="18"/>
  <c r="AM30" i="14" l="1"/>
  <c r="AN28" i="14" s="1"/>
  <c r="AN30" i="14" s="1"/>
  <c r="AO28" i="14" s="1"/>
  <c r="AM36" i="14"/>
  <c r="AM38" i="14" s="1"/>
  <c r="AM35" i="10" s="1"/>
  <c r="F45" i="12" s="1"/>
  <c r="G45" i="12" s="1"/>
  <c r="AM41" i="11"/>
  <c r="AM34" i="10"/>
  <c r="F44" i="12" s="1"/>
  <c r="G44" i="12" s="1"/>
  <c r="AN31" i="14"/>
  <c r="AN36" i="14" s="1"/>
  <c r="AN38" i="14" s="1"/>
  <c r="AN35" i="10" s="1"/>
  <c r="AN33" i="14"/>
  <c r="AN35" i="14" s="1"/>
  <c r="AN37" i="14" s="1"/>
  <c r="AO29" i="14"/>
  <c r="AO32" i="14" s="1"/>
  <c r="F34" i="13"/>
  <c r="AO26" i="10"/>
  <c r="AO10" i="11"/>
  <c r="D114" i="18"/>
  <c r="AU61" i="5"/>
  <c r="AT63" i="5"/>
  <c r="AT66" i="5"/>
  <c r="AT68" i="5"/>
  <c r="AW52" i="5"/>
  <c r="AV54" i="5"/>
  <c r="AV59" i="5" s="1"/>
  <c r="AV64" i="5" s="1"/>
  <c r="AT41" i="5"/>
  <c r="AS43" i="5"/>
  <c r="AS83" i="5" s="1"/>
  <c r="AS19" i="6" s="1"/>
  <c r="AS27" i="6" s="1"/>
  <c r="AS12" i="11" s="1"/>
  <c r="AS46" i="5"/>
  <c r="AS86" i="5" s="1"/>
  <c r="AS21" i="6" s="1"/>
  <c r="AS29" i="6" s="1"/>
  <c r="AS14" i="11" s="1"/>
  <c r="AS48" i="5"/>
  <c r="AS88" i="5" s="1"/>
  <c r="AS22" i="6" s="1"/>
  <c r="AS30" i="6" s="1"/>
  <c r="AS15" i="11" s="1"/>
  <c r="AS81" i="5"/>
  <c r="AS18" i="6" s="1"/>
  <c r="AR34" i="6"/>
  <c r="AR26" i="6"/>
  <c r="AR11" i="11" s="1"/>
  <c r="AR31" i="6"/>
  <c r="AR32" i="6"/>
  <c r="AR33" i="6"/>
  <c r="AR41" i="9"/>
  <c r="AR12" i="7"/>
  <c r="AR20" i="11" s="1"/>
  <c r="AR10" i="7"/>
  <c r="AQ47" i="9"/>
  <c r="AQ34" i="11"/>
  <c r="AQ18" i="11"/>
  <c r="AP25" i="11"/>
  <c r="AP28" i="10"/>
  <c r="AO15" i="7"/>
  <c r="AO19" i="11"/>
  <c r="F26" i="13"/>
  <c r="AM17" i="11"/>
  <c r="AM29" i="10"/>
  <c r="F25" i="12"/>
  <c r="G21" i="12"/>
  <c r="G25" i="12" s="1"/>
  <c r="AL23" i="11"/>
  <c r="D96" i="16"/>
  <c r="AK24" i="11"/>
  <c r="AK37" i="11"/>
  <c r="AJ38" i="11"/>
  <c r="AJ40" i="11"/>
  <c r="AJ42" i="11" s="1"/>
  <c r="AI43" i="11"/>
  <c r="AI44" i="11" s="1"/>
  <c r="I74" i="15"/>
  <c r="G75" i="15"/>
  <c r="I75" i="15" s="1"/>
  <c r="I103" i="15"/>
  <c r="G104" i="15"/>
  <c r="I104" i="15" s="1"/>
  <c r="C212" i="18"/>
  <c r="AH25" i="10"/>
  <c r="AH37" i="10" s="1"/>
  <c r="AW32" i="5"/>
  <c r="AV34" i="5"/>
  <c r="AV72" i="5"/>
  <c r="AV10" i="6" s="1"/>
  <c r="AU39" i="5"/>
  <c r="AU74" i="5"/>
  <c r="AU12" i="6" s="1"/>
  <c r="AT44" i="5"/>
  <c r="AT84" i="5" s="1"/>
  <c r="AT20" i="6" s="1"/>
  <c r="AT79" i="5"/>
  <c r="AT16" i="6" s="1"/>
  <c r="AS28" i="6"/>
  <c r="AS13" i="11" s="1"/>
  <c r="AS14" i="7"/>
  <c r="AS22" i="11" s="1"/>
  <c r="AS13" i="7"/>
  <c r="AS21" i="11" s="1"/>
  <c r="AW12" i="5"/>
  <c r="AV14" i="5"/>
  <c r="AV19" i="5" s="1"/>
  <c r="AV24" i="5" s="1"/>
  <c r="AT21" i="5"/>
  <c r="AS23" i="5"/>
  <c r="AS26" i="5"/>
  <c r="AS28" i="5"/>
  <c r="AT25" i="14"/>
  <c r="AU23" i="14" s="1"/>
  <c r="AT26" i="14"/>
  <c r="AN15" i="7"/>
  <c r="AN19" i="11"/>
  <c r="AP16" i="11"/>
  <c r="AP37" i="6"/>
  <c r="AQ36" i="6"/>
  <c r="AM36" i="10" l="1"/>
  <c r="D218" i="18" s="1"/>
  <c r="AN34" i="10"/>
  <c r="AN41" i="11"/>
  <c r="AO33" i="14"/>
  <c r="AO35" i="14" s="1"/>
  <c r="AO37" i="14" s="1"/>
  <c r="AO31" i="14"/>
  <c r="AP29" i="14"/>
  <c r="AP32" i="14" s="1"/>
  <c r="E19" i="13"/>
  <c r="E22" i="13" s="1"/>
  <c r="E35" i="13"/>
  <c r="AR36" i="6"/>
  <c r="F19" i="13"/>
  <c r="AV61" i="5"/>
  <c r="AU63" i="5"/>
  <c r="AU66" i="5"/>
  <c r="AU68" i="5"/>
  <c r="AX52" i="5"/>
  <c r="AW54" i="5"/>
  <c r="AW59" i="5" s="1"/>
  <c r="AW64" i="5" s="1"/>
  <c r="AU41" i="5"/>
  <c r="AT43" i="5"/>
  <c r="AT83" i="5" s="1"/>
  <c r="AT19" i="6" s="1"/>
  <c r="AT27" i="6" s="1"/>
  <c r="AT12" i="11" s="1"/>
  <c r="AT46" i="5"/>
  <c r="AT86" i="5" s="1"/>
  <c r="AT21" i="6" s="1"/>
  <c r="AT29" i="6" s="1"/>
  <c r="AT14" i="11" s="1"/>
  <c r="AT48" i="5"/>
  <c r="AT88" i="5" s="1"/>
  <c r="AT22" i="6" s="1"/>
  <c r="AT30" i="6" s="1"/>
  <c r="AT15" i="11" s="1"/>
  <c r="AT81" i="5"/>
  <c r="AT18" i="6" s="1"/>
  <c r="AS34" i="6"/>
  <c r="AS26" i="6"/>
  <c r="AS11" i="11" s="1"/>
  <c r="AS31" i="6"/>
  <c r="AS32" i="6"/>
  <c r="AS33" i="6"/>
  <c r="AS10" i="7"/>
  <c r="AS12" i="7"/>
  <c r="AS20" i="11" s="1"/>
  <c r="AS41" i="9"/>
  <c r="AR47" i="9"/>
  <c r="AR34" i="11"/>
  <c r="AR18" i="11"/>
  <c r="AQ25" i="11"/>
  <c r="AQ28" i="10"/>
  <c r="AO29" i="10"/>
  <c r="AO17" i="11"/>
  <c r="AO23" i="11" s="1"/>
  <c r="AM23" i="11"/>
  <c r="E27" i="13"/>
  <c r="D97" i="16"/>
  <c r="AL24" i="11"/>
  <c r="AL37" i="11"/>
  <c r="AK38" i="11"/>
  <c r="AK40" i="11"/>
  <c r="AK42" i="11" s="1"/>
  <c r="AJ43" i="11"/>
  <c r="AJ44" i="11" s="1"/>
  <c r="C213" i="18"/>
  <c r="AI25" i="10"/>
  <c r="AI37" i="10" s="1"/>
  <c r="AX32" i="5"/>
  <c r="AW34" i="5"/>
  <c r="AW72" i="5"/>
  <c r="AW10" i="6" s="1"/>
  <c r="AV39" i="5"/>
  <c r="AV74" i="5"/>
  <c r="AV12" i="6" s="1"/>
  <c r="AU44" i="5"/>
  <c r="AU84" i="5" s="1"/>
  <c r="AU20" i="6" s="1"/>
  <c r="AU79" i="5"/>
  <c r="AU16" i="6" s="1"/>
  <c r="AT28" i="6"/>
  <c r="AT13" i="11" s="1"/>
  <c r="AT14" i="7"/>
  <c r="AT22" i="11" s="1"/>
  <c r="AT13" i="7"/>
  <c r="AT21" i="11" s="1"/>
  <c r="AX12" i="5"/>
  <c r="AW14" i="5"/>
  <c r="AW19" i="5" s="1"/>
  <c r="AW24" i="5" s="1"/>
  <c r="AU21" i="5"/>
  <c r="AT23" i="5"/>
  <c r="AT26" i="5"/>
  <c r="AT28" i="5"/>
  <c r="AU25" i="14"/>
  <c r="AV23" i="14" s="1"/>
  <c r="AU26" i="14"/>
  <c r="AN29" i="10"/>
  <c r="AN17" i="11"/>
  <c r="AN23" i="11" s="1"/>
  <c r="AP11" i="7"/>
  <c r="AP26" i="10"/>
  <c r="AP10" i="11"/>
  <c r="AQ16" i="11"/>
  <c r="AQ37" i="6"/>
  <c r="AO41" i="11" l="1"/>
  <c r="AO34" i="10"/>
  <c r="AO30" i="14"/>
  <c r="AP28" i="14" s="1"/>
  <c r="AO36" i="14"/>
  <c r="AO38" i="14" s="1"/>
  <c r="AO35" i="10" s="1"/>
  <c r="AP33" i="14"/>
  <c r="AP35" i="14" s="1"/>
  <c r="AP37" i="14" s="1"/>
  <c r="AP31" i="14"/>
  <c r="AP36" i="14" s="1"/>
  <c r="AP38" i="14" s="1"/>
  <c r="AP35" i="10" s="1"/>
  <c r="AQ29" i="14"/>
  <c r="AQ32" i="14"/>
  <c r="E38" i="13"/>
  <c r="F35" i="13"/>
  <c r="AN36" i="10"/>
  <c r="AR16" i="11"/>
  <c r="AR37" i="6"/>
  <c r="C61" i="18"/>
  <c r="F22" i="13"/>
  <c r="AW61" i="5"/>
  <c r="AV63" i="5"/>
  <c r="AV66" i="5"/>
  <c r="AV68" i="5"/>
  <c r="AY52" i="5"/>
  <c r="AX54" i="5"/>
  <c r="AX59" i="5" s="1"/>
  <c r="AX64" i="5" s="1"/>
  <c r="AV41" i="5"/>
  <c r="AU43" i="5"/>
  <c r="AU83" i="5" s="1"/>
  <c r="AU19" i="6" s="1"/>
  <c r="AU27" i="6" s="1"/>
  <c r="AU12" i="11" s="1"/>
  <c r="AU46" i="5"/>
  <c r="AU86" i="5" s="1"/>
  <c r="AU21" i="6" s="1"/>
  <c r="AU29" i="6" s="1"/>
  <c r="AU14" i="11" s="1"/>
  <c r="AU48" i="5"/>
  <c r="AU88" i="5" s="1"/>
  <c r="AU22" i="6" s="1"/>
  <c r="AU30" i="6" s="1"/>
  <c r="AU15" i="11" s="1"/>
  <c r="AU81" i="5"/>
  <c r="AU18" i="6" s="1"/>
  <c r="AT34" i="6"/>
  <c r="AT26" i="6"/>
  <c r="AT11" i="11" s="1"/>
  <c r="AT31" i="6"/>
  <c r="AT32" i="6"/>
  <c r="AT33" i="6"/>
  <c r="AT41" i="9"/>
  <c r="AT12" i="7"/>
  <c r="AT20" i="11" s="1"/>
  <c r="AT10" i="7"/>
  <c r="AS18" i="11"/>
  <c r="AS47" i="9"/>
  <c r="AS34" i="11"/>
  <c r="AR10" i="11"/>
  <c r="AR25" i="11"/>
  <c r="AR28" i="10"/>
  <c r="AO24" i="11"/>
  <c r="AO37" i="11"/>
  <c r="AM24" i="11"/>
  <c r="AM37" i="11"/>
  <c r="E30" i="13"/>
  <c r="F27" i="13"/>
  <c r="AL38" i="11"/>
  <c r="AL40" i="11"/>
  <c r="AL42" i="11" s="1"/>
  <c r="AK43" i="11"/>
  <c r="AK44" i="11" s="1"/>
  <c r="C214" i="18"/>
  <c r="AJ25" i="10"/>
  <c r="AJ37" i="10" s="1"/>
  <c r="AY32" i="5"/>
  <c r="AX34" i="5"/>
  <c r="AX72" i="5"/>
  <c r="AX10" i="6" s="1"/>
  <c r="AW39" i="5"/>
  <c r="AW74" i="5"/>
  <c r="AW12" i="6" s="1"/>
  <c r="AV44" i="5"/>
  <c r="AV84" i="5" s="1"/>
  <c r="AV20" i="6" s="1"/>
  <c r="AV79" i="5"/>
  <c r="AV16" i="6" s="1"/>
  <c r="AU28" i="6"/>
  <c r="AU13" i="11" s="1"/>
  <c r="AU13" i="7"/>
  <c r="AU21" i="11" s="1"/>
  <c r="AU14" i="7"/>
  <c r="AU22" i="11" s="1"/>
  <c r="AY12" i="5"/>
  <c r="AX14" i="5"/>
  <c r="AX19" i="5" s="1"/>
  <c r="AX24" i="5" s="1"/>
  <c r="AV21" i="5"/>
  <c r="AU23" i="5"/>
  <c r="AU26" i="5"/>
  <c r="AU28" i="5"/>
  <c r="AV25" i="14"/>
  <c r="AW23" i="14" s="1"/>
  <c r="AV26" i="14"/>
  <c r="AN24" i="11"/>
  <c r="AN37" i="11"/>
  <c r="AP15" i="7"/>
  <c r="AP19" i="11"/>
  <c r="AQ26" i="10"/>
  <c r="AQ10" i="11"/>
  <c r="AQ11" i="7"/>
  <c r="AS36" i="6"/>
  <c r="AR11" i="7" l="1"/>
  <c r="AR26" i="10"/>
  <c r="AO36" i="10"/>
  <c r="AP30" i="14"/>
  <c r="AQ28" i="14" s="1"/>
  <c r="AP34" i="10"/>
  <c r="AP41" i="11"/>
  <c r="AQ33" i="14"/>
  <c r="AQ35" i="14" s="1"/>
  <c r="AQ37" i="14" s="1"/>
  <c r="AQ31" i="14"/>
  <c r="AR29" i="14"/>
  <c r="AR32" i="14" s="1"/>
  <c r="E61" i="18"/>
  <c r="F38" i="13"/>
  <c r="AT36" i="6"/>
  <c r="AX61" i="5"/>
  <c r="AW63" i="5"/>
  <c r="AW66" i="5"/>
  <c r="AW68" i="5"/>
  <c r="AZ52" i="5"/>
  <c r="AY54" i="5"/>
  <c r="AY59" i="5" s="1"/>
  <c r="AY64" i="5" s="1"/>
  <c r="AW41" i="5"/>
  <c r="AV43" i="5"/>
  <c r="AV83" i="5" s="1"/>
  <c r="AV19" i="6" s="1"/>
  <c r="AV27" i="6" s="1"/>
  <c r="AV12" i="11" s="1"/>
  <c r="AV46" i="5"/>
  <c r="AV86" i="5" s="1"/>
  <c r="AV21" i="6" s="1"/>
  <c r="AV29" i="6" s="1"/>
  <c r="AV14" i="11" s="1"/>
  <c r="AV48" i="5"/>
  <c r="AV81" i="5"/>
  <c r="AV18" i="6" s="1"/>
  <c r="AU34" i="6"/>
  <c r="AU26" i="6"/>
  <c r="AU11" i="11" s="1"/>
  <c r="AU31" i="6"/>
  <c r="AU32" i="6"/>
  <c r="AU33" i="6"/>
  <c r="AU10" i="7"/>
  <c r="AU41" i="9"/>
  <c r="AU12" i="7"/>
  <c r="AU20" i="11" s="1"/>
  <c r="AT47" i="9"/>
  <c r="AT34" i="11"/>
  <c r="AT18" i="11"/>
  <c r="AS25" i="11"/>
  <c r="AS28" i="10"/>
  <c r="AR15" i="7"/>
  <c r="AR19" i="11"/>
  <c r="AO38" i="11"/>
  <c r="AO40" i="11"/>
  <c r="AO42" i="11" s="1"/>
  <c r="G9" i="18"/>
  <c r="AM40" i="11"/>
  <c r="AM42" i="11" s="1"/>
  <c r="C53" i="16"/>
  <c r="C54" i="16" s="1"/>
  <c r="AM38" i="11"/>
  <c r="C56" i="16" s="1"/>
  <c r="D61" i="18"/>
  <c r="F30" i="13"/>
  <c r="AL43" i="11"/>
  <c r="AL44" i="11" s="1"/>
  <c r="C215" i="18"/>
  <c r="AK25" i="10"/>
  <c r="AK37" i="10" s="1"/>
  <c r="AZ32" i="5"/>
  <c r="AY34" i="5"/>
  <c r="AY72" i="5"/>
  <c r="AY10" i="6" s="1"/>
  <c r="AX39" i="5"/>
  <c r="AX74" i="5"/>
  <c r="AX12" i="6" s="1"/>
  <c r="AW44" i="5"/>
  <c r="AW84" i="5" s="1"/>
  <c r="AW20" i="6" s="1"/>
  <c r="AW79" i="5"/>
  <c r="AW16" i="6" s="1"/>
  <c r="AV28" i="6"/>
  <c r="AV13" i="11" s="1"/>
  <c r="AV13" i="7"/>
  <c r="AV21" i="11" s="1"/>
  <c r="AV14" i="7"/>
  <c r="AV22" i="11" s="1"/>
  <c r="AZ12" i="5"/>
  <c r="AY14" i="5"/>
  <c r="AY19" i="5" s="1"/>
  <c r="AY24" i="5" s="1"/>
  <c r="AW21" i="5"/>
  <c r="AV23" i="5"/>
  <c r="AV26" i="5"/>
  <c r="AV28" i="5"/>
  <c r="AW25" i="14"/>
  <c r="AX23" i="14" s="1"/>
  <c r="AW26" i="14"/>
  <c r="AN38" i="11"/>
  <c r="AN40" i="11"/>
  <c r="AN42" i="11" s="1"/>
  <c r="AP29" i="10"/>
  <c r="AP17" i="11"/>
  <c r="AP23" i="11" s="1"/>
  <c r="AQ15" i="7"/>
  <c r="AQ19" i="11"/>
  <c r="AS37" i="6"/>
  <c r="AS16" i="11"/>
  <c r="AQ34" i="10" l="1"/>
  <c r="AQ41" i="11"/>
  <c r="AQ30" i="14"/>
  <c r="AR28" i="14" s="1"/>
  <c r="AR30" i="14" s="1"/>
  <c r="AS28" i="14" s="1"/>
  <c r="AQ36" i="14"/>
  <c r="AQ38" i="14" s="1"/>
  <c r="AQ35" i="10" s="1"/>
  <c r="AR31" i="14"/>
  <c r="AR36" i="14" s="1"/>
  <c r="AR38" i="14" s="1"/>
  <c r="AR35" i="10" s="1"/>
  <c r="AR33" i="14"/>
  <c r="AR35" i="14" s="1"/>
  <c r="AR37" i="14" s="1"/>
  <c r="AS29" i="14"/>
  <c r="AS32" i="14" s="1"/>
  <c r="AT29" i="14" s="1"/>
  <c r="AP36" i="10"/>
  <c r="AT16" i="11"/>
  <c r="AT37" i="6"/>
  <c r="AV88" i="5"/>
  <c r="AV22" i="6" s="1"/>
  <c r="AV30" i="6" s="1"/>
  <c r="AV15" i="11" s="1"/>
  <c r="AU36" i="6"/>
  <c r="AY61" i="5"/>
  <c r="AX63" i="5"/>
  <c r="AX66" i="5"/>
  <c r="AX68" i="5"/>
  <c r="BA52" i="5"/>
  <c r="AZ54" i="5"/>
  <c r="AZ59" i="5" s="1"/>
  <c r="AZ64" i="5" s="1"/>
  <c r="AX41" i="5"/>
  <c r="AW43" i="5"/>
  <c r="AW46" i="5"/>
  <c r="AW48" i="5"/>
  <c r="AW81" i="5"/>
  <c r="AW18" i="6" s="1"/>
  <c r="AV34" i="6"/>
  <c r="AV26" i="6"/>
  <c r="AV11" i="11" s="1"/>
  <c r="AV31" i="6"/>
  <c r="AV32" i="6"/>
  <c r="AV33" i="6"/>
  <c r="AV10" i="7"/>
  <c r="AV41" i="9"/>
  <c r="AV12" i="7"/>
  <c r="AV20" i="11" s="1"/>
  <c r="AU18" i="11"/>
  <c r="AU47" i="9"/>
  <c r="AU34" i="11"/>
  <c r="AT25" i="11"/>
  <c r="AT28" i="10"/>
  <c r="AR29" i="10"/>
  <c r="AR17" i="11"/>
  <c r="AR23" i="11" s="1"/>
  <c r="AO43" i="11"/>
  <c r="AO44" i="11" s="1"/>
  <c r="AM43" i="11"/>
  <c r="C216" i="18"/>
  <c r="AL25" i="10"/>
  <c r="AL37" i="10" s="1"/>
  <c r="BA32" i="5"/>
  <c r="AZ34" i="5"/>
  <c r="AZ72" i="5"/>
  <c r="AZ10" i="6" s="1"/>
  <c r="AY39" i="5"/>
  <c r="AY74" i="5"/>
  <c r="AY12" i="6" s="1"/>
  <c r="AX44" i="5"/>
  <c r="AX84" i="5" s="1"/>
  <c r="AX20" i="6" s="1"/>
  <c r="AX79" i="5"/>
  <c r="AX16" i="6" s="1"/>
  <c r="AW28" i="6"/>
  <c r="AW13" i="11" s="1"/>
  <c r="AW14" i="7"/>
  <c r="AW22" i="11" s="1"/>
  <c r="AW13" i="7"/>
  <c r="AW21" i="11" s="1"/>
  <c r="BA12" i="5"/>
  <c r="AZ14" i="5"/>
  <c r="AZ19" i="5" s="1"/>
  <c r="AZ24" i="5" s="1"/>
  <c r="AX21" i="5"/>
  <c r="AW23" i="5"/>
  <c r="AW26" i="5"/>
  <c r="AW28" i="5"/>
  <c r="AX25" i="14"/>
  <c r="AY23" i="14" s="1"/>
  <c r="AX26" i="14"/>
  <c r="AN43" i="11"/>
  <c r="AN44" i="11" s="1"/>
  <c r="AP24" i="11"/>
  <c r="AP37" i="11"/>
  <c r="AQ29" i="10"/>
  <c r="AQ17" i="11"/>
  <c r="AQ23" i="11" s="1"/>
  <c r="AS11" i="7"/>
  <c r="AS26" i="10"/>
  <c r="AS10" i="11"/>
  <c r="AT11" i="7" l="1"/>
  <c r="AT26" i="10"/>
  <c r="AT10" i="11"/>
  <c r="AR34" i="10"/>
  <c r="AR36" i="10" s="1"/>
  <c r="AR41" i="11"/>
  <c r="AS31" i="14"/>
  <c r="AS33" i="14"/>
  <c r="AS35" i="14" s="1"/>
  <c r="AS37" i="14" s="1"/>
  <c r="AT33" i="14"/>
  <c r="AT35" i="14" s="1"/>
  <c r="AT37" i="14" s="1"/>
  <c r="AT31" i="14"/>
  <c r="AT36" i="14" s="1"/>
  <c r="AT38" i="14" s="1"/>
  <c r="AT35" i="10" s="1"/>
  <c r="AT32" i="14"/>
  <c r="AQ36" i="10"/>
  <c r="AW83" i="5"/>
  <c r="AW19" i="6" s="1"/>
  <c r="AW27" i="6" s="1"/>
  <c r="AW12" i="11" s="1"/>
  <c r="AW88" i="5"/>
  <c r="AW22" i="6" s="1"/>
  <c r="AW30" i="6" s="1"/>
  <c r="AW15" i="11" s="1"/>
  <c r="AW86" i="5"/>
  <c r="AW21" i="6" s="1"/>
  <c r="AW29" i="6" s="1"/>
  <c r="AW14" i="11" s="1"/>
  <c r="AU37" i="6"/>
  <c r="AU16" i="11"/>
  <c r="F46" i="12"/>
  <c r="AM44" i="11"/>
  <c r="G10" i="18" s="1"/>
  <c r="AZ61" i="5"/>
  <c r="AY63" i="5"/>
  <c r="AY66" i="5"/>
  <c r="AY68" i="5"/>
  <c r="BB52" i="5"/>
  <c r="BA54" i="5"/>
  <c r="BA59" i="5" s="1"/>
  <c r="BA64" i="5" s="1"/>
  <c r="AY41" i="5"/>
  <c r="AX43" i="5"/>
  <c r="AX83" i="5" s="1"/>
  <c r="AX19" i="6" s="1"/>
  <c r="AX27" i="6" s="1"/>
  <c r="AX12" i="11" s="1"/>
  <c r="AX46" i="5"/>
  <c r="AX86" i="5" s="1"/>
  <c r="AX21" i="6" s="1"/>
  <c r="AX29" i="6" s="1"/>
  <c r="AX14" i="11" s="1"/>
  <c r="AX48" i="5"/>
  <c r="AX88" i="5" s="1"/>
  <c r="AX22" i="6" s="1"/>
  <c r="AX30" i="6" s="1"/>
  <c r="AX15" i="11" s="1"/>
  <c r="AX81" i="5"/>
  <c r="AX18" i="6" s="1"/>
  <c r="AW34" i="6"/>
  <c r="AW26" i="6"/>
  <c r="AW11" i="11" s="1"/>
  <c r="AW31" i="6"/>
  <c r="AW32" i="6"/>
  <c r="AW33" i="6"/>
  <c r="AW12" i="7"/>
  <c r="AW20" i="11" s="1"/>
  <c r="AW10" i="7"/>
  <c r="AW41" i="9"/>
  <c r="AV18" i="11"/>
  <c r="AV47" i="9"/>
  <c r="AV34" i="11"/>
  <c r="AU25" i="11"/>
  <c r="AU28" i="10"/>
  <c r="AT15" i="7"/>
  <c r="AT19" i="11"/>
  <c r="AR24" i="11"/>
  <c r="AR37" i="11"/>
  <c r="C217" i="18"/>
  <c r="AM25" i="10"/>
  <c r="AM37" i="10" s="1"/>
  <c r="BB32" i="5"/>
  <c r="BA34" i="5"/>
  <c r="BA72" i="5"/>
  <c r="BA10" i="6" s="1"/>
  <c r="AZ39" i="5"/>
  <c r="AZ74" i="5"/>
  <c r="AZ12" i="6" s="1"/>
  <c r="AY44" i="5"/>
  <c r="AY84" i="5" s="1"/>
  <c r="AY20" i="6" s="1"/>
  <c r="AY79" i="5"/>
  <c r="AY16" i="6" s="1"/>
  <c r="AX28" i="6"/>
  <c r="AX13" i="11" s="1"/>
  <c r="AX14" i="7"/>
  <c r="AX22" i="11" s="1"/>
  <c r="AX13" i="7"/>
  <c r="AX21" i="11" s="1"/>
  <c r="BB12" i="5"/>
  <c r="BA14" i="5"/>
  <c r="BA19" i="5" s="1"/>
  <c r="BA24" i="5" s="1"/>
  <c r="AY21" i="5"/>
  <c r="AX23" i="5"/>
  <c r="AX26" i="5"/>
  <c r="AX28" i="5"/>
  <c r="AY25" i="14"/>
  <c r="AZ23" i="14" s="1"/>
  <c r="AY26" i="14"/>
  <c r="AP38" i="11"/>
  <c r="AP40" i="11"/>
  <c r="AP42" i="11" s="1"/>
  <c r="AQ24" i="11"/>
  <c r="AQ37" i="11"/>
  <c r="AS15" i="7"/>
  <c r="AS19" i="11"/>
  <c r="AV36" i="6"/>
  <c r="AS30" i="14" l="1"/>
  <c r="AT28" i="14" s="1"/>
  <c r="AT30" i="14" s="1"/>
  <c r="AU28" i="14" s="1"/>
  <c r="AS36" i="14"/>
  <c r="AS38" i="14" s="1"/>
  <c r="AS35" i="10" s="1"/>
  <c r="AS41" i="11"/>
  <c r="AS34" i="10"/>
  <c r="AT41" i="11"/>
  <c r="AT34" i="10"/>
  <c r="AU29" i="14"/>
  <c r="AU32" i="14" s="1"/>
  <c r="G46" i="12"/>
  <c r="G47" i="12" s="1"/>
  <c r="G48" i="12" s="1"/>
  <c r="F47" i="12"/>
  <c r="F48" i="12" s="1"/>
  <c r="F52" i="12" s="1"/>
  <c r="E23" i="13"/>
  <c r="E39" i="13"/>
  <c r="AU26" i="10"/>
  <c r="AU10" i="11"/>
  <c r="AU11" i="7"/>
  <c r="BA61" i="5"/>
  <c r="AZ63" i="5"/>
  <c r="AZ66" i="5"/>
  <c r="AZ68" i="5"/>
  <c r="BC52" i="5"/>
  <c r="BB54" i="5"/>
  <c r="BB59" i="5" s="1"/>
  <c r="BB64" i="5" s="1"/>
  <c r="AZ41" i="5"/>
  <c r="AY43" i="5"/>
  <c r="AY46" i="5"/>
  <c r="AY48" i="5"/>
  <c r="AY81" i="5"/>
  <c r="AY18" i="6" s="1"/>
  <c r="AX34" i="6"/>
  <c r="AX26" i="6"/>
  <c r="AX11" i="11" s="1"/>
  <c r="AX31" i="6"/>
  <c r="AX32" i="6"/>
  <c r="AX33" i="6"/>
  <c r="AX12" i="7"/>
  <c r="AX20" i="11" s="1"/>
  <c r="AX41" i="9"/>
  <c r="AX10" i="7"/>
  <c r="AW18" i="11"/>
  <c r="AW47" i="9"/>
  <c r="AW34" i="11"/>
  <c r="AV25" i="11"/>
  <c r="AV28" i="10"/>
  <c r="AT29" i="10"/>
  <c r="AT17" i="11"/>
  <c r="AT23" i="11" s="1"/>
  <c r="AR38" i="11"/>
  <c r="AR40" i="11"/>
  <c r="AR42" i="11" s="1"/>
  <c r="E31" i="13"/>
  <c r="G11" i="18"/>
  <c r="C218" i="18"/>
  <c r="AN25" i="10"/>
  <c r="AN37" i="10" s="1"/>
  <c r="AO25" i="10" s="1"/>
  <c r="AO37" i="10" s="1"/>
  <c r="AP25" i="10" s="1"/>
  <c r="AP37" i="10" s="1"/>
  <c r="AQ25" i="10" s="1"/>
  <c r="AQ37" i="10" s="1"/>
  <c r="AR25" i="10" s="1"/>
  <c r="AR37" i="10" s="1"/>
  <c r="AS25" i="10" s="1"/>
  <c r="BC32" i="5"/>
  <c r="BB34" i="5"/>
  <c r="BB72" i="5"/>
  <c r="BB10" i="6" s="1"/>
  <c r="BA39" i="5"/>
  <c r="BA74" i="5"/>
  <c r="BA12" i="6" s="1"/>
  <c r="AZ44" i="5"/>
  <c r="AZ84" i="5" s="1"/>
  <c r="AZ20" i="6" s="1"/>
  <c r="AZ79" i="5"/>
  <c r="AZ16" i="6" s="1"/>
  <c r="AY28" i="6"/>
  <c r="AY13" i="11" s="1"/>
  <c r="AY14" i="7"/>
  <c r="AY22" i="11" s="1"/>
  <c r="AY13" i="7"/>
  <c r="AY21" i="11" s="1"/>
  <c r="BC12" i="5"/>
  <c r="BB14" i="5"/>
  <c r="BB19" i="5" s="1"/>
  <c r="BB24" i="5" s="1"/>
  <c r="AZ21" i="5"/>
  <c r="AY23" i="5"/>
  <c r="AY26" i="5"/>
  <c r="AY28" i="5"/>
  <c r="AZ25" i="14"/>
  <c r="BA23" i="14" s="1"/>
  <c r="AZ26" i="14"/>
  <c r="AP43" i="11"/>
  <c r="AP44" i="11" s="1"/>
  <c r="AQ38" i="11"/>
  <c r="AQ40" i="11"/>
  <c r="AQ42" i="11" s="1"/>
  <c r="AS17" i="11"/>
  <c r="AS23" i="11" s="1"/>
  <c r="AS29" i="10"/>
  <c r="AV16" i="11"/>
  <c r="AV37" i="6"/>
  <c r="AW36" i="6"/>
  <c r="AT36" i="10" l="1"/>
  <c r="AS36" i="10"/>
  <c r="AS37" i="10" s="1"/>
  <c r="AT25" i="10" s="1"/>
  <c r="AT37" i="10" s="1"/>
  <c r="AU25" i="10" s="1"/>
  <c r="AU19" i="11"/>
  <c r="AU15" i="7"/>
  <c r="G52" i="12"/>
  <c r="F53" i="12"/>
  <c r="AU31" i="14"/>
  <c r="AU33" i="14"/>
  <c r="AU35" i="14" s="1"/>
  <c r="AU37" i="14" s="1"/>
  <c r="AV29" i="14"/>
  <c r="AV32" i="14" s="1"/>
  <c r="AY83" i="5"/>
  <c r="AY19" i="6" s="1"/>
  <c r="AY27" i="6" s="1"/>
  <c r="AY12" i="11" s="1"/>
  <c r="AY86" i="5"/>
  <c r="AY21" i="6" s="1"/>
  <c r="AY29" i="6" s="1"/>
  <c r="AY14" i="11" s="1"/>
  <c r="AY88" i="5"/>
  <c r="AY22" i="6" s="1"/>
  <c r="AY30" i="6" s="1"/>
  <c r="AY15" i="11" s="1"/>
  <c r="AX36" i="6"/>
  <c r="BB61" i="5"/>
  <c r="BA63" i="5"/>
  <c r="BA66" i="5"/>
  <c r="BA68" i="5"/>
  <c r="BD52" i="5"/>
  <c r="BC54" i="5"/>
  <c r="BC59" i="5" s="1"/>
  <c r="BC64" i="5" s="1"/>
  <c r="BA41" i="5"/>
  <c r="AZ43" i="5"/>
  <c r="AZ83" i="5" s="1"/>
  <c r="AZ19" i="6" s="1"/>
  <c r="AZ27" i="6" s="1"/>
  <c r="AZ12" i="11" s="1"/>
  <c r="AZ46" i="5"/>
  <c r="AZ86" i="5" s="1"/>
  <c r="AZ21" i="6" s="1"/>
  <c r="AZ29" i="6" s="1"/>
  <c r="AZ14" i="11" s="1"/>
  <c r="AZ48" i="5"/>
  <c r="AZ88" i="5" s="1"/>
  <c r="AZ22" i="6" s="1"/>
  <c r="AZ30" i="6" s="1"/>
  <c r="AZ15" i="11" s="1"/>
  <c r="AZ81" i="5"/>
  <c r="AZ18" i="6" s="1"/>
  <c r="AY34" i="6"/>
  <c r="AY26" i="6"/>
  <c r="AY11" i="11" s="1"/>
  <c r="AY31" i="6"/>
  <c r="AY32" i="6"/>
  <c r="AY33" i="6"/>
  <c r="AY12" i="7"/>
  <c r="AY20" i="11" s="1"/>
  <c r="AY41" i="9"/>
  <c r="AY10" i="7"/>
  <c r="AX47" i="9"/>
  <c r="AX34" i="11"/>
  <c r="AX18" i="11"/>
  <c r="AW25" i="11"/>
  <c r="AW28" i="10"/>
  <c r="AU29" i="10"/>
  <c r="AU17" i="11"/>
  <c r="AU23" i="11" s="1"/>
  <c r="AT24" i="11"/>
  <c r="AT37" i="11"/>
  <c r="AR43" i="11"/>
  <c r="AR44" i="11" s="1"/>
  <c r="F55" i="12"/>
  <c r="G53" i="12"/>
  <c r="G55" i="12" s="1"/>
  <c r="B3" i="13"/>
  <c r="B43" i="13"/>
  <c r="BD32" i="5"/>
  <c r="BC34" i="5"/>
  <c r="BC72" i="5"/>
  <c r="BC10" i="6" s="1"/>
  <c r="BB39" i="5"/>
  <c r="BB74" i="5"/>
  <c r="BB12" i="6" s="1"/>
  <c r="BA44" i="5"/>
  <c r="BA84" i="5" s="1"/>
  <c r="BA20" i="6" s="1"/>
  <c r="BA79" i="5"/>
  <c r="BA16" i="6" s="1"/>
  <c r="AZ28" i="6"/>
  <c r="AZ13" i="11" s="1"/>
  <c r="AZ14" i="7"/>
  <c r="AZ22" i="11" s="1"/>
  <c r="AZ13" i="7"/>
  <c r="AZ21" i="11" s="1"/>
  <c r="BD12" i="5"/>
  <c r="BC14" i="5"/>
  <c r="BC19" i="5" s="1"/>
  <c r="BC24" i="5" s="1"/>
  <c r="BA21" i="5"/>
  <c r="AZ23" i="5"/>
  <c r="AZ26" i="5"/>
  <c r="AZ28" i="5"/>
  <c r="BA25" i="14"/>
  <c r="BB23" i="14" s="1"/>
  <c r="BA26" i="14"/>
  <c r="AQ43" i="11"/>
  <c r="AQ44" i="11" s="1"/>
  <c r="AS24" i="11"/>
  <c r="AS37" i="11"/>
  <c r="AV11" i="7"/>
  <c r="AV26" i="10"/>
  <c r="AV10" i="11"/>
  <c r="AW37" i="6"/>
  <c r="AW16" i="11"/>
  <c r="AU30" i="14" l="1"/>
  <c r="AV28" i="14" s="1"/>
  <c r="AU36" i="14"/>
  <c r="AU38" i="14" s="1"/>
  <c r="AU35" i="10" s="1"/>
  <c r="AU41" i="11"/>
  <c r="AU34" i="10"/>
  <c r="AV31" i="14"/>
  <c r="AV36" i="14" s="1"/>
  <c r="AV38" i="14" s="1"/>
  <c r="AV35" i="10" s="1"/>
  <c r="AV33" i="14"/>
  <c r="AV35" i="14" s="1"/>
  <c r="AV37" i="14" s="1"/>
  <c r="AW29" i="14"/>
  <c r="AW32" i="14" s="1"/>
  <c r="AY36" i="6"/>
  <c r="AX37" i="6"/>
  <c r="AX16" i="11"/>
  <c r="BC61" i="5"/>
  <c r="BB63" i="5"/>
  <c r="BB66" i="5"/>
  <c r="BB68" i="5"/>
  <c r="BE52" i="5"/>
  <c r="BD54" i="5"/>
  <c r="BD59" i="5" s="1"/>
  <c r="BD64" i="5" s="1"/>
  <c r="BB41" i="5"/>
  <c r="BA43" i="5"/>
  <c r="BA83" i="5" s="1"/>
  <c r="BA19" i="6" s="1"/>
  <c r="BA27" i="6" s="1"/>
  <c r="BA12" i="11" s="1"/>
  <c r="BA46" i="5"/>
  <c r="BA86" i="5" s="1"/>
  <c r="BA21" i="6" s="1"/>
  <c r="BA29" i="6" s="1"/>
  <c r="BA14" i="11" s="1"/>
  <c r="BA48" i="5"/>
  <c r="BA88" i="5" s="1"/>
  <c r="BA22" i="6" s="1"/>
  <c r="BA30" i="6" s="1"/>
  <c r="BA15" i="11" s="1"/>
  <c r="BA81" i="5"/>
  <c r="BA18" i="6" s="1"/>
  <c r="AZ34" i="6"/>
  <c r="AZ26" i="6"/>
  <c r="AZ11" i="11" s="1"/>
  <c r="AZ31" i="6"/>
  <c r="AZ32" i="6"/>
  <c r="AZ33" i="6"/>
  <c r="AZ41" i="9"/>
  <c r="AZ10" i="7"/>
  <c r="AZ12" i="7"/>
  <c r="AZ20" i="11" s="1"/>
  <c r="AY47" i="9"/>
  <c r="AY34" i="11"/>
  <c r="AY18" i="11"/>
  <c r="AX25" i="11"/>
  <c r="AX28" i="10"/>
  <c r="AU24" i="11"/>
  <c r="AU37" i="11"/>
  <c r="AT38" i="11"/>
  <c r="AT40" i="11"/>
  <c r="AT42" i="11" s="1"/>
  <c r="BE32" i="5"/>
  <c r="BD34" i="5"/>
  <c r="BD72" i="5"/>
  <c r="BD10" i="6" s="1"/>
  <c r="BC39" i="5"/>
  <c r="BC74" i="5"/>
  <c r="BC12" i="6" s="1"/>
  <c r="BB44" i="5"/>
  <c r="BB84" i="5" s="1"/>
  <c r="BB20" i="6" s="1"/>
  <c r="BB79" i="5"/>
  <c r="BB16" i="6" s="1"/>
  <c r="BA28" i="6"/>
  <c r="BA13" i="11" s="1"/>
  <c r="BA13" i="7"/>
  <c r="BA21" i="11" s="1"/>
  <c r="BA14" i="7"/>
  <c r="BA22" i="11" s="1"/>
  <c r="BE12" i="5"/>
  <c r="BD14" i="5"/>
  <c r="BD19" i="5" s="1"/>
  <c r="BD24" i="5" s="1"/>
  <c r="BB21" i="5"/>
  <c r="BA23" i="5"/>
  <c r="BA26" i="5"/>
  <c r="BA28" i="5"/>
  <c r="BB25" i="14"/>
  <c r="BC23" i="14" s="1"/>
  <c r="BB26" i="14"/>
  <c r="AS38" i="11"/>
  <c r="AS40" i="11"/>
  <c r="AS42" i="11" s="1"/>
  <c r="AV15" i="7"/>
  <c r="AV19" i="11"/>
  <c r="AW11" i="7"/>
  <c r="AW26" i="10"/>
  <c r="AW10" i="11"/>
  <c r="AU36" i="10" l="1"/>
  <c r="AU37" i="10" s="1"/>
  <c r="AV25" i="10" s="1"/>
  <c r="AV30" i="14"/>
  <c r="AW28" i="14" s="1"/>
  <c r="AY37" i="6"/>
  <c r="AY16" i="11"/>
  <c r="AV34" i="10"/>
  <c r="AV41" i="11"/>
  <c r="AW31" i="14"/>
  <c r="AW33" i="14"/>
  <c r="AW35" i="14" s="1"/>
  <c r="AW37" i="14" s="1"/>
  <c r="AX29" i="14"/>
  <c r="AX32" i="14" s="1"/>
  <c r="AX26" i="10"/>
  <c r="AX10" i="11"/>
  <c r="AX11" i="7"/>
  <c r="BD61" i="5"/>
  <c r="BC63" i="5"/>
  <c r="BC66" i="5"/>
  <c r="BC68" i="5"/>
  <c r="BF52" i="5"/>
  <c r="BE54" i="5"/>
  <c r="BE59" i="5" s="1"/>
  <c r="BE64" i="5" s="1"/>
  <c r="BC41" i="5"/>
  <c r="BB43" i="5"/>
  <c r="BB46" i="5"/>
  <c r="BB48" i="5"/>
  <c r="BB81" i="5"/>
  <c r="BB18" i="6" s="1"/>
  <c r="BA34" i="6"/>
  <c r="BA26" i="6"/>
  <c r="BA11" i="11" s="1"/>
  <c r="BA31" i="6"/>
  <c r="BA32" i="6"/>
  <c r="BA33" i="6"/>
  <c r="BA12" i="7"/>
  <c r="BA20" i="11" s="1"/>
  <c r="BA41" i="9"/>
  <c r="BA10" i="7"/>
  <c r="AZ47" i="9"/>
  <c r="AZ34" i="11"/>
  <c r="AZ18" i="11"/>
  <c r="AY25" i="11"/>
  <c r="AY28" i="10"/>
  <c r="AU38" i="11"/>
  <c r="AU40" i="11"/>
  <c r="AU42" i="11" s="1"/>
  <c r="AT43" i="11"/>
  <c r="AT44" i="11" s="1"/>
  <c r="BF32" i="5"/>
  <c r="BE34" i="5"/>
  <c r="BE72" i="5"/>
  <c r="BE10" i="6" s="1"/>
  <c r="BD39" i="5"/>
  <c r="BD74" i="5"/>
  <c r="BD12" i="6" s="1"/>
  <c r="BC44" i="5"/>
  <c r="BC84" i="5" s="1"/>
  <c r="BC20" i="6" s="1"/>
  <c r="BC79" i="5"/>
  <c r="BC16" i="6" s="1"/>
  <c r="BB28" i="6"/>
  <c r="BB13" i="11" s="1"/>
  <c r="BB14" i="7"/>
  <c r="BB22" i="11" s="1"/>
  <c r="BB13" i="7"/>
  <c r="BB21" i="11" s="1"/>
  <c r="BF12" i="5"/>
  <c r="BE14" i="5"/>
  <c r="BE19" i="5" s="1"/>
  <c r="BE24" i="5" s="1"/>
  <c r="BC21" i="5"/>
  <c r="BB23" i="5"/>
  <c r="BB26" i="5"/>
  <c r="BB28" i="5"/>
  <c r="BC25" i="14"/>
  <c r="BD23" i="14" s="1"/>
  <c r="BC26" i="14"/>
  <c r="AS43" i="11"/>
  <c r="AS44" i="11" s="1"/>
  <c r="AV29" i="10"/>
  <c r="AV17" i="11"/>
  <c r="AV23" i="11" s="1"/>
  <c r="AW15" i="7"/>
  <c r="AW19" i="11"/>
  <c r="AZ36" i="6"/>
  <c r="AY26" i="10" l="1"/>
  <c r="AY10" i="11"/>
  <c r="AY11" i="7"/>
  <c r="AV36" i="10"/>
  <c r="AV37" i="10" s="1"/>
  <c r="AW25" i="10" s="1"/>
  <c r="AW30" i="14"/>
  <c r="AX28" i="14" s="1"/>
  <c r="AX30" i="14" s="1"/>
  <c r="AY28" i="14" s="1"/>
  <c r="AW36" i="14"/>
  <c r="AW38" i="14" s="1"/>
  <c r="AW35" i="10" s="1"/>
  <c r="AW41" i="11"/>
  <c r="AW34" i="10"/>
  <c r="AX33" i="14"/>
  <c r="AX35" i="14" s="1"/>
  <c r="AX37" i="14" s="1"/>
  <c r="AX31" i="14"/>
  <c r="AX36" i="14" s="1"/>
  <c r="AX38" i="14" s="1"/>
  <c r="AX35" i="10" s="1"/>
  <c r="AY29" i="14"/>
  <c r="AY32" i="14" s="1"/>
  <c r="AX15" i="7"/>
  <c r="AX19" i="11"/>
  <c r="BB83" i="5"/>
  <c r="BB19" i="6" s="1"/>
  <c r="BB27" i="6" s="1"/>
  <c r="BB12" i="11" s="1"/>
  <c r="BB86" i="5"/>
  <c r="BB21" i="6" s="1"/>
  <c r="BB29" i="6" s="1"/>
  <c r="BB14" i="11" s="1"/>
  <c r="BB88" i="5"/>
  <c r="BB22" i="6" s="1"/>
  <c r="BB30" i="6" s="1"/>
  <c r="BB15" i="11" s="1"/>
  <c r="BE61" i="5"/>
  <c r="BD63" i="5"/>
  <c r="BD66" i="5"/>
  <c r="BD68" i="5"/>
  <c r="BG52" i="5"/>
  <c r="BF54" i="5"/>
  <c r="BF59" i="5" s="1"/>
  <c r="BF64" i="5" s="1"/>
  <c r="BD41" i="5"/>
  <c r="BC43" i="5"/>
  <c r="BC83" i="5" s="1"/>
  <c r="BC19" i="6" s="1"/>
  <c r="BC27" i="6" s="1"/>
  <c r="BC12" i="11" s="1"/>
  <c r="BC46" i="5"/>
  <c r="BC86" i="5" s="1"/>
  <c r="BC21" i="6" s="1"/>
  <c r="BC29" i="6" s="1"/>
  <c r="BC14" i="11" s="1"/>
  <c r="BC48" i="5"/>
  <c r="BC88" i="5" s="1"/>
  <c r="BC22" i="6" s="1"/>
  <c r="BC30" i="6" s="1"/>
  <c r="BC15" i="11" s="1"/>
  <c r="BC81" i="5"/>
  <c r="BC18" i="6" s="1"/>
  <c r="BB34" i="6"/>
  <c r="BB26" i="6"/>
  <c r="BB11" i="11" s="1"/>
  <c r="BB31" i="6"/>
  <c r="BB32" i="6"/>
  <c r="BB33" i="6"/>
  <c r="BB12" i="7"/>
  <c r="BB20" i="11" s="1"/>
  <c r="BB10" i="7"/>
  <c r="BB41" i="9"/>
  <c r="BA47" i="9"/>
  <c r="BA34" i="11"/>
  <c r="BA18" i="11"/>
  <c r="AZ25" i="11"/>
  <c r="AZ28" i="10"/>
  <c r="AU43" i="11"/>
  <c r="AU44" i="11" s="1"/>
  <c r="BG32" i="5"/>
  <c r="BF34" i="5"/>
  <c r="BF72" i="5"/>
  <c r="BF10" i="6" s="1"/>
  <c r="BE39" i="5"/>
  <c r="BE74" i="5"/>
  <c r="BE12" i="6" s="1"/>
  <c r="BD44" i="5"/>
  <c r="BD84" i="5" s="1"/>
  <c r="BD20" i="6" s="1"/>
  <c r="BD79" i="5"/>
  <c r="BD16" i="6" s="1"/>
  <c r="BC28" i="6"/>
  <c r="BC13" i="11" s="1"/>
  <c r="BC14" i="7"/>
  <c r="BC22" i="11" s="1"/>
  <c r="BC13" i="7"/>
  <c r="BC21" i="11" s="1"/>
  <c r="BG12" i="5"/>
  <c r="BF14" i="5"/>
  <c r="BF19" i="5" s="1"/>
  <c r="BF24" i="5" s="1"/>
  <c r="BD21" i="5"/>
  <c r="BC23" i="5"/>
  <c r="BC26" i="5"/>
  <c r="BC28" i="5"/>
  <c r="BD25" i="14"/>
  <c r="BE23" i="14" s="1"/>
  <c r="BD26" i="14"/>
  <c r="AV24" i="11"/>
  <c r="AV37" i="11"/>
  <c r="AW29" i="10"/>
  <c r="AW17" i="11"/>
  <c r="AW23" i="11" s="1"/>
  <c r="AZ16" i="11"/>
  <c r="AZ37" i="6"/>
  <c r="BA36" i="6"/>
  <c r="AW36" i="10" l="1"/>
  <c r="AW37" i="10" s="1"/>
  <c r="AX25" i="10" s="1"/>
  <c r="AY15" i="7"/>
  <c r="AY19" i="11"/>
  <c r="AX17" i="11"/>
  <c r="AX23" i="11" s="1"/>
  <c r="AX29" i="10"/>
  <c r="AX34" i="10"/>
  <c r="AX36" i="10" s="1"/>
  <c r="AX41" i="11"/>
  <c r="AY33" i="14"/>
  <c r="AY35" i="14" s="1"/>
  <c r="AY37" i="14" s="1"/>
  <c r="AY31" i="14"/>
  <c r="AZ29" i="14"/>
  <c r="AZ32" i="14" s="1"/>
  <c r="BF61" i="5"/>
  <c r="BE63" i="5"/>
  <c r="BE66" i="5"/>
  <c r="BE68" i="5"/>
  <c r="BH52" i="5"/>
  <c r="BG54" i="5"/>
  <c r="BG59" i="5" s="1"/>
  <c r="BG64" i="5" s="1"/>
  <c r="BE41" i="5"/>
  <c r="BD43" i="5"/>
  <c r="BD83" i="5" s="1"/>
  <c r="BD19" i="6" s="1"/>
  <c r="BD27" i="6" s="1"/>
  <c r="BD12" i="11" s="1"/>
  <c r="BD46" i="5"/>
  <c r="BD86" i="5" s="1"/>
  <c r="BD21" i="6" s="1"/>
  <c r="BD29" i="6" s="1"/>
  <c r="BD14" i="11" s="1"/>
  <c r="BD48" i="5"/>
  <c r="BD88" i="5" s="1"/>
  <c r="BD22" i="6" s="1"/>
  <c r="BD30" i="6" s="1"/>
  <c r="BD15" i="11" s="1"/>
  <c r="BD81" i="5"/>
  <c r="BD18" i="6" s="1"/>
  <c r="BC34" i="6"/>
  <c r="BC26" i="6"/>
  <c r="BC11" i="11" s="1"/>
  <c r="BC31" i="6"/>
  <c r="BC32" i="6"/>
  <c r="BC33" i="6"/>
  <c r="BC41" i="9"/>
  <c r="BC12" i="7"/>
  <c r="BC20" i="11" s="1"/>
  <c r="BC10" i="7"/>
  <c r="BB18" i="11"/>
  <c r="BB47" i="9"/>
  <c r="BB34" i="11"/>
  <c r="BA25" i="11"/>
  <c r="BA28" i="10"/>
  <c r="BH32" i="5"/>
  <c r="BG34" i="5"/>
  <c r="BG72" i="5"/>
  <c r="BG10" i="6" s="1"/>
  <c r="BF39" i="5"/>
  <c r="BF74" i="5"/>
  <c r="BF12" i="6" s="1"/>
  <c r="BE44" i="5"/>
  <c r="BE84" i="5" s="1"/>
  <c r="BE20" i="6" s="1"/>
  <c r="BE79" i="5"/>
  <c r="BE16" i="6" s="1"/>
  <c r="BD28" i="6"/>
  <c r="BD13" i="11" s="1"/>
  <c r="BD14" i="7"/>
  <c r="BD22" i="11" s="1"/>
  <c r="BD13" i="7"/>
  <c r="BD21" i="11" s="1"/>
  <c r="BH12" i="5"/>
  <c r="BG14" i="5"/>
  <c r="BG19" i="5" s="1"/>
  <c r="BG24" i="5" s="1"/>
  <c r="BE21" i="5"/>
  <c r="BD23" i="5"/>
  <c r="BD26" i="5"/>
  <c r="BD28" i="5"/>
  <c r="BE25" i="14"/>
  <c r="BF23" i="14" s="1"/>
  <c r="BE26" i="14"/>
  <c r="AV38" i="11"/>
  <c r="AV40" i="11"/>
  <c r="AV42" i="11" s="1"/>
  <c r="AW24" i="11"/>
  <c r="AW37" i="11"/>
  <c r="AZ11" i="7"/>
  <c r="AZ26" i="10"/>
  <c r="AZ10" i="11"/>
  <c r="BA37" i="6"/>
  <c r="BA16" i="11"/>
  <c r="BB36" i="6"/>
  <c r="AX37" i="10" l="1"/>
  <c r="AY25" i="10" s="1"/>
  <c r="AY29" i="10"/>
  <c r="AY17" i="11"/>
  <c r="AY23" i="11" s="1"/>
  <c r="AX24" i="11"/>
  <c r="AX37" i="11"/>
  <c r="AY41" i="11"/>
  <c r="AY34" i="10"/>
  <c r="AY30" i="14"/>
  <c r="AZ28" i="14" s="1"/>
  <c r="AY36" i="14"/>
  <c r="AY38" i="14" s="1"/>
  <c r="AY35" i="10" s="1"/>
  <c r="AZ33" i="14"/>
  <c r="AZ35" i="14" s="1"/>
  <c r="AZ37" i="14" s="1"/>
  <c r="AZ31" i="14"/>
  <c r="AZ36" i="14" s="1"/>
  <c r="AZ38" i="14" s="1"/>
  <c r="AZ35" i="10" s="1"/>
  <c r="BA29" i="14"/>
  <c r="BA32" i="14" s="1"/>
  <c r="BG61" i="5"/>
  <c r="BF63" i="5"/>
  <c r="BF66" i="5"/>
  <c r="BF68" i="5"/>
  <c r="BI52" i="5"/>
  <c r="BH54" i="5"/>
  <c r="BH59" i="5" s="1"/>
  <c r="BH64" i="5" s="1"/>
  <c r="BF41" i="5"/>
  <c r="BE43" i="5"/>
  <c r="BE83" i="5" s="1"/>
  <c r="BE19" i="6" s="1"/>
  <c r="BE27" i="6" s="1"/>
  <c r="BE12" i="11" s="1"/>
  <c r="BE46" i="5"/>
  <c r="BE86" i="5" s="1"/>
  <c r="BE21" i="6" s="1"/>
  <c r="BE29" i="6" s="1"/>
  <c r="BE14" i="11" s="1"/>
  <c r="BE48" i="5"/>
  <c r="BE88" i="5" s="1"/>
  <c r="BE22" i="6" s="1"/>
  <c r="BE30" i="6" s="1"/>
  <c r="BE15" i="11" s="1"/>
  <c r="BE81" i="5"/>
  <c r="BE18" i="6" s="1"/>
  <c r="BD34" i="6"/>
  <c r="BD26" i="6"/>
  <c r="BD11" i="11" s="1"/>
  <c r="BD31" i="6"/>
  <c r="BD32" i="6"/>
  <c r="BD33" i="6"/>
  <c r="BD12" i="7"/>
  <c r="BD20" i="11" s="1"/>
  <c r="BD41" i="9"/>
  <c r="BD10" i="7"/>
  <c r="BC47" i="9"/>
  <c r="BC34" i="11"/>
  <c r="BC18" i="11"/>
  <c r="BB25" i="11"/>
  <c r="BB28" i="10"/>
  <c r="AY24" i="11"/>
  <c r="AY37" i="11"/>
  <c r="BI32" i="5"/>
  <c r="BH34" i="5"/>
  <c r="BH72" i="5"/>
  <c r="BH10" i="6" s="1"/>
  <c r="BG39" i="5"/>
  <c r="BG74" i="5"/>
  <c r="BG12" i="6" s="1"/>
  <c r="BF44" i="5"/>
  <c r="BF84" i="5" s="1"/>
  <c r="BF20" i="6" s="1"/>
  <c r="BF79" i="5"/>
  <c r="BF16" i="6" s="1"/>
  <c r="BE28" i="6"/>
  <c r="BE13" i="11" s="1"/>
  <c r="BE14" i="7"/>
  <c r="BE22" i="11" s="1"/>
  <c r="BE13" i="7"/>
  <c r="BE21" i="11" s="1"/>
  <c r="BI12" i="5"/>
  <c r="BH14" i="5"/>
  <c r="BH19" i="5" s="1"/>
  <c r="BH24" i="5" s="1"/>
  <c r="BF21" i="5"/>
  <c r="BE23" i="5"/>
  <c r="BE26" i="5"/>
  <c r="BE28" i="5"/>
  <c r="BF25" i="14"/>
  <c r="BG23" i="14" s="1"/>
  <c r="BF26" i="14"/>
  <c r="AV43" i="11"/>
  <c r="AV44" i="11" s="1"/>
  <c r="AW38" i="11"/>
  <c r="AW40" i="11"/>
  <c r="AW42" i="11" s="1"/>
  <c r="AZ15" i="7"/>
  <c r="AZ19" i="11"/>
  <c r="BA11" i="7"/>
  <c r="BA26" i="10"/>
  <c r="BA10" i="11"/>
  <c r="BB16" i="11"/>
  <c r="BB37" i="6"/>
  <c r="BC36" i="6"/>
  <c r="AX38" i="11" l="1"/>
  <c r="AX40" i="11"/>
  <c r="AX42" i="11" s="1"/>
  <c r="AX43" i="11" s="1"/>
  <c r="AX44" i="11" s="1"/>
  <c r="AY36" i="10"/>
  <c r="AY37" i="10" s="1"/>
  <c r="AZ25" i="10" s="1"/>
  <c r="AZ30" i="14"/>
  <c r="BA28" i="14" s="1"/>
  <c r="AZ41" i="11"/>
  <c r="AZ34" i="10"/>
  <c r="BA31" i="14"/>
  <c r="BA33" i="14"/>
  <c r="BA35" i="14" s="1"/>
  <c r="BA37" i="14" s="1"/>
  <c r="BB29" i="14"/>
  <c r="BB32" i="14" s="1"/>
  <c r="BH61" i="5"/>
  <c r="BG63" i="5"/>
  <c r="BG66" i="5"/>
  <c r="BG68" i="5"/>
  <c r="BJ52" i="5"/>
  <c r="BI54" i="5"/>
  <c r="BI59" i="5" s="1"/>
  <c r="BI64" i="5" s="1"/>
  <c r="BG41" i="5"/>
  <c r="BF43" i="5"/>
  <c r="BF46" i="5"/>
  <c r="BF86" i="5" s="1"/>
  <c r="BF21" i="6" s="1"/>
  <c r="BF29" i="6" s="1"/>
  <c r="BF14" i="11" s="1"/>
  <c r="BF48" i="5"/>
  <c r="BF88" i="5" s="1"/>
  <c r="BF22" i="6" s="1"/>
  <c r="BF30" i="6" s="1"/>
  <c r="BF15" i="11" s="1"/>
  <c r="BF81" i="5"/>
  <c r="BF18" i="6" s="1"/>
  <c r="BE34" i="6"/>
  <c r="BE26" i="6"/>
  <c r="BE11" i="11" s="1"/>
  <c r="BE31" i="6"/>
  <c r="BE32" i="6"/>
  <c r="BE33" i="6"/>
  <c r="BE12" i="7"/>
  <c r="BE20" i="11" s="1"/>
  <c r="BE10" i="7"/>
  <c r="BE41" i="9"/>
  <c r="BD47" i="9"/>
  <c r="BD34" i="11"/>
  <c r="BD18" i="11"/>
  <c r="BC25" i="11"/>
  <c r="BC28" i="10"/>
  <c r="AY38" i="11"/>
  <c r="AY40" i="11"/>
  <c r="AY42" i="11" s="1"/>
  <c r="BJ32" i="5"/>
  <c r="BI34" i="5"/>
  <c r="BI72" i="5"/>
  <c r="BI10" i="6" s="1"/>
  <c r="BH39" i="5"/>
  <c r="BH74" i="5"/>
  <c r="BH12" i="6" s="1"/>
  <c r="BG44" i="5"/>
  <c r="BG84" i="5" s="1"/>
  <c r="BG20" i="6" s="1"/>
  <c r="BG79" i="5"/>
  <c r="BG16" i="6" s="1"/>
  <c r="BF28" i="6"/>
  <c r="BF13" i="11" s="1"/>
  <c r="BF14" i="7"/>
  <c r="BF22" i="11" s="1"/>
  <c r="BF13" i="7"/>
  <c r="BF21" i="11" s="1"/>
  <c r="BJ12" i="5"/>
  <c r="BI14" i="5"/>
  <c r="BI19" i="5" s="1"/>
  <c r="BI24" i="5" s="1"/>
  <c r="BG21" i="5"/>
  <c r="BF23" i="5"/>
  <c r="BF26" i="5"/>
  <c r="BF28" i="5"/>
  <c r="BG25" i="14"/>
  <c r="BH23" i="14" s="1"/>
  <c r="BG26" i="14"/>
  <c r="AW43" i="11"/>
  <c r="AW44" i="11" s="1"/>
  <c r="AZ29" i="10"/>
  <c r="AZ17" i="11"/>
  <c r="AZ23" i="11" s="1"/>
  <c r="BA15" i="7"/>
  <c r="BA19" i="11"/>
  <c r="BB26" i="10"/>
  <c r="BB10" i="11"/>
  <c r="BB11" i="7"/>
  <c r="BC16" i="11"/>
  <c r="BC37" i="6"/>
  <c r="BD36" i="6"/>
  <c r="BA30" i="14" l="1"/>
  <c r="BB28" i="14" s="1"/>
  <c r="BB30" i="14" s="1"/>
  <c r="BC28" i="14" s="1"/>
  <c r="BA36" i="14"/>
  <c r="BA38" i="14" s="1"/>
  <c r="BA35" i="10" s="1"/>
  <c r="BA41" i="11"/>
  <c r="BA34" i="10"/>
  <c r="BB31" i="14"/>
  <c r="BB36" i="14" s="1"/>
  <c r="BB38" i="14" s="1"/>
  <c r="BB35" i="10" s="1"/>
  <c r="BB33" i="14"/>
  <c r="BB35" i="14" s="1"/>
  <c r="BB37" i="14" s="1"/>
  <c r="BC29" i="14"/>
  <c r="BC32" i="14" s="1"/>
  <c r="AZ36" i="10"/>
  <c r="AZ37" i="10" s="1"/>
  <c r="BA25" i="10" s="1"/>
  <c r="BF83" i="5"/>
  <c r="BF19" i="6" s="1"/>
  <c r="BF27" i="6" s="1"/>
  <c r="BF12" i="11" s="1"/>
  <c r="BI61" i="5"/>
  <c r="BH63" i="5"/>
  <c r="BH66" i="5"/>
  <c r="BH68" i="5"/>
  <c r="BK52" i="5"/>
  <c r="BJ54" i="5"/>
  <c r="BJ59" i="5" s="1"/>
  <c r="BJ64" i="5" s="1"/>
  <c r="BH41" i="5"/>
  <c r="BG43" i="5"/>
  <c r="BG46" i="5"/>
  <c r="BG48" i="5"/>
  <c r="BG88" i="5" s="1"/>
  <c r="BG22" i="6" s="1"/>
  <c r="BG30" i="6" s="1"/>
  <c r="BG15" i="11" s="1"/>
  <c r="BG81" i="5"/>
  <c r="BG18" i="6" s="1"/>
  <c r="BF34" i="6"/>
  <c r="BF26" i="6"/>
  <c r="BF11" i="11" s="1"/>
  <c r="BF31" i="6"/>
  <c r="BF32" i="6"/>
  <c r="BF33" i="6"/>
  <c r="BF10" i="7"/>
  <c r="BF41" i="9"/>
  <c r="BF12" i="7"/>
  <c r="BF20" i="11" s="1"/>
  <c r="BE18" i="11"/>
  <c r="BE47" i="9"/>
  <c r="BE34" i="11"/>
  <c r="BD25" i="11"/>
  <c r="BD28" i="10"/>
  <c r="AY43" i="11"/>
  <c r="AY44" i="11" s="1"/>
  <c r="BK32" i="5"/>
  <c r="BJ34" i="5"/>
  <c r="BJ72" i="5"/>
  <c r="BJ10" i="6" s="1"/>
  <c r="BI39" i="5"/>
  <c r="BI74" i="5"/>
  <c r="BI12" i="6" s="1"/>
  <c r="BH44" i="5"/>
  <c r="BH84" i="5" s="1"/>
  <c r="BH20" i="6" s="1"/>
  <c r="BH79" i="5"/>
  <c r="BH16" i="6" s="1"/>
  <c r="BG28" i="6"/>
  <c r="BG13" i="11" s="1"/>
  <c r="BG14" i="7"/>
  <c r="BG22" i="11" s="1"/>
  <c r="BG13" i="7"/>
  <c r="BG21" i="11" s="1"/>
  <c r="BK12" i="5"/>
  <c r="BJ14" i="5"/>
  <c r="BJ19" i="5" s="1"/>
  <c r="BJ24" i="5" s="1"/>
  <c r="BH21" i="5"/>
  <c r="BG23" i="5"/>
  <c r="BG26" i="5"/>
  <c r="BG28" i="5"/>
  <c r="BH25" i="14"/>
  <c r="BI23" i="14" s="1"/>
  <c r="BH26" i="14"/>
  <c r="AZ24" i="11"/>
  <c r="AZ37" i="11"/>
  <c r="BA29" i="10"/>
  <c r="BA17" i="11"/>
  <c r="BA23" i="11" s="1"/>
  <c r="BB15" i="7"/>
  <c r="BB19" i="11"/>
  <c r="BC26" i="10"/>
  <c r="BC10" i="11"/>
  <c r="BC11" i="7"/>
  <c r="BD37" i="6"/>
  <c r="BD16" i="11"/>
  <c r="BE36" i="6"/>
  <c r="BA36" i="10" l="1"/>
  <c r="BA37" i="10" s="1"/>
  <c r="BB25" i="10" s="1"/>
  <c r="BB34" i="10"/>
  <c r="BB41" i="11"/>
  <c r="BC33" i="14"/>
  <c r="BC35" i="14" s="1"/>
  <c r="BC37" i="14" s="1"/>
  <c r="BC31" i="14"/>
  <c r="BD29" i="14"/>
  <c r="BD32" i="14" s="1"/>
  <c r="BG83" i="5"/>
  <c r="BG19" i="6" s="1"/>
  <c r="BG27" i="6" s="1"/>
  <c r="BG12" i="11" s="1"/>
  <c r="BG86" i="5"/>
  <c r="BG21" i="6" s="1"/>
  <c r="BG29" i="6" s="1"/>
  <c r="BG14" i="11" s="1"/>
  <c r="BJ61" i="5"/>
  <c r="BI63" i="5"/>
  <c r="BI66" i="5"/>
  <c r="BI68" i="5"/>
  <c r="BL52" i="5"/>
  <c r="BK54" i="5"/>
  <c r="BK59" i="5" s="1"/>
  <c r="BK64" i="5" s="1"/>
  <c r="BI41" i="5"/>
  <c r="BH43" i="5"/>
  <c r="BH83" i="5" s="1"/>
  <c r="BH19" i="6" s="1"/>
  <c r="BH27" i="6" s="1"/>
  <c r="BH12" i="11" s="1"/>
  <c r="BH46" i="5"/>
  <c r="BH86" i="5" s="1"/>
  <c r="BH21" i="6" s="1"/>
  <c r="BH29" i="6" s="1"/>
  <c r="BH14" i="11" s="1"/>
  <c r="BH48" i="5"/>
  <c r="BH88" i="5" s="1"/>
  <c r="BH22" i="6" s="1"/>
  <c r="BH30" i="6" s="1"/>
  <c r="BH15" i="11" s="1"/>
  <c r="BH81" i="5"/>
  <c r="BH18" i="6" s="1"/>
  <c r="BG34" i="6"/>
  <c r="BG26" i="6"/>
  <c r="BG11" i="11" s="1"/>
  <c r="BG31" i="6"/>
  <c r="BG32" i="6"/>
  <c r="BG33" i="6"/>
  <c r="BG10" i="7"/>
  <c r="BG41" i="9"/>
  <c r="BG12" i="7"/>
  <c r="BG20" i="11" s="1"/>
  <c r="BF18" i="11"/>
  <c r="BF47" i="9"/>
  <c r="BF34" i="11"/>
  <c r="BE25" i="11"/>
  <c r="BE28" i="10"/>
  <c r="BL32" i="5"/>
  <c r="BK34" i="5"/>
  <c r="BK72" i="5"/>
  <c r="BK10" i="6" s="1"/>
  <c r="BJ39" i="5"/>
  <c r="BJ74" i="5"/>
  <c r="BJ12" i="6" s="1"/>
  <c r="BI44" i="5"/>
  <c r="BI84" i="5" s="1"/>
  <c r="BI20" i="6" s="1"/>
  <c r="BI79" i="5"/>
  <c r="BI16" i="6" s="1"/>
  <c r="BH28" i="6"/>
  <c r="BH13" i="11" s="1"/>
  <c r="BH14" i="7"/>
  <c r="BH22" i="11" s="1"/>
  <c r="BH13" i="7"/>
  <c r="BH21" i="11" s="1"/>
  <c r="BL12" i="5"/>
  <c r="BK14" i="5"/>
  <c r="BK19" i="5" s="1"/>
  <c r="BK24" i="5" s="1"/>
  <c r="BI21" i="5"/>
  <c r="BH23" i="5"/>
  <c r="BH26" i="5"/>
  <c r="BH28" i="5"/>
  <c r="BI25" i="14"/>
  <c r="BJ23" i="14" s="1"/>
  <c r="BI26" i="14"/>
  <c r="AZ38" i="11"/>
  <c r="AZ40" i="11"/>
  <c r="AZ42" i="11" s="1"/>
  <c r="BA24" i="11"/>
  <c r="BA37" i="11"/>
  <c r="BB29" i="10"/>
  <c r="BB17" i="11"/>
  <c r="BB23" i="11" s="1"/>
  <c r="BC15" i="7"/>
  <c r="BC19" i="11"/>
  <c r="BD11" i="7"/>
  <c r="BD26" i="10"/>
  <c r="BD10" i="11"/>
  <c r="BE37" i="6"/>
  <c r="BE16" i="11"/>
  <c r="BF36" i="6"/>
  <c r="BB36" i="10" l="1"/>
  <c r="BB37" i="10" s="1"/>
  <c r="BC25" i="10" s="1"/>
  <c r="BC34" i="10"/>
  <c r="BC41" i="11"/>
  <c r="BC30" i="14"/>
  <c r="BD28" i="14" s="1"/>
  <c r="BD30" i="14" s="1"/>
  <c r="BE28" i="14" s="1"/>
  <c r="BC36" i="14"/>
  <c r="BC38" i="14" s="1"/>
  <c r="BC35" i="10" s="1"/>
  <c r="BD33" i="14"/>
  <c r="BD35" i="14" s="1"/>
  <c r="BD37" i="14" s="1"/>
  <c r="BD31" i="14"/>
  <c r="BD36" i="14" s="1"/>
  <c r="BD38" i="14" s="1"/>
  <c r="BD35" i="10" s="1"/>
  <c r="BE29" i="14"/>
  <c r="BE32" i="14" s="1"/>
  <c r="BK61" i="5"/>
  <c r="BJ63" i="5"/>
  <c r="BJ66" i="5"/>
  <c r="BJ68" i="5"/>
  <c r="BM52" i="5"/>
  <c r="BL54" i="5"/>
  <c r="BL59" i="5" s="1"/>
  <c r="BL64" i="5" s="1"/>
  <c r="BJ41" i="5"/>
  <c r="BI43" i="5"/>
  <c r="BI83" i="5" s="1"/>
  <c r="BI19" i="6" s="1"/>
  <c r="BI27" i="6" s="1"/>
  <c r="BI12" i="11" s="1"/>
  <c r="BI46" i="5"/>
  <c r="BI86" i="5" s="1"/>
  <c r="BI21" i="6" s="1"/>
  <c r="BI29" i="6" s="1"/>
  <c r="BI14" i="11" s="1"/>
  <c r="BI48" i="5"/>
  <c r="BI88" i="5" s="1"/>
  <c r="BI22" i="6" s="1"/>
  <c r="BI30" i="6" s="1"/>
  <c r="BI15" i="11" s="1"/>
  <c r="BI81" i="5"/>
  <c r="BI18" i="6" s="1"/>
  <c r="BH34" i="6"/>
  <c r="BH26" i="6"/>
  <c r="BH11" i="11" s="1"/>
  <c r="BH31" i="6"/>
  <c r="BH32" i="6"/>
  <c r="BH33" i="6"/>
  <c r="BH12" i="7"/>
  <c r="BH20" i="11" s="1"/>
  <c r="BH41" i="9"/>
  <c r="BH10" i="7"/>
  <c r="BG18" i="11"/>
  <c r="BG47" i="9"/>
  <c r="BG34" i="11"/>
  <c r="BF25" i="11"/>
  <c r="BF28" i="10"/>
  <c r="BM32" i="5"/>
  <c r="BL34" i="5"/>
  <c r="BL72" i="5"/>
  <c r="BL10" i="6" s="1"/>
  <c r="BK39" i="5"/>
  <c r="BK74" i="5"/>
  <c r="BK12" i="6" s="1"/>
  <c r="BJ44" i="5"/>
  <c r="BJ84" i="5" s="1"/>
  <c r="BJ20" i="6" s="1"/>
  <c r="BJ79" i="5"/>
  <c r="BJ16" i="6" s="1"/>
  <c r="BI28" i="6"/>
  <c r="BI13" i="11" s="1"/>
  <c r="BI14" i="7"/>
  <c r="BI22" i="11" s="1"/>
  <c r="BI13" i="7"/>
  <c r="BI21" i="11" s="1"/>
  <c r="BM12" i="5"/>
  <c r="BL14" i="5"/>
  <c r="BL19" i="5" s="1"/>
  <c r="BL24" i="5" s="1"/>
  <c r="BJ21" i="5"/>
  <c r="BI23" i="5"/>
  <c r="BI26" i="5"/>
  <c r="BI28" i="5"/>
  <c r="BJ25" i="14"/>
  <c r="BK23" i="14" s="1"/>
  <c r="BJ26" i="14"/>
  <c r="AZ43" i="11"/>
  <c r="AZ44" i="11" s="1"/>
  <c r="BA38" i="11"/>
  <c r="BA40" i="11"/>
  <c r="BA42" i="11" s="1"/>
  <c r="BB24" i="11"/>
  <c r="BB37" i="11"/>
  <c r="BC17" i="11"/>
  <c r="BC23" i="11" s="1"/>
  <c r="BC29" i="10"/>
  <c r="BD15" i="7"/>
  <c r="BD19" i="11"/>
  <c r="BE11" i="7"/>
  <c r="BE26" i="10"/>
  <c r="BE10" i="11"/>
  <c r="BF16" i="11"/>
  <c r="BF37" i="6"/>
  <c r="BG36" i="6"/>
  <c r="BD41" i="11" l="1"/>
  <c r="BD34" i="10"/>
  <c r="BE31" i="14"/>
  <c r="BE33" i="14"/>
  <c r="BE35" i="14" s="1"/>
  <c r="BE37" i="14" s="1"/>
  <c r="BF29" i="14"/>
  <c r="BF32" i="14" s="1"/>
  <c r="BC36" i="10"/>
  <c r="BC37" i="10" s="1"/>
  <c r="BD25" i="10" s="1"/>
  <c r="BL61" i="5"/>
  <c r="BK63" i="5"/>
  <c r="BK66" i="5"/>
  <c r="BK68" i="5"/>
  <c r="BN52" i="5"/>
  <c r="BM54" i="5"/>
  <c r="BM59" i="5" s="1"/>
  <c r="BM64" i="5" s="1"/>
  <c r="BK41" i="5"/>
  <c r="BJ43" i="5"/>
  <c r="BJ46" i="5"/>
  <c r="BJ86" i="5" s="1"/>
  <c r="BJ21" i="6" s="1"/>
  <c r="BJ29" i="6" s="1"/>
  <c r="BJ14" i="11" s="1"/>
  <c r="BJ48" i="5"/>
  <c r="BJ81" i="5"/>
  <c r="BJ18" i="6" s="1"/>
  <c r="BI34" i="6"/>
  <c r="BI26" i="6"/>
  <c r="BI11" i="11" s="1"/>
  <c r="BI31" i="6"/>
  <c r="BI36" i="6" s="1"/>
  <c r="BI32" i="6"/>
  <c r="BI33" i="6"/>
  <c r="BI10" i="7"/>
  <c r="BI12" i="7"/>
  <c r="BI20" i="11" s="1"/>
  <c r="BI41" i="9"/>
  <c r="BH47" i="9"/>
  <c r="BH34" i="11"/>
  <c r="BH18" i="11"/>
  <c r="BG25" i="11"/>
  <c r="BG28" i="10"/>
  <c r="BN32" i="5"/>
  <c r="BM34" i="5"/>
  <c r="BM72" i="5"/>
  <c r="BM10" i="6" s="1"/>
  <c r="BL39" i="5"/>
  <c r="BL74" i="5"/>
  <c r="BL12" i="6" s="1"/>
  <c r="BK44" i="5"/>
  <c r="BK84" i="5" s="1"/>
  <c r="BK20" i="6" s="1"/>
  <c r="BK79" i="5"/>
  <c r="BK16" i="6" s="1"/>
  <c r="BJ28" i="6"/>
  <c r="BJ13" i="11" s="1"/>
  <c r="BJ14" i="7"/>
  <c r="BJ22" i="11" s="1"/>
  <c r="BJ13" i="7"/>
  <c r="BJ21" i="11" s="1"/>
  <c r="BN12" i="5"/>
  <c r="BM14" i="5"/>
  <c r="BM19" i="5" s="1"/>
  <c r="BM24" i="5" s="1"/>
  <c r="BK21" i="5"/>
  <c r="BJ23" i="5"/>
  <c r="BJ26" i="5"/>
  <c r="BJ28" i="5"/>
  <c r="BK25" i="14"/>
  <c r="BL23" i="14" s="1"/>
  <c r="BK26" i="14"/>
  <c r="BA43" i="11"/>
  <c r="BA44" i="11" s="1"/>
  <c r="BB38" i="11"/>
  <c r="BB40" i="11"/>
  <c r="BB42" i="11" s="1"/>
  <c r="BC24" i="11"/>
  <c r="BC37" i="11"/>
  <c r="BD29" i="10"/>
  <c r="BD17" i="11"/>
  <c r="BD23" i="11" s="1"/>
  <c r="BE15" i="7"/>
  <c r="BE19" i="11"/>
  <c r="BF11" i="7"/>
  <c r="BF26" i="10"/>
  <c r="BF10" i="11"/>
  <c r="BG16" i="11"/>
  <c r="BG37" i="6"/>
  <c r="BH36" i="6"/>
  <c r="BE30" i="14" l="1"/>
  <c r="BF28" i="14" s="1"/>
  <c r="BF30" i="14" s="1"/>
  <c r="BG28" i="14" s="1"/>
  <c r="BE36" i="14"/>
  <c r="BE38" i="14" s="1"/>
  <c r="BE35" i="10" s="1"/>
  <c r="BE34" i="10"/>
  <c r="BE41" i="11"/>
  <c r="BF31" i="14"/>
  <c r="BF36" i="14" s="1"/>
  <c r="BF38" i="14" s="1"/>
  <c r="BF35" i="10" s="1"/>
  <c r="BF33" i="14"/>
  <c r="BF35" i="14" s="1"/>
  <c r="BF37" i="14" s="1"/>
  <c r="BG29" i="14"/>
  <c r="BG32" i="14" s="1"/>
  <c r="BD36" i="10"/>
  <c r="BD37" i="10" s="1"/>
  <c r="BE25" i="10" s="1"/>
  <c r="BJ83" i="5"/>
  <c r="BJ19" i="6" s="1"/>
  <c r="BJ27" i="6" s="1"/>
  <c r="BJ12" i="11" s="1"/>
  <c r="BJ88" i="5"/>
  <c r="BJ22" i="6" s="1"/>
  <c r="BJ30" i="6" s="1"/>
  <c r="BJ15" i="11" s="1"/>
  <c r="BM61" i="5"/>
  <c r="BL63" i="5"/>
  <c r="BL66" i="5"/>
  <c r="BL68" i="5"/>
  <c r="BO52" i="5"/>
  <c r="BN54" i="5"/>
  <c r="BN59" i="5" s="1"/>
  <c r="BN64" i="5" s="1"/>
  <c r="BL41" i="5"/>
  <c r="BK43" i="5"/>
  <c r="BK46" i="5"/>
  <c r="BK48" i="5"/>
  <c r="BK81" i="5"/>
  <c r="BK18" i="6" s="1"/>
  <c r="BJ34" i="6"/>
  <c r="BJ26" i="6"/>
  <c r="BJ11" i="11" s="1"/>
  <c r="BJ31" i="6"/>
  <c r="BJ32" i="6"/>
  <c r="BJ33" i="6"/>
  <c r="BJ10" i="7"/>
  <c r="BJ41" i="9"/>
  <c r="BJ12" i="7"/>
  <c r="BJ20" i="11" s="1"/>
  <c r="BI37" i="6"/>
  <c r="BI16" i="11"/>
  <c r="BI18" i="11"/>
  <c r="BI47" i="9"/>
  <c r="BI34" i="11"/>
  <c r="BH25" i="11"/>
  <c r="BH28" i="10"/>
  <c r="BO32" i="5"/>
  <c r="BN34" i="5"/>
  <c r="BN72" i="5"/>
  <c r="BN10" i="6" s="1"/>
  <c r="BM39" i="5"/>
  <c r="BM74" i="5"/>
  <c r="BM12" i="6" s="1"/>
  <c r="BL44" i="5"/>
  <c r="BL84" i="5" s="1"/>
  <c r="BL20" i="6" s="1"/>
  <c r="BL79" i="5"/>
  <c r="BL16" i="6" s="1"/>
  <c r="BK28" i="6"/>
  <c r="BK13" i="11" s="1"/>
  <c r="BK14" i="7"/>
  <c r="BK22" i="11" s="1"/>
  <c r="BK13" i="7"/>
  <c r="BK21" i="11" s="1"/>
  <c r="BO12" i="5"/>
  <c r="BN14" i="5"/>
  <c r="BN19" i="5" s="1"/>
  <c r="BN24" i="5" s="1"/>
  <c r="BL21" i="5"/>
  <c r="BK23" i="5"/>
  <c r="BK26" i="5"/>
  <c r="BK28" i="5"/>
  <c r="BL25" i="14"/>
  <c r="BM23" i="14" s="1"/>
  <c r="BL26" i="14"/>
  <c r="BB43" i="11"/>
  <c r="BB44" i="11" s="1"/>
  <c r="BC38" i="11"/>
  <c r="BC40" i="11"/>
  <c r="BC42" i="11" s="1"/>
  <c r="BD24" i="11"/>
  <c r="BD37" i="11"/>
  <c r="BE17" i="11"/>
  <c r="BE23" i="11" s="1"/>
  <c r="BE29" i="10"/>
  <c r="BF15" i="7"/>
  <c r="BF19" i="11"/>
  <c r="BG26" i="10"/>
  <c r="BG10" i="11"/>
  <c r="BG11" i="7"/>
  <c r="BH37" i="6"/>
  <c r="BH16" i="11"/>
  <c r="BE36" i="10" l="1"/>
  <c r="BE37" i="10" s="1"/>
  <c r="BF25" i="10" s="1"/>
  <c r="BF41" i="11"/>
  <c r="BF34" i="10"/>
  <c r="BG31" i="14"/>
  <c r="BG33" i="14"/>
  <c r="BG35" i="14" s="1"/>
  <c r="BG37" i="14" s="1"/>
  <c r="BH29" i="14"/>
  <c r="BH32" i="14" s="1"/>
  <c r="BK86" i="5"/>
  <c r="BK21" i="6" s="1"/>
  <c r="BK29" i="6" s="1"/>
  <c r="BK14" i="11" s="1"/>
  <c r="BK88" i="5"/>
  <c r="BK22" i="6" s="1"/>
  <c r="BK30" i="6" s="1"/>
  <c r="BK15" i="11" s="1"/>
  <c r="BK83" i="5"/>
  <c r="BK19" i="6" s="1"/>
  <c r="BK27" i="6" s="1"/>
  <c r="BK12" i="11" s="1"/>
  <c r="BJ36" i="6"/>
  <c r="BN61" i="5"/>
  <c r="BM63" i="5"/>
  <c r="BM66" i="5"/>
  <c r="BM68" i="5"/>
  <c r="BP52" i="5"/>
  <c r="BO54" i="5"/>
  <c r="BO59" i="5" s="1"/>
  <c r="BO64" i="5" s="1"/>
  <c r="BM41" i="5"/>
  <c r="BL43" i="5"/>
  <c r="BL83" i="5" s="1"/>
  <c r="BL19" i="6" s="1"/>
  <c r="BL27" i="6" s="1"/>
  <c r="BL12" i="11" s="1"/>
  <c r="BL46" i="5"/>
  <c r="BL86" i="5" s="1"/>
  <c r="BL21" i="6" s="1"/>
  <c r="BL29" i="6" s="1"/>
  <c r="BL14" i="11" s="1"/>
  <c r="BL48" i="5"/>
  <c r="BL88" i="5" s="1"/>
  <c r="BL22" i="6" s="1"/>
  <c r="BL30" i="6" s="1"/>
  <c r="BL15" i="11" s="1"/>
  <c r="BL81" i="5"/>
  <c r="BL18" i="6" s="1"/>
  <c r="BK34" i="6"/>
  <c r="BK26" i="6"/>
  <c r="BK11" i="11" s="1"/>
  <c r="BK31" i="6"/>
  <c r="BK32" i="6"/>
  <c r="BK33" i="6"/>
  <c r="BK12" i="7"/>
  <c r="BK20" i="11" s="1"/>
  <c r="BK10" i="7"/>
  <c r="BK41" i="9"/>
  <c r="BJ18" i="11"/>
  <c r="BJ47" i="9"/>
  <c r="BJ34" i="11"/>
  <c r="BI26" i="10"/>
  <c r="BI10" i="11"/>
  <c r="BI11" i="7"/>
  <c r="BI28" i="10"/>
  <c r="BI25" i="11"/>
  <c r="BP32" i="5"/>
  <c r="BO34" i="5"/>
  <c r="BO72" i="5"/>
  <c r="BO10" i="6" s="1"/>
  <c r="BN39" i="5"/>
  <c r="BN74" i="5"/>
  <c r="BN12" i="6" s="1"/>
  <c r="BM44" i="5"/>
  <c r="BM84" i="5" s="1"/>
  <c r="BM20" i="6" s="1"/>
  <c r="BM79" i="5"/>
  <c r="BM16" i="6" s="1"/>
  <c r="BL28" i="6"/>
  <c r="BL13" i="11" s="1"/>
  <c r="BL14" i="7"/>
  <c r="BL22" i="11" s="1"/>
  <c r="BL13" i="7"/>
  <c r="BL21" i="11" s="1"/>
  <c r="BP12" i="5"/>
  <c r="BO14" i="5"/>
  <c r="BO19" i="5" s="1"/>
  <c r="BO24" i="5" s="1"/>
  <c r="BM21" i="5"/>
  <c r="BL23" i="5"/>
  <c r="BL26" i="5"/>
  <c r="BL28" i="5"/>
  <c r="BM25" i="14"/>
  <c r="BN23" i="14" s="1"/>
  <c r="BM26" i="14"/>
  <c r="BC43" i="11"/>
  <c r="BC44" i="11" s="1"/>
  <c r="BD38" i="11"/>
  <c r="BD40" i="11"/>
  <c r="BD42" i="11" s="1"/>
  <c r="BE24" i="11"/>
  <c r="BE37" i="11"/>
  <c r="BF29" i="10"/>
  <c r="BF17" i="11"/>
  <c r="BF23" i="11" s="1"/>
  <c r="BG15" i="7"/>
  <c r="BG19" i="11"/>
  <c r="BH11" i="7"/>
  <c r="BH26" i="10"/>
  <c r="BH10" i="11"/>
  <c r="BG30" i="14" l="1"/>
  <c r="BH28" i="14" s="1"/>
  <c r="BG36" i="14"/>
  <c r="BG38" i="14" s="1"/>
  <c r="BG35" i="10" s="1"/>
  <c r="BG34" i="10"/>
  <c r="BG41" i="11"/>
  <c r="BH33" i="14"/>
  <c r="BH35" i="14" s="1"/>
  <c r="BH37" i="14" s="1"/>
  <c r="BH31" i="14"/>
  <c r="BH36" i="14" s="1"/>
  <c r="BH38" i="14" s="1"/>
  <c r="BH35" i="10" s="1"/>
  <c r="BI29" i="14"/>
  <c r="BI32" i="14" s="1"/>
  <c r="BF36" i="10"/>
  <c r="BF37" i="10" s="1"/>
  <c r="BG25" i="10" s="1"/>
  <c r="BJ37" i="6"/>
  <c r="BJ16" i="11"/>
  <c r="BO61" i="5"/>
  <c r="BN63" i="5"/>
  <c r="BN66" i="5"/>
  <c r="BN68" i="5"/>
  <c r="BQ52" i="5"/>
  <c r="BP54" i="5"/>
  <c r="BP59" i="5" s="1"/>
  <c r="BP64" i="5" s="1"/>
  <c r="BN41" i="5"/>
  <c r="BM43" i="5"/>
  <c r="BM83" i="5" s="1"/>
  <c r="BM19" i="6" s="1"/>
  <c r="BM27" i="6" s="1"/>
  <c r="BM12" i="11" s="1"/>
  <c r="BM46" i="5"/>
  <c r="BM86" i="5" s="1"/>
  <c r="BM21" i="6" s="1"/>
  <c r="BM29" i="6" s="1"/>
  <c r="BM14" i="11" s="1"/>
  <c r="BM48" i="5"/>
  <c r="BM88" i="5" s="1"/>
  <c r="BM22" i="6" s="1"/>
  <c r="BM30" i="6" s="1"/>
  <c r="BM15" i="11" s="1"/>
  <c r="BM81" i="5"/>
  <c r="BM18" i="6" s="1"/>
  <c r="BL34" i="6"/>
  <c r="BL26" i="6"/>
  <c r="BL11" i="11" s="1"/>
  <c r="BL31" i="6"/>
  <c r="BL32" i="6"/>
  <c r="BL33" i="6"/>
  <c r="BL41" i="9"/>
  <c r="BL10" i="7"/>
  <c r="BL12" i="7"/>
  <c r="BL20" i="11" s="1"/>
  <c r="BK18" i="11"/>
  <c r="BK47" i="9"/>
  <c r="BK34" i="11"/>
  <c r="BJ25" i="11"/>
  <c r="BJ28" i="10"/>
  <c r="BI15" i="7"/>
  <c r="BI19" i="11"/>
  <c r="BQ32" i="5"/>
  <c r="BP34" i="5"/>
  <c r="BP72" i="5"/>
  <c r="BP10" i="6" s="1"/>
  <c r="BO39" i="5"/>
  <c r="BO74" i="5"/>
  <c r="BO12" i="6" s="1"/>
  <c r="BN44" i="5"/>
  <c r="BN84" i="5" s="1"/>
  <c r="BN20" i="6" s="1"/>
  <c r="BN79" i="5"/>
  <c r="BN16" i="6" s="1"/>
  <c r="BM28" i="6"/>
  <c r="BM13" i="11" s="1"/>
  <c r="BM14" i="7"/>
  <c r="BM22" i="11" s="1"/>
  <c r="BM13" i="7"/>
  <c r="BM21" i="11" s="1"/>
  <c r="BQ12" i="5"/>
  <c r="BP14" i="5"/>
  <c r="BP19" i="5" s="1"/>
  <c r="BP24" i="5" s="1"/>
  <c r="BN21" i="5"/>
  <c r="BM23" i="5"/>
  <c r="BM26" i="5"/>
  <c r="BM28" i="5"/>
  <c r="BN25" i="14"/>
  <c r="BO23" i="14" s="1"/>
  <c r="BN26" i="14"/>
  <c r="BD43" i="11"/>
  <c r="BD44" i="11" s="1"/>
  <c r="BE38" i="11"/>
  <c r="BE40" i="11"/>
  <c r="BE42" i="11" s="1"/>
  <c r="BF24" i="11"/>
  <c r="BF37" i="11"/>
  <c r="BG29" i="10"/>
  <c r="BG17" i="11"/>
  <c r="BG23" i="11" s="1"/>
  <c r="BH15" i="7"/>
  <c r="BH19" i="11"/>
  <c r="BK36" i="6"/>
  <c r="BG36" i="10" l="1"/>
  <c r="BG37" i="10" s="1"/>
  <c r="BH25" i="10" s="1"/>
  <c r="BJ11" i="7"/>
  <c r="BJ26" i="10"/>
  <c r="BJ10" i="11"/>
  <c r="BH30" i="14"/>
  <c r="BI28" i="14" s="1"/>
  <c r="BH41" i="11"/>
  <c r="BH34" i="10"/>
  <c r="BI33" i="14"/>
  <c r="BI35" i="14" s="1"/>
  <c r="BI37" i="14" s="1"/>
  <c r="BI31" i="14"/>
  <c r="BJ29" i="14"/>
  <c r="BJ32" i="14" s="1"/>
  <c r="BL36" i="6"/>
  <c r="BP61" i="5"/>
  <c r="BO63" i="5"/>
  <c r="BO66" i="5"/>
  <c r="BO68" i="5"/>
  <c r="BR52" i="5"/>
  <c r="BQ54" i="5"/>
  <c r="BQ59" i="5" s="1"/>
  <c r="BQ64" i="5" s="1"/>
  <c r="BO41" i="5"/>
  <c r="BN43" i="5"/>
  <c r="BN83" i="5" s="1"/>
  <c r="BN19" i="6" s="1"/>
  <c r="BN27" i="6" s="1"/>
  <c r="BN12" i="11" s="1"/>
  <c r="BN46" i="5"/>
  <c r="BN86" i="5" s="1"/>
  <c r="BN21" i="6" s="1"/>
  <c r="BN29" i="6" s="1"/>
  <c r="BN14" i="11" s="1"/>
  <c r="BN48" i="5"/>
  <c r="BN88" i="5" s="1"/>
  <c r="BN22" i="6" s="1"/>
  <c r="BN30" i="6" s="1"/>
  <c r="BN15" i="11" s="1"/>
  <c r="BN81" i="5"/>
  <c r="BN18" i="6" s="1"/>
  <c r="BM34" i="6"/>
  <c r="BM26" i="6"/>
  <c r="BM11" i="11" s="1"/>
  <c r="BM31" i="6"/>
  <c r="BM32" i="6"/>
  <c r="BM33" i="6"/>
  <c r="BM12" i="7"/>
  <c r="BM20" i="11" s="1"/>
  <c r="BM41" i="9"/>
  <c r="BM10" i="7"/>
  <c r="BL47" i="9"/>
  <c r="BL34" i="11"/>
  <c r="BL18" i="11"/>
  <c r="BK25" i="11"/>
  <c r="BK28" i="10"/>
  <c r="BJ15" i="7"/>
  <c r="BJ19" i="11"/>
  <c r="BI29" i="10"/>
  <c r="BI17" i="11"/>
  <c r="BI23" i="11" s="1"/>
  <c r="BR32" i="5"/>
  <c r="BQ34" i="5"/>
  <c r="BQ72" i="5"/>
  <c r="BQ10" i="6" s="1"/>
  <c r="BP39" i="5"/>
  <c r="BP74" i="5"/>
  <c r="BP12" i="6" s="1"/>
  <c r="BO44" i="5"/>
  <c r="BO84" i="5" s="1"/>
  <c r="BO20" i="6" s="1"/>
  <c r="BO79" i="5"/>
  <c r="BO16" i="6" s="1"/>
  <c r="BN28" i="6"/>
  <c r="BN13" i="11" s="1"/>
  <c r="BN14" i="7"/>
  <c r="BN22" i="11" s="1"/>
  <c r="BN13" i="7"/>
  <c r="BN21" i="11" s="1"/>
  <c r="BR12" i="5"/>
  <c r="BQ14" i="5"/>
  <c r="BQ19" i="5" s="1"/>
  <c r="BQ24" i="5" s="1"/>
  <c r="BO21" i="5"/>
  <c r="BN23" i="5"/>
  <c r="BN26" i="5"/>
  <c r="BN28" i="5"/>
  <c r="BO25" i="14"/>
  <c r="BP23" i="14" s="1"/>
  <c r="BO26" i="14"/>
  <c r="BE43" i="11"/>
  <c r="BE44" i="11" s="1"/>
  <c r="BF38" i="11"/>
  <c r="BF40" i="11"/>
  <c r="BF42" i="11" s="1"/>
  <c r="BG24" i="11"/>
  <c r="BG37" i="11"/>
  <c r="BH17" i="11"/>
  <c r="BH23" i="11" s="1"/>
  <c r="BH29" i="10"/>
  <c r="BK37" i="6"/>
  <c r="BK16" i="11"/>
  <c r="BH36" i="10" l="1"/>
  <c r="BH37" i="10" s="1"/>
  <c r="BI25" i="10" s="1"/>
  <c r="BI34" i="10"/>
  <c r="BI41" i="11"/>
  <c r="BI30" i="14"/>
  <c r="BJ28" i="14" s="1"/>
  <c r="BI36" i="14"/>
  <c r="BI38" i="14" s="1"/>
  <c r="BI35" i="10" s="1"/>
  <c r="BJ31" i="14"/>
  <c r="BJ36" i="14" s="1"/>
  <c r="BJ38" i="14" s="1"/>
  <c r="BJ35" i="10" s="1"/>
  <c r="BJ33" i="14"/>
  <c r="BJ35" i="14" s="1"/>
  <c r="BJ37" i="14" s="1"/>
  <c r="BK29" i="14"/>
  <c r="BK32" i="14" s="1"/>
  <c r="BL16" i="11"/>
  <c r="BL37" i="6"/>
  <c r="BQ61" i="5"/>
  <c r="BP63" i="5"/>
  <c r="BP66" i="5"/>
  <c r="BP68" i="5"/>
  <c r="BS52" i="5"/>
  <c r="BR54" i="5"/>
  <c r="BR59" i="5" s="1"/>
  <c r="BR64" i="5" s="1"/>
  <c r="BP41" i="5"/>
  <c r="BO43" i="5"/>
  <c r="BO46" i="5"/>
  <c r="BO48" i="5"/>
  <c r="BO81" i="5"/>
  <c r="BO18" i="6" s="1"/>
  <c r="BN34" i="6"/>
  <c r="BN26" i="6"/>
  <c r="BN11" i="11" s="1"/>
  <c r="BN31" i="6"/>
  <c r="BN32" i="6"/>
  <c r="BN33" i="6"/>
  <c r="BN10" i="7"/>
  <c r="BN12" i="7"/>
  <c r="BN20" i="11" s="1"/>
  <c r="BN41" i="9"/>
  <c r="BM47" i="9"/>
  <c r="BM34" i="11"/>
  <c r="BM18" i="11"/>
  <c r="BL25" i="11"/>
  <c r="BL28" i="10"/>
  <c r="BJ29" i="10"/>
  <c r="BJ17" i="11"/>
  <c r="BJ23" i="11" s="1"/>
  <c r="BI24" i="11"/>
  <c r="BI37" i="11"/>
  <c r="BS32" i="5"/>
  <c r="BR34" i="5"/>
  <c r="BR72" i="5"/>
  <c r="BR10" i="6" s="1"/>
  <c r="BQ39" i="5"/>
  <c r="BQ74" i="5"/>
  <c r="BQ12" i="6" s="1"/>
  <c r="BP44" i="5"/>
  <c r="BP84" i="5" s="1"/>
  <c r="BP20" i="6" s="1"/>
  <c r="BP79" i="5"/>
  <c r="BP16" i="6" s="1"/>
  <c r="BO28" i="6"/>
  <c r="BO13" i="11" s="1"/>
  <c r="BO14" i="7"/>
  <c r="BO22" i="11" s="1"/>
  <c r="BO13" i="7"/>
  <c r="BO21" i="11" s="1"/>
  <c r="BS12" i="5"/>
  <c r="BR14" i="5"/>
  <c r="BR19" i="5" s="1"/>
  <c r="BR24" i="5" s="1"/>
  <c r="BP21" i="5"/>
  <c r="BO23" i="5"/>
  <c r="BO26" i="5"/>
  <c r="BO28" i="5"/>
  <c r="BP25" i="14"/>
  <c r="BQ23" i="14" s="1"/>
  <c r="BP26" i="14"/>
  <c r="BF43" i="11"/>
  <c r="BF44" i="11" s="1"/>
  <c r="BG38" i="11"/>
  <c r="BG40" i="11"/>
  <c r="BG42" i="11" s="1"/>
  <c r="BH24" i="11"/>
  <c r="BH37" i="11"/>
  <c r="BK26" i="10"/>
  <c r="BK10" i="11"/>
  <c r="BK11" i="7"/>
  <c r="BM36" i="6"/>
  <c r="BL11" i="7" l="1"/>
  <c r="BL26" i="10"/>
  <c r="BL10" i="11"/>
  <c r="BJ34" i="10"/>
  <c r="BJ36" i="10" s="1"/>
  <c r="BJ41" i="11"/>
  <c r="BK31" i="14"/>
  <c r="BK36" i="14" s="1"/>
  <c r="BK38" i="14" s="1"/>
  <c r="BK35" i="10" s="1"/>
  <c r="BK33" i="14"/>
  <c r="BK35" i="14" s="1"/>
  <c r="BK37" i="14" s="1"/>
  <c r="BL29" i="14"/>
  <c r="BL32" i="14" s="1"/>
  <c r="BI36" i="10"/>
  <c r="BI37" i="10" s="1"/>
  <c r="BJ25" i="10" s="1"/>
  <c r="BJ30" i="14"/>
  <c r="BK28" i="14" s="1"/>
  <c r="BO83" i="5"/>
  <c r="BO19" i="6" s="1"/>
  <c r="BO27" i="6" s="1"/>
  <c r="BO12" i="11" s="1"/>
  <c r="BO86" i="5"/>
  <c r="BO21" i="6" s="1"/>
  <c r="BO29" i="6" s="1"/>
  <c r="BO14" i="11" s="1"/>
  <c r="BO88" i="5"/>
  <c r="BO22" i="6" s="1"/>
  <c r="BO30" i="6" s="1"/>
  <c r="BO15" i="11" s="1"/>
  <c r="BR61" i="5"/>
  <c r="BQ63" i="5"/>
  <c r="BQ66" i="5"/>
  <c r="BQ68" i="5"/>
  <c r="BT52" i="5"/>
  <c r="BS54" i="5"/>
  <c r="BS59" i="5" s="1"/>
  <c r="BS64" i="5" s="1"/>
  <c r="BQ41" i="5"/>
  <c r="BP43" i="5"/>
  <c r="BP46" i="5"/>
  <c r="BP48" i="5"/>
  <c r="BP88" i="5" s="1"/>
  <c r="BP22" i="6" s="1"/>
  <c r="BP30" i="6" s="1"/>
  <c r="BP15" i="11" s="1"/>
  <c r="BP81" i="5"/>
  <c r="BP18" i="6" s="1"/>
  <c r="BO34" i="6"/>
  <c r="BO26" i="6"/>
  <c r="BO11" i="11" s="1"/>
  <c r="BO31" i="6"/>
  <c r="BO32" i="6"/>
  <c r="BO33" i="6"/>
  <c r="BO12" i="7"/>
  <c r="BO20" i="11" s="1"/>
  <c r="BO41" i="9"/>
  <c r="BO10" i="7"/>
  <c r="H7" i="18"/>
  <c r="BN18" i="11"/>
  <c r="BN47" i="9"/>
  <c r="BN34" i="11"/>
  <c r="BM28" i="10"/>
  <c r="BM25" i="11"/>
  <c r="BJ24" i="11"/>
  <c r="BJ37" i="11"/>
  <c r="BI38" i="11"/>
  <c r="BI40" i="11"/>
  <c r="BI42" i="11" s="1"/>
  <c r="BT32" i="5"/>
  <c r="BS34" i="5"/>
  <c r="BS72" i="5"/>
  <c r="BS10" i="6" s="1"/>
  <c r="BR39" i="5"/>
  <c r="BR74" i="5"/>
  <c r="BR12" i="6" s="1"/>
  <c r="BQ44" i="5"/>
  <c r="BQ84" i="5" s="1"/>
  <c r="BQ20" i="6" s="1"/>
  <c r="BQ79" i="5"/>
  <c r="BQ16" i="6" s="1"/>
  <c r="BP28" i="6"/>
  <c r="BP13" i="11" s="1"/>
  <c r="BP14" i="7"/>
  <c r="BP22" i="11" s="1"/>
  <c r="BP13" i="7"/>
  <c r="BP21" i="11" s="1"/>
  <c r="BT12" i="5"/>
  <c r="BS14" i="5"/>
  <c r="BS19" i="5" s="1"/>
  <c r="BS24" i="5" s="1"/>
  <c r="BQ21" i="5"/>
  <c r="BP23" i="5"/>
  <c r="BP26" i="5"/>
  <c r="BP28" i="5"/>
  <c r="BQ25" i="14"/>
  <c r="BR23" i="14" s="1"/>
  <c r="BQ26" i="14"/>
  <c r="BG43" i="11"/>
  <c r="BG44" i="11" s="1"/>
  <c r="BH38" i="11"/>
  <c r="BH40" i="11"/>
  <c r="BH42" i="11" s="1"/>
  <c r="BK15" i="7"/>
  <c r="BK19" i="11"/>
  <c r="BM16" i="11"/>
  <c r="BM37" i="6"/>
  <c r="BN36" i="6"/>
  <c r="BL15" i="7" l="1"/>
  <c r="BL19" i="11"/>
  <c r="BK30" i="14"/>
  <c r="BL28" i="14" s="1"/>
  <c r="BK34" i="10"/>
  <c r="BK41" i="11"/>
  <c r="BL31" i="14"/>
  <c r="BL33" i="14"/>
  <c r="BL35" i="14" s="1"/>
  <c r="BL37" i="14" s="1"/>
  <c r="BM29" i="14"/>
  <c r="BM32" i="14" s="1"/>
  <c r="BJ37" i="10"/>
  <c r="BK25" i="10" s="1"/>
  <c r="BP83" i="5"/>
  <c r="BP19" i="6" s="1"/>
  <c r="BP27" i="6" s="1"/>
  <c r="BP12" i="11" s="1"/>
  <c r="BP86" i="5"/>
  <c r="BP21" i="6" s="1"/>
  <c r="BP29" i="6" s="1"/>
  <c r="BP14" i="11" s="1"/>
  <c r="BS61" i="5"/>
  <c r="BR63" i="5"/>
  <c r="BR66" i="5"/>
  <c r="BR68" i="5"/>
  <c r="BU52" i="5"/>
  <c r="BT54" i="5"/>
  <c r="BT59" i="5" s="1"/>
  <c r="BT64" i="5" s="1"/>
  <c r="BR41" i="5"/>
  <c r="BQ43" i="5"/>
  <c r="BQ83" i="5" s="1"/>
  <c r="BQ19" i="6" s="1"/>
  <c r="BQ27" i="6" s="1"/>
  <c r="BQ12" i="11" s="1"/>
  <c r="BQ46" i="5"/>
  <c r="BQ48" i="5"/>
  <c r="BQ81" i="5"/>
  <c r="BQ18" i="6" s="1"/>
  <c r="BP34" i="6"/>
  <c r="BP26" i="6"/>
  <c r="BP11" i="11" s="1"/>
  <c r="BP31" i="6"/>
  <c r="BP32" i="6"/>
  <c r="BP33" i="6"/>
  <c r="BP10" i="7"/>
  <c r="BP41" i="9"/>
  <c r="BP12" i="7"/>
  <c r="BP20" i="11" s="1"/>
  <c r="BO47" i="9"/>
  <c r="BO34" i="11"/>
  <c r="BO18" i="11"/>
  <c r="BN25" i="11"/>
  <c r="BN28" i="10"/>
  <c r="BL29" i="10"/>
  <c r="BL17" i="11"/>
  <c r="BL23" i="11" s="1"/>
  <c r="BJ38" i="11"/>
  <c r="BJ40" i="11"/>
  <c r="BJ42" i="11" s="1"/>
  <c r="BI43" i="11"/>
  <c r="BI44" i="11" s="1"/>
  <c r="BU32" i="5"/>
  <c r="BT34" i="5"/>
  <c r="BT72" i="5"/>
  <c r="BT10" i="6" s="1"/>
  <c r="BS39" i="5"/>
  <c r="BS74" i="5"/>
  <c r="BS12" i="6" s="1"/>
  <c r="BR44" i="5"/>
  <c r="BR84" i="5" s="1"/>
  <c r="BR20" i="6" s="1"/>
  <c r="BR79" i="5"/>
  <c r="BR16" i="6" s="1"/>
  <c r="BQ28" i="6"/>
  <c r="BQ13" i="11" s="1"/>
  <c r="BQ14" i="7"/>
  <c r="BQ22" i="11" s="1"/>
  <c r="BQ13" i="7"/>
  <c r="BQ21" i="11" s="1"/>
  <c r="BU12" i="5"/>
  <c r="BT14" i="5"/>
  <c r="BT19" i="5" s="1"/>
  <c r="BT24" i="5" s="1"/>
  <c r="BR21" i="5"/>
  <c r="BQ23" i="5"/>
  <c r="BQ26" i="5"/>
  <c r="BQ28" i="5"/>
  <c r="BR25" i="14"/>
  <c r="BS23" i="14" s="1"/>
  <c r="BR26" i="14"/>
  <c r="BH43" i="11"/>
  <c r="BH44" i="11" s="1"/>
  <c r="BK29" i="10"/>
  <c r="BK17" i="11"/>
  <c r="BK23" i="11" s="1"/>
  <c r="BM26" i="10"/>
  <c r="BM10" i="11"/>
  <c r="BM11" i="7"/>
  <c r="BN16" i="11"/>
  <c r="BN37" i="6"/>
  <c r="BO36" i="6"/>
  <c r="BL30" i="14" l="1"/>
  <c r="BM28" i="14" s="1"/>
  <c r="BL36" i="14"/>
  <c r="BL38" i="14" s="1"/>
  <c r="BL35" i="10" s="1"/>
  <c r="BL34" i="10"/>
  <c r="BL36" i="10" s="1"/>
  <c r="BL37" i="10" s="1"/>
  <c r="BM25" i="10" s="1"/>
  <c r="BL41" i="11"/>
  <c r="BM31" i="14"/>
  <c r="BM36" i="14" s="1"/>
  <c r="BM38" i="14" s="1"/>
  <c r="BM35" i="10" s="1"/>
  <c r="BM33" i="14"/>
  <c r="BM35" i="14" s="1"/>
  <c r="BM37" i="14" s="1"/>
  <c r="BN29" i="14"/>
  <c r="BN32" i="14"/>
  <c r="BK36" i="10"/>
  <c r="BK37" i="10" s="1"/>
  <c r="BL25" i="10" s="1"/>
  <c r="BQ86" i="5"/>
  <c r="BQ21" i="6" s="1"/>
  <c r="BQ29" i="6" s="1"/>
  <c r="BQ14" i="11" s="1"/>
  <c r="BQ88" i="5"/>
  <c r="BQ22" i="6" s="1"/>
  <c r="BQ30" i="6" s="1"/>
  <c r="BQ15" i="11" s="1"/>
  <c r="BT61" i="5"/>
  <c r="BS63" i="5"/>
  <c r="BS66" i="5"/>
  <c r="BS68" i="5"/>
  <c r="BV52" i="5"/>
  <c r="BU54" i="5"/>
  <c r="BU59" i="5" s="1"/>
  <c r="BU64" i="5" s="1"/>
  <c r="BS41" i="5"/>
  <c r="BR43" i="5"/>
  <c r="BR46" i="5"/>
  <c r="BR48" i="5"/>
  <c r="BR81" i="5"/>
  <c r="BR18" i="6" s="1"/>
  <c r="BQ34" i="6"/>
  <c r="BQ26" i="6"/>
  <c r="BQ11" i="11" s="1"/>
  <c r="BQ31" i="6"/>
  <c r="BQ32" i="6"/>
  <c r="BQ33" i="6"/>
  <c r="BQ10" i="7"/>
  <c r="BQ41" i="9"/>
  <c r="BQ12" i="7"/>
  <c r="BQ20" i="11" s="1"/>
  <c r="BP18" i="11"/>
  <c r="BP47" i="9"/>
  <c r="BP34" i="11"/>
  <c r="BO28" i="10"/>
  <c r="BO25" i="11"/>
  <c r="BL24" i="11"/>
  <c r="BL37" i="11"/>
  <c r="BJ43" i="11"/>
  <c r="BJ44" i="11" s="1"/>
  <c r="BV32" i="5"/>
  <c r="BU34" i="5"/>
  <c r="BU72" i="5"/>
  <c r="BU10" i="6" s="1"/>
  <c r="BT39" i="5"/>
  <c r="BT74" i="5"/>
  <c r="BT12" i="6" s="1"/>
  <c r="BS44" i="5"/>
  <c r="BS84" i="5" s="1"/>
  <c r="BS20" i="6" s="1"/>
  <c r="BS79" i="5"/>
  <c r="BS16" i="6" s="1"/>
  <c r="BR28" i="6"/>
  <c r="BR13" i="11" s="1"/>
  <c r="BR14" i="7"/>
  <c r="BR22" i="11" s="1"/>
  <c r="BR13" i="7"/>
  <c r="BR21" i="11" s="1"/>
  <c r="BV12" i="5"/>
  <c r="BU14" i="5"/>
  <c r="BU19" i="5" s="1"/>
  <c r="BU24" i="5" s="1"/>
  <c r="BS21" i="5"/>
  <c r="BR23" i="5"/>
  <c r="BR26" i="5"/>
  <c r="BR28" i="5"/>
  <c r="BS25" i="14"/>
  <c r="BT23" i="14" s="1"/>
  <c r="BS26" i="14"/>
  <c r="BK24" i="11"/>
  <c r="BK37" i="11"/>
  <c r="BM15" i="7"/>
  <c r="BM19" i="11"/>
  <c r="BN26" i="10"/>
  <c r="BN10" i="11"/>
  <c r="BN11" i="7"/>
  <c r="BO16" i="11"/>
  <c r="BO37" i="6"/>
  <c r="BP36" i="6"/>
  <c r="BM30" i="14" l="1"/>
  <c r="BN28" i="14" s="1"/>
  <c r="BM34" i="10"/>
  <c r="BM41" i="11"/>
  <c r="BN33" i="14"/>
  <c r="BN35" i="14" s="1"/>
  <c r="BN37" i="14" s="1"/>
  <c r="BN31" i="14"/>
  <c r="BO29" i="14"/>
  <c r="BO32" i="14" s="1"/>
  <c r="BR86" i="5"/>
  <c r="BR21" i="6" s="1"/>
  <c r="BR29" i="6" s="1"/>
  <c r="BR14" i="11" s="1"/>
  <c r="BR88" i="5"/>
  <c r="BR22" i="6" s="1"/>
  <c r="BR30" i="6" s="1"/>
  <c r="BR15" i="11" s="1"/>
  <c r="BR83" i="5"/>
  <c r="BR19" i="6" s="1"/>
  <c r="BR27" i="6" s="1"/>
  <c r="BR12" i="11" s="1"/>
  <c r="BU61" i="5"/>
  <c r="BT63" i="5"/>
  <c r="BT66" i="5"/>
  <c r="BT68" i="5"/>
  <c r="BW52" i="5"/>
  <c r="BV54" i="5"/>
  <c r="BV59" i="5" s="1"/>
  <c r="BV64" i="5" s="1"/>
  <c r="BT41" i="5"/>
  <c r="BS43" i="5"/>
  <c r="BS46" i="5"/>
  <c r="BS48" i="5"/>
  <c r="BS81" i="5"/>
  <c r="BS18" i="6" s="1"/>
  <c r="BR34" i="6"/>
  <c r="BR26" i="6"/>
  <c r="BR11" i="11" s="1"/>
  <c r="BR31" i="6"/>
  <c r="BR32" i="6"/>
  <c r="BR33" i="6"/>
  <c r="BR10" i="7"/>
  <c r="BR41" i="9"/>
  <c r="BR12" i="7"/>
  <c r="BR20" i="11" s="1"/>
  <c r="BQ18" i="11"/>
  <c r="BQ47" i="9"/>
  <c r="BQ34" i="11"/>
  <c r="BP25" i="11"/>
  <c r="BP28" i="10"/>
  <c r="BL38" i="11"/>
  <c r="BL40" i="11"/>
  <c r="BL42" i="11" s="1"/>
  <c r="BW32" i="5"/>
  <c r="BV34" i="5"/>
  <c r="BV72" i="5"/>
  <c r="BV10" i="6" s="1"/>
  <c r="BU39" i="5"/>
  <c r="BU74" i="5"/>
  <c r="BU12" i="6" s="1"/>
  <c r="BT44" i="5"/>
  <c r="BT84" i="5" s="1"/>
  <c r="BT20" i="6" s="1"/>
  <c r="BT79" i="5"/>
  <c r="BT16" i="6" s="1"/>
  <c r="BS28" i="6"/>
  <c r="BS13" i="11" s="1"/>
  <c r="BS14" i="7"/>
  <c r="BS22" i="11" s="1"/>
  <c r="BS13" i="7"/>
  <c r="BS21" i="11" s="1"/>
  <c r="BW12" i="5"/>
  <c r="BV14" i="5"/>
  <c r="BV19" i="5" s="1"/>
  <c r="BV24" i="5" s="1"/>
  <c r="BT21" i="5"/>
  <c r="BS23" i="5"/>
  <c r="BS26" i="5"/>
  <c r="BS28" i="5"/>
  <c r="BT25" i="14"/>
  <c r="BU23" i="14" s="1"/>
  <c r="BT26" i="14"/>
  <c r="BK38" i="11"/>
  <c r="BK40" i="11"/>
  <c r="BK42" i="11" s="1"/>
  <c r="BM29" i="10"/>
  <c r="BM17" i="11"/>
  <c r="BM23" i="11" s="1"/>
  <c r="BN15" i="7"/>
  <c r="BN19" i="11"/>
  <c r="BO26" i="10"/>
  <c r="BO10" i="11"/>
  <c r="H8" i="18"/>
  <c r="BO11" i="7"/>
  <c r="BP16" i="11"/>
  <c r="BP37" i="6"/>
  <c r="BQ36" i="6"/>
  <c r="BN34" i="10" l="1"/>
  <c r="BN41" i="11"/>
  <c r="BN30" i="14"/>
  <c r="BO28" i="14" s="1"/>
  <c r="BN36" i="14"/>
  <c r="BN38" i="14" s="1"/>
  <c r="BN35" i="10" s="1"/>
  <c r="BO31" i="14"/>
  <c r="BO36" i="14" s="1"/>
  <c r="BO38" i="14" s="1"/>
  <c r="BO35" i="10" s="1"/>
  <c r="BO33" i="14"/>
  <c r="BO35" i="14" s="1"/>
  <c r="BO37" i="14" s="1"/>
  <c r="BP29" i="14"/>
  <c r="BP32" i="14" s="1"/>
  <c r="BM36" i="10"/>
  <c r="BM37" i="10" s="1"/>
  <c r="BN25" i="10" s="1"/>
  <c r="BS83" i="5"/>
  <c r="BS19" i="6" s="1"/>
  <c r="BS27" i="6" s="1"/>
  <c r="BS12" i="11" s="1"/>
  <c r="BS86" i="5"/>
  <c r="BS21" i="6" s="1"/>
  <c r="BS29" i="6" s="1"/>
  <c r="BS14" i="11" s="1"/>
  <c r="BS88" i="5"/>
  <c r="BS22" i="6" s="1"/>
  <c r="BS30" i="6" s="1"/>
  <c r="BS15" i="11" s="1"/>
  <c r="BR36" i="6"/>
  <c r="BV61" i="5"/>
  <c r="BU63" i="5"/>
  <c r="BU66" i="5"/>
  <c r="BU68" i="5"/>
  <c r="BX52" i="5"/>
  <c r="BW54" i="5"/>
  <c r="BW59" i="5" s="1"/>
  <c r="BW64" i="5" s="1"/>
  <c r="BU41" i="5"/>
  <c r="BT43" i="5"/>
  <c r="BT46" i="5"/>
  <c r="BT48" i="5"/>
  <c r="BT81" i="5"/>
  <c r="BT18" i="6" s="1"/>
  <c r="BS34" i="6"/>
  <c r="BS26" i="6"/>
  <c r="BS11" i="11" s="1"/>
  <c r="BS31" i="6"/>
  <c r="BS32" i="6"/>
  <c r="BS33" i="6"/>
  <c r="BS10" i="7"/>
  <c r="BS12" i="7"/>
  <c r="BS20" i="11" s="1"/>
  <c r="BS41" i="9"/>
  <c r="BR18" i="11"/>
  <c r="BR47" i="9"/>
  <c r="BR34" i="11"/>
  <c r="BQ25" i="11"/>
  <c r="BQ28" i="10"/>
  <c r="BL43" i="11"/>
  <c r="BL44" i="11" s="1"/>
  <c r="BX32" i="5"/>
  <c r="BW34" i="5"/>
  <c r="BW72" i="5"/>
  <c r="BW10" i="6" s="1"/>
  <c r="BV39" i="5"/>
  <c r="BV74" i="5"/>
  <c r="BV12" i="6" s="1"/>
  <c r="BU44" i="5"/>
  <c r="BU84" i="5" s="1"/>
  <c r="BU20" i="6" s="1"/>
  <c r="BU79" i="5"/>
  <c r="BU16" i="6" s="1"/>
  <c r="BT28" i="6"/>
  <c r="BT13" i="11" s="1"/>
  <c r="BT14" i="7"/>
  <c r="BT22" i="11" s="1"/>
  <c r="BT13" i="7"/>
  <c r="BT21" i="11" s="1"/>
  <c r="BX12" i="5"/>
  <c r="BW14" i="5"/>
  <c r="BW19" i="5" s="1"/>
  <c r="BW24" i="5" s="1"/>
  <c r="BU21" i="5"/>
  <c r="BT23" i="5"/>
  <c r="BT26" i="5"/>
  <c r="BT28" i="5"/>
  <c r="BU25" i="14"/>
  <c r="BV23" i="14" s="1"/>
  <c r="BU26" i="14"/>
  <c r="BK43" i="11"/>
  <c r="BK44" i="11" s="1"/>
  <c r="BM24" i="11"/>
  <c r="BM37" i="11"/>
  <c r="BN17" i="11"/>
  <c r="BN23" i="11" s="1"/>
  <c r="BN29" i="10"/>
  <c r="BO15" i="7"/>
  <c r="BO19" i="11"/>
  <c r="BP11" i="7"/>
  <c r="BP26" i="10"/>
  <c r="BP10" i="11"/>
  <c r="BQ16" i="11"/>
  <c r="BQ37" i="6"/>
  <c r="BN36" i="10" l="1"/>
  <c r="BN37" i="10" s="1"/>
  <c r="BO25" i="10" s="1"/>
  <c r="BO41" i="11"/>
  <c r="BO34" i="10"/>
  <c r="BP33" i="14"/>
  <c r="BP35" i="14" s="1"/>
  <c r="BP37" i="14" s="1"/>
  <c r="BP31" i="14"/>
  <c r="BP36" i="14" s="1"/>
  <c r="BP38" i="14" s="1"/>
  <c r="BP35" i="10" s="1"/>
  <c r="BQ29" i="14"/>
  <c r="BQ32" i="14"/>
  <c r="BO30" i="14"/>
  <c r="BP28" i="14" s="1"/>
  <c r="BT83" i="5"/>
  <c r="BT19" i="6" s="1"/>
  <c r="BT27" i="6" s="1"/>
  <c r="BT12" i="11" s="1"/>
  <c r="BT86" i="5"/>
  <c r="BT21" i="6" s="1"/>
  <c r="BT29" i="6" s="1"/>
  <c r="BT14" i="11" s="1"/>
  <c r="BT88" i="5"/>
  <c r="BT22" i="6" s="1"/>
  <c r="BT30" i="6" s="1"/>
  <c r="BT15" i="11" s="1"/>
  <c r="BR16" i="11"/>
  <c r="BR37" i="6"/>
  <c r="BW61" i="5"/>
  <c r="BV63" i="5"/>
  <c r="BV66" i="5"/>
  <c r="BV68" i="5"/>
  <c r="BY52" i="5"/>
  <c r="BX54" i="5"/>
  <c r="BX59" i="5" s="1"/>
  <c r="BX64" i="5" s="1"/>
  <c r="BV41" i="5"/>
  <c r="BU43" i="5"/>
  <c r="BU83" i="5" s="1"/>
  <c r="BU19" i="6" s="1"/>
  <c r="BU27" i="6" s="1"/>
  <c r="BU12" i="11" s="1"/>
  <c r="BU46" i="5"/>
  <c r="BU86" i="5" s="1"/>
  <c r="BU21" i="6" s="1"/>
  <c r="BU29" i="6" s="1"/>
  <c r="BU14" i="11" s="1"/>
  <c r="BU48" i="5"/>
  <c r="BU88" i="5" s="1"/>
  <c r="BU22" i="6" s="1"/>
  <c r="BU30" i="6" s="1"/>
  <c r="BU15" i="11" s="1"/>
  <c r="BU81" i="5"/>
  <c r="BU18" i="6" s="1"/>
  <c r="BT34" i="6"/>
  <c r="BT26" i="6"/>
  <c r="BT11" i="11" s="1"/>
  <c r="BT31" i="6"/>
  <c r="BT32" i="6"/>
  <c r="BT33" i="6"/>
  <c r="BT41" i="9"/>
  <c r="BT12" i="7"/>
  <c r="BT20" i="11" s="1"/>
  <c r="BT10" i="7"/>
  <c r="BS18" i="11"/>
  <c r="BS47" i="9"/>
  <c r="BS34" i="11"/>
  <c r="BR28" i="10"/>
  <c r="BR25" i="11"/>
  <c r="BY32" i="5"/>
  <c r="BX34" i="5"/>
  <c r="BX72" i="5"/>
  <c r="BX10" i="6" s="1"/>
  <c r="BW39" i="5"/>
  <c r="BW74" i="5"/>
  <c r="BW12" i="6" s="1"/>
  <c r="BV44" i="5"/>
  <c r="BV84" i="5" s="1"/>
  <c r="BV20" i="6" s="1"/>
  <c r="BV79" i="5"/>
  <c r="BV16" i="6" s="1"/>
  <c r="BU28" i="6"/>
  <c r="BU13" i="11" s="1"/>
  <c r="BU14" i="7"/>
  <c r="BU22" i="11" s="1"/>
  <c r="BU13" i="7"/>
  <c r="BU21" i="11" s="1"/>
  <c r="BY12" i="5"/>
  <c r="BX14" i="5"/>
  <c r="BX19" i="5" s="1"/>
  <c r="BX24" i="5" s="1"/>
  <c r="BV21" i="5"/>
  <c r="BU23" i="5"/>
  <c r="BU26" i="5"/>
  <c r="BU28" i="5"/>
  <c r="BV25" i="14"/>
  <c r="BW23" i="14" s="1"/>
  <c r="BV26" i="14"/>
  <c r="BM38" i="11"/>
  <c r="BM40" i="11"/>
  <c r="BM42" i="11" s="1"/>
  <c r="BN24" i="11"/>
  <c r="BN37" i="11"/>
  <c r="BO29" i="10"/>
  <c r="BO17" i="11"/>
  <c r="BO23" i="11" s="1"/>
  <c r="BP15" i="7"/>
  <c r="BP19" i="11"/>
  <c r="BQ26" i="10"/>
  <c r="BQ10" i="11"/>
  <c r="BQ11" i="7"/>
  <c r="BS36" i="6"/>
  <c r="BP30" i="14" l="1"/>
  <c r="BQ28" i="14" s="1"/>
  <c r="BP34" i="10"/>
  <c r="BP41" i="11"/>
  <c r="BQ31" i="14"/>
  <c r="BQ33" i="14"/>
  <c r="BQ35" i="14" s="1"/>
  <c r="BQ37" i="14" s="1"/>
  <c r="BR29" i="14"/>
  <c r="BR32" i="14" s="1"/>
  <c r="BO36" i="10"/>
  <c r="BO37" i="10" s="1"/>
  <c r="BR11" i="7"/>
  <c r="BR19" i="11" s="1"/>
  <c r="BR26" i="10"/>
  <c r="BR10" i="11"/>
  <c r="BX61" i="5"/>
  <c r="BW63" i="5"/>
  <c r="BW66" i="5"/>
  <c r="BW68" i="5"/>
  <c r="BZ52" i="5"/>
  <c r="BY54" i="5"/>
  <c r="BY59" i="5" s="1"/>
  <c r="BY64" i="5" s="1"/>
  <c r="BW41" i="5"/>
  <c r="BV43" i="5"/>
  <c r="BV83" i="5" s="1"/>
  <c r="BV19" i="6" s="1"/>
  <c r="BV27" i="6" s="1"/>
  <c r="BV12" i="11" s="1"/>
  <c r="BV46" i="5"/>
  <c r="BV86" i="5" s="1"/>
  <c r="BV21" i="6" s="1"/>
  <c r="BV29" i="6" s="1"/>
  <c r="BV14" i="11" s="1"/>
  <c r="BV48" i="5"/>
  <c r="BV81" i="5"/>
  <c r="BV18" i="6" s="1"/>
  <c r="BU34" i="6"/>
  <c r="BU26" i="6"/>
  <c r="BU11" i="11" s="1"/>
  <c r="BU31" i="6"/>
  <c r="BU32" i="6"/>
  <c r="BU33" i="6"/>
  <c r="BU10" i="7"/>
  <c r="BU41" i="9"/>
  <c r="BU12" i="7"/>
  <c r="BU20" i="11" s="1"/>
  <c r="BT47" i="9"/>
  <c r="BT34" i="11"/>
  <c r="BT18" i="11"/>
  <c r="BS25" i="11"/>
  <c r="BS28" i="10"/>
  <c r="BR15" i="7"/>
  <c r="BZ32" i="5"/>
  <c r="BY34" i="5"/>
  <c r="BY72" i="5"/>
  <c r="BY10" i="6" s="1"/>
  <c r="BX39" i="5"/>
  <c r="BX74" i="5"/>
  <c r="BX12" i="6" s="1"/>
  <c r="BW44" i="5"/>
  <c r="BW84" i="5" s="1"/>
  <c r="BW20" i="6" s="1"/>
  <c r="BW79" i="5"/>
  <c r="BW16" i="6" s="1"/>
  <c r="BV28" i="6"/>
  <c r="BV13" i="11" s="1"/>
  <c r="BV14" i="7"/>
  <c r="BV22" i="11" s="1"/>
  <c r="BV13" i="7"/>
  <c r="BV21" i="11" s="1"/>
  <c r="BZ12" i="5"/>
  <c r="BY14" i="5"/>
  <c r="BY19" i="5" s="1"/>
  <c r="BY24" i="5" s="1"/>
  <c r="BW21" i="5"/>
  <c r="BV23" i="5"/>
  <c r="BV26" i="5"/>
  <c r="BV28" i="5"/>
  <c r="BW25" i="14"/>
  <c r="BX23" i="14" s="1"/>
  <c r="BW26" i="14"/>
  <c r="BM43" i="11"/>
  <c r="BM44" i="11" s="1"/>
  <c r="BN38" i="11"/>
  <c r="BN40" i="11"/>
  <c r="BN42" i="11" s="1"/>
  <c r="BO24" i="11"/>
  <c r="BO37" i="11"/>
  <c r="BP29" i="10"/>
  <c r="BP17" i="11"/>
  <c r="BP23" i="11" s="1"/>
  <c r="BQ15" i="7"/>
  <c r="BQ19" i="11"/>
  <c r="BS37" i="6"/>
  <c r="BS16" i="11"/>
  <c r="BT36" i="6"/>
  <c r="BQ30" i="14" l="1"/>
  <c r="BR28" i="14" s="1"/>
  <c r="BQ36" i="14"/>
  <c r="BQ38" i="14" s="1"/>
  <c r="BQ35" i="10" s="1"/>
  <c r="BQ34" i="10"/>
  <c r="BQ41" i="11"/>
  <c r="BR33" i="14"/>
  <c r="BR35" i="14" s="1"/>
  <c r="BR37" i="14" s="1"/>
  <c r="BR31" i="14"/>
  <c r="BR36" i="14" s="1"/>
  <c r="BR38" i="14" s="1"/>
  <c r="BR35" i="10" s="1"/>
  <c r="BS29" i="14"/>
  <c r="BS32" i="14"/>
  <c r="BP36" i="10"/>
  <c r="BU36" i="6"/>
  <c r="BP25" i="10"/>
  <c r="BP37" i="10" s="1"/>
  <c r="BQ25" i="10" s="1"/>
  <c r="H11" i="18"/>
  <c r="BV88" i="5"/>
  <c r="BV22" i="6" s="1"/>
  <c r="BV30" i="6" s="1"/>
  <c r="BV15" i="11" s="1"/>
  <c r="BY61" i="5"/>
  <c r="BX63" i="5"/>
  <c r="BX66" i="5"/>
  <c r="BX68" i="5"/>
  <c r="CA52" i="5"/>
  <c r="BZ54" i="5"/>
  <c r="BZ59" i="5" s="1"/>
  <c r="BZ64" i="5" s="1"/>
  <c r="BX41" i="5"/>
  <c r="BW43" i="5"/>
  <c r="BW46" i="5"/>
  <c r="BW48" i="5"/>
  <c r="BW81" i="5"/>
  <c r="BW18" i="6" s="1"/>
  <c r="BV34" i="6"/>
  <c r="BV26" i="6"/>
  <c r="BV11" i="11" s="1"/>
  <c r="BV31" i="6"/>
  <c r="BV32" i="6"/>
  <c r="BV33" i="6"/>
  <c r="BV12" i="7"/>
  <c r="BV20" i="11" s="1"/>
  <c r="BV41" i="9"/>
  <c r="BV10" i="7"/>
  <c r="BU18" i="11"/>
  <c r="BU47" i="9"/>
  <c r="BU34" i="11"/>
  <c r="BT25" i="11"/>
  <c r="BT28" i="10"/>
  <c r="BR29" i="10"/>
  <c r="BR17" i="11"/>
  <c r="BR23" i="11" s="1"/>
  <c r="CA32" i="5"/>
  <c r="BZ34" i="5"/>
  <c r="BZ72" i="5"/>
  <c r="BZ10" i="6" s="1"/>
  <c r="BY39" i="5"/>
  <c r="BY74" i="5"/>
  <c r="BY12" i="6" s="1"/>
  <c r="BX44" i="5"/>
  <c r="BX84" i="5" s="1"/>
  <c r="BX20" i="6" s="1"/>
  <c r="BX79" i="5"/>
  <c r="BX16" i="6" s="1"/>
  <c r="BW28" i="6"/>
  <c r="BW13" i="11" s="1"/>
  <c r="BW14" i="7"/>
  <c r="BW22" i="11" s="1"/>
  <c r="BW13" i="7"/>
  <c r="BW21" i="11" s="1"/>
  <c r="CA12" i="5"/>
  <c r="BZ14" i="5"/>
  <c r="BZ19" i="5" s="1"/>
  <c r="BZ24" i="5" s="1"/>
  <c r="BX21" i="5"/>
  <c r="BW23" i="5"/>
  <c r="BW26" i="5"/>
  <c r="BW28" i="5"/>
  <c r="BX25" i="14"/>
  <c r="BY23" i="14" s="1"/>
  <c r="BX26" i="14"/>
  <c r="BN43" i="11"/>
  <c r="BN44" i="11" s="1"/>
  <c r="H9" i="18"/>
  <c r="BO40" i="11"/>
  <c r="BO42" i="11" s="1"/>
  <c r="BO38" i="11"/>
  <c r="BP24" i="11"/>
  <c r="BP37" i="11"/>
  <c r="BQ17" i="11"/>
  <c r="BQ23" i="11" s="1"/>
  <c r="BQ29" i="10"/>
  <c r="BS11" i="7"/>
  <c r="BS26" i="10"/>
  <c r="BS10" i="11"/>
  <c r="BT16" i="11"/>
  <c r="BT37" i="6"/>
  <c r="BQ36" i="10" l="1"/>
  <c r="BQ37" i="10" s="1"/>
  <c r="BR25" i="10" s="1"/>
  <c r="BR30" i="14"/>
  <c r="BS28" i="14" s="1"/>
  <c r="BR41" i="11"/>
  <c r="BR34" i="10"/>
  <c r="BR36" i="10" s="1"/>
  <c r="BS31" i="14"/>
  <c r="BS33" i="14"/>
  <c r="BS35" i="14" s="1"/>
  <c r="BS37" i="14" s="1"/>
  <c r="BT29" i="14"/>
  <c r="BT32" i="14" s="1"/>
  <c r="BU37" i="6"/>
  <c r="BU16" i="11"/>
  <c r="BW83" i="5"/>
  <c r="BW19" i="6" s="1"/>
  <c r="BW27" i="6" s="1"/>
  <c r="BW12" i="11" s="1"/>
  <c r="BW88" i="5"/>
  <c r="BW22" i="6" s="1"/>
  <c r="BW30" i="6" s="1"/>
  <c r="BW15" i="11" s="1"/>
  <c r="BW86" i="5"/>
  <c r="BW21" i="6" s="1"/>
  <c r="BW29" i="6" s="1"/>
  <c r="BW14" i="11" s="1"/>
  <c r="BZ61" i="5"/>
  <c r="BY63" i="5"/>
  <c r="BY66" i="5"/>
  <c r="BY68" i="5"/>
  <c r="CB52" i="5"/>
  <c r="CA54" i="5"/>
  <c r="CA59" i="5" s="1"/>
  <c r="CA64" i="5" s="1"/>
  <c r="BY41" i="5"/>
  <c r="BX43" i="5"/>
  <c r="BX46" i="5"/>
  <c r="BX48" i="5"/>
  <c r="BX81" i="5"/>
  <c r="BX18" i="6" s="1"/>
  <c r="BW34" i="6"/>
  <c r="BW26" i="6"/>
  <c r="BW11" i="11" s="1"/>
  <c r="BW31" i="6"/>
  <c r="BW32" i="6"/>
  <c r="BW33" i="6"/>
  <c r="BW41" i="9"/>
  <c r="BW12" i="7"/>
  <c r="BW20" i="11" s="1"/>
  <c r="BW10" i="7"/>
  <c r="BV47" i="9"/>
  <c r="BV34" i="11"/>
  <c r="BV18" i="11"/>
  <c r="BU28" i="10"/>
  <c r="BU25" i="11"/>
  <c r="BR24" i="11"/>
  <c r="BR37" i="11"/>
  <c r="CB32" i="5"/>
  <c r="CA34" i="5"/>
  <c r="CA72" i="5"/>
  <c r="CA10" i="6" s="1"/>
  <c r="BZ39" i="5"/>
  <c r="BZ74" i="5"/>
  <c r="BZ12" i="6" s="1"/>
  <c r="BY44" i="5"/>
  <c r="BY84" i="5" s="1"/>
  <c r="BY20" i="6" s="1"/>
  <c r="BY79" i="5"/>
  <c r="BY16" i="6" s="1"/>
  <c r="BX28" i="6"/>
  <c r="BX13" i="11" s="1"/>
  <c r="BX14" i="7"/>
  <c r="BX22" i="11" s="1"/>
  <c r="BX13" i="7"/>
  <c r="BX21" i="11" s="1"/>
  <c r="CB12" i="5"/>
  <c r="CA14" i="5"/>
  <c r="CA19" i="5" s="1"/>
  <c r="CA24" i="5" s="1"/>
  <c r="BY21" i="5"/>
  <c r="BX23" i="5"/>
  <c r="BX26" i="5"/>
  <c r="BX28" i="5"/>
  <c r="BY25" i="14"/>
  <c r="BZ23" i="14" s="1"/>
  <c r="BY26" i="14"/>
  <c r="BO43" i="11"/>
  <c r="BO44" i="11" s="1"/>
  <c r="H10" i="18" s="1"/>
  <c r="BP38" i="11"/>
  <c r="BP40" i="11"/>
  <c r="BP42" i="11" s="1"/>
  <c r="BQ24" i="11"/>
  <c r="BQ37" i="11"/>
  <c r="BS15" i="7"/>
  <c r="BS19" i="11"/>
  <c r="BT26" i="10"/>
  <c r="BT10" i="11"/>
  <c r="BT11" i="7"/>
  <c r="BV36" i="6"/>
  <c r="BR37" i="10" l="1"/>
  <c r="BS25" i="10" s="1"/>
  <c r="BS30" i="14"/>
  <c r="BT28" i="14" s="1"/>
  <c r="BS36" i="14"/>
  <c r="BS38" i="14" s="1"/>
  <c r="BS35" i="10" s="1"/>
  <c r="BS34" i="10"/>
  <c r="BS41" i="11"/>
  <c r="BT33" i="14"/>
  <c r="BT35" i="14" s="1"/>
  <c r="BT37" i="14" s="1"/>
  <c r="BT31" i="14"/>
  <c r="BT36" i="14" s="1"/>
  <c r="BT38" i="14" s="1"/>
  <c r="BT35" i="10" s="1"/>
  <c r="BU29" i="14"/>
  <c r="BU32" i="14"/>
  <c r="BU26" i="10"/>
  <c r="BU10" i="11"/>
  <c r="BU11" i="7"/>
  <c r="BX83" i="5"/>
  <c r="BX19" i="6" s="1"/>
  <c r="BX27" i="6" s="1"/>
  <c r="BX12" i="11" s="1"/>
  <c r="BX86" i="5"/>
  <c r="BX21" i="6" s="1"/>
  <c r="BX29" i="6" s="1"/>
  <c r="BX14" i="11" s="1"/>
  <c r="BX88" i="5"/>
  <c r="BX22" i="6" s="1"/>
  <c r="BX30" i="6" s="1"/>
  <c r="BX15" i="11" s="1"/>
  <c r="CA61" i="5"/>
  <c r="BZ63" i="5"/>
  <c r="BZ66" i="5"/>
  <c r="BZ68" i="5"/>
  <c r="CC52" i="5"/>
  <c r="CB54" i="5"/>
  <c r="CB59" i="5" s="1"/>
  <c r="CB64" i="5" s="1"/>
  <c r="BZ41" i="5"/>
  <c r="BY43" i="5"/>
  <c r="BY46" i="5"/>
  <c r="BY86" i="5" s="1"/>
  <c r="BY21" i="6" s="1"/>
  <c r="BY29" i="6" s="1"/>
  <c r="BY14" i="11" s="1"/>
  <c r="BY48" i="5"/>
  <c r="BY81" i="5"/>
  <c r="BY18" i="6" s="1"/>
  <c r="BX34" i="6"/>
  <c r="BX26" i="6"/>
  <c r="BX11" i="11" s="1"/>
  <c r="BX31" i="6"/>
  <c r="BX32" i="6"/>
  <c r="BX33" i="6"/>
  <c r="BX41" i="9"/>
  <c r="BX12" i="7"/>
  <c r="BX20" i="11" s="1"/>
  <c r="BX10" i="7"/>
  <c r="BW47" i="9"/>
  <c r="BW34" i="11"/>
  <c r="BW18" i="11"/>
  <c r="BV25" i="11"/>
  <c r="BV28" i="10"/>
  <c r="BU15" i="7"/>
  <c r="BU19" i="11"/>
  <c r="BR38" i="11"/>
  <c r="BR40" i="11"/>
  <c r="BR42" i="11" s="1"/>
  <c r="CC32" i="5"/>
  <c r="CB34" i="5"/>
  <c r="CB72" i="5"/>
  <c r="CB10" i="6" s="1"/>
  <c r="CA39" i="5"/>
  <c r="CA74" i="5"/>
  <c r="CA12" i="6" s="1"/>
  <c r="BZ44" i="5"/>
  <c r="BZ84" i="5" s="1"/>
  <c r="BZ20" i="6" s="1"/>
  <c r="BZ79" i="5"/>
  <c r="BZ16" i="6" s="1"/>
  <c r="BY28" i="6"/>
  <c r="BY13" i="11" s="1"/>
  <c r="BY14" i="7"/>
  <c r="BY22" i="11" s="1"/>
  <c r="BY13" i="7"/>
  <c r="BY21" i="11" s="1"/>
  <c r="CC12" i="5"/>
  <c r="CB14" i="5"/>
  <c r="CB19" i="5" s="1"/>
  <c r="CB24" i="5" s="1"/>
  <c r="BZ21" i="5"/>
  <c r="BY23" i="5"/>
  <c r="BY26" i="5"/>
  <c r="BY28" i="5"/>
  <c r="BZ25" i="14"/>
  <c r="CA23" i="14" s="1"/>
  <c r="BZ26" i="14"/>
  <c r="BP43" i="11"/>
  <c r="BP44" i="11" s="1"/>
  <c r="BQ38" i="11"/>
  <c r="BQ40" i="11"/>
  <c r="BQ42" i="11" s="1"/>
  <c r="BS29" i="10"/>
  <c r="BS17" i="11"/>
  <c r="BS23" i="11" s="1"/>
  <c r="BT15" i="7"/>
  <c r="BT19" i="11"/>
  <c r="BV37" i="6"/>
  <c r="BV16" i="11"/>
  <c r="BW36" i="6"/>
  <c r="BS36" i="10" l="1"/>
  <c r="BS37" i="10" s="1"/>
  <c r="BT25" i="10" s="1"/>
  <c r="BT30" i="14"/>
  <c r="BU28" i="14" s="1"/>
  <c r="BT34" i="10"/>
  <c r="BT41" i="11"/>
  <c r="BU33" i="14"/>
  <c r="BU35" i="14" s="1"/>
  <c r="BU37" i="14" s="1"/>
  <c r="BU31" i="14"/>
  <c r="BV29" i="14"/>
  <c r="BV32" i="14"/>
  <c r="BY83" i="5"/>
  <c r="BY19" i="6" s="1"/>
  <c r="BY27" i="6" s="1"/>
  <c r="BY12" i="11" s="1"/>
  <c r="BY88" i="5"/>
  <c r="BY22" i="6" s="1"/>
  <c r="BY30" i="6" s="1"/>
  <c r="BY15" i="11" s="1"/>
  <c r="CB61" i="5"/>
  <c r="CA63" i="5"/>
  <c r="CA66" i="5"/>
  <c r="CA68" i="5"/>
  <c r="CD52" i="5"/>
  <c r="CC54" i="5"/>
  <c r="CC59" i="5" s="1"/>
  <c r="CC64" i="5" s="1"/>
  <c r="CA41" i="5"/>
  <c r="BZ43" i="5"/>
  <c r="BZ83" i="5" s="1"/>
  <c r="BZ19" i="6" s="1"/>
  <c r="BZ27" i="6" s="1"/>
  <c r="BZ12" i="11" s="1"/>
  <c r="BZ46" i="5"/>
  <c r="BZ86" i="5" s="1"/>
  <c r="BZ21" i="6" s="1"/>
  <c r="BZ29" i="6" s="1"/>
  <c r="BZ14" i="11" s="1"/>
  <c r="BZ48" i="5"/>
  <c r="BZ81" i="5"/>
  <c r="BZ18" i="6" s="1"/>
  <c r="BY34" i="6"/>
  <c r="BY26" i="6"/>
  <c r="BY11" i="11" s="1"/>
  <c r="BY31" i="6"/>
  <c r="BY32" i="6"/>
  <c r="BY33" i="6"/>
  <c r="BY10" i="7"/>
  <c r="BY41" i="9"/>
  <c r="BY12" i="7"/>
  <c r="BY20" i="11" s="1"/>
  <c r="BX47" i="9"/>
  <c r="BX34" i="11"/>
  <c r="BX18" i="11"/>
  <c r="BW25" i="11"/>
  <c r="BW28" i="10"/>
  <c r="BU29" i="10"/>
  <c r="BU17" i="11"/>
  <c r="BU23" i="11" s="1"/>
  <c r="BR43" i="11"/>
  <c r="BR44" i="11" s="1"/>
  <c r="CD32" i="5"/>
  <c r="CC34" i="5"/>
  <c r="CC72" i="5"/>
  <c r="CC10" i="6" s="1"/>
  <c r="CB39" i="5"/>
  <c r="CB74" i="5"/>
  <c r="CB12" i="6" s="1"/>
  <c r="CA44" i="5"/>
  <c r="CA84" i="5" s="1"/>
  <c r="CA20" i="6" s="1"/>
  <c r="CA79" i="5"/>
  <c r="CA16" i="6" s="1"/>
  <c r="BZ28" i="6"/>
  <c r="BZ13" i="11" s="1"/>
  <c r="BZ14" i="7"/>
  <c r="BZ22" i="11" s="1"/>
  <c r="BZ13" i="7"/>
  <c r="BZ21" i="11" s="1"/>
  <c r="CD12" i="5"/>
  <c r="CC14" i="5"/>
  <c r="CC19" i="5" s="1"/>
  <c r="CC24" i="5" s="1"/>
  <c r="CA21" i="5"/>
  <c r="BZ23" i="5"/>
  <c r="BZ26" i="5"/>
  <c r="BZ28" i="5"/>
  <c r="CA25" i="14"/>
  <c r="CB23" i="14" s="1"/>
  <c r="CA26" i="14"/>
  <c r="BQ43" i="11"/>
  <c r="BQ44" i="11" s="1"/>
  <c r="BS24" i="11"/>
  <c r="BS37" i="11"/>
  <c r="BT17" i="11"/>
  <c r="BT23" i="11" s="1"/>
  <c r="BT29" i="10"/>
  <c r="BV11" i="7"/>
  <c r="BV26" i="10"/>
  <c r="BV10" i="11"/>
  <c r="BW16" i="11"/>
  <c r="BW37" i="6"/>
  <c r="BX36" i="6"/>
  <c r="BU34" i="10" l="1"/>
  <c r="BU41" i="11"/>
  <c r="BU30" i="14"/>
  <c r="BV28" i="14" s="1"/>
  <c r="BU36" i="14"/>
  <c r="BU38" i="14" s="1"/>
  <c r="BU35" i="10" s="1"/>
  <c r="BV31" i="14"/>
  <c r="BV36" i="14" s="1"/>
  <c r="BV38" i="14" s="1"/>
  <c r="BV35" i="10" s="1"/>
  <c r="BV33" i="14"/>
  <c r="BV35" i="14" s="1"/>
  <c r="BV37" i="14" s="1"/>
  <c r="BW29" i="14"/>
  <c r="BW32" i="14"/>
  <c r="BT36" i="10"/>
  <c r="BT37" i="10" s="1"/>
  <c r="BU25" i="10" s="1"/>
  <c r="BZ88" i="5"/>
  <c r="BZ22" i="6" s="1"/>
  <c r="BZ30" i="6" s="1"/>
  <c r="BZ15" i="11" s="1"/>
  <c r="CC61" i="5"/>
  <c r="CB63" i="5"/>
  <c r="CB66" i="5"/>
  <c r="CB68" i="5"/>
  <c r="CE52" i="5"/>
  <c r="CD54" i="5"/>
  <c r="CD59" i="5" s="1"/>
  <c r="CD64" i="5" s="1"/>
  <c r="CB41" i="5"/>
  <c r="CA43" i="5"/>
  <c r="CA46" i="5"/>
  <c r="CA86" i="5" s="1"/>
  <c r="CA21" i="6" s="1"/>
  <c r="CA29" i="6" s="1"/>
  <c r="CA14" i="11" s="1"/>
  <c r="CA48" i="5"/>
  <c r="CA88" i="5" s="1"/>
  <c r="CA22" i="6" s="1"/>
  <c r="CA30" i="6" s="1"/>
  <c r="CA15" i="11" s="1"/>
  <c r="CA81" i="5"/>
  <c r="CA18" i="6" s="1"/>
  <c r="BZ34" i="6"/>
  <c r="BZ26" i="6"/>
  <c r="BZ11" i="11" s="1"/>
  <c r="BZ31" i="6"/>
  <c r="BZ32" i="6"/>
  <c r="BZ33" i="6"/>
  <c r="BZ10" i="7"/>
  <c r="BZ41" i="9"/>
  <c r="BZ12" i="7"/>
  <c r="BZ20" i="11" s="1"/>
  <c r="BY18" i="11"/>
  <c r="BY47" i="9"/>
  <c r="BY34" i="11"/>
  <c r="BX28" i="10"/>
  <c r="BX25" i="11"/>
  <c r="BU24" i="11"/>
  <c r="BU37" i="11"/>
  <c r="CE32" i="5"/>
  <c r="CD34" i="5"/>
  <c r="CD72" i="5"/>
  <c r="CD10" i="6" s="1"/>
  <c r="CC39" i="5"/>
  <c r="CC74" i="5"/>
  <c r="CC12" i="6" s="1"/>
  <c r="CB44" i="5"/>
  <c r="CB84" i="5" s="1"/>
  <c r="CB20" i="6" s="1"/>
  <c r="CB79" i="5"/>
  <c r="CB16" i="6" s="1"/>
  <c r="CA28" i="6"/>
  <c r="CA13" i="11" s="1"/>
  <c r="CA14" i="7"/>
  <c r="CA22" i="11" s="1"/>
  <c r="CA13" i="7"/>
  <c r="CA21" i="11" s="1"/>
  <c r="CE12" i="5"/>
  <c r="CD14" i="5"/>
  <c r="CD19" i="5" s="1"/>
  <c r="CD24" i="5" s="1"/>
  <c r="CB21" i="5"/>
  <c r="CA23" i="5"/>
  <c r="CA26" i="5"/>
  <c r="CA28" i="5"/>
  <c r="CB25" i="14"/>
  <c r="CC23" i="14" s="1"/>
  <c r="CB26" i="14"/>
  <c r="BS38" i="11"/>
  <c r="BS40" i="11"/>
  <c r="BS42" i="11" s="1"/>
  <c r="BT24" i="11"/>
  <c r="BT37" i="11"/>
  <c r="BV15" i="7"/>
  <c r="BV19" i="11"/>
  <c r="BW10" i="11"/>
  <c r="BW11" i="7"/>
  <c r="BW26" i="10"/>
  <c r="BX37" i="6"/>
  <c r="BX16" i="11"/>
  <c r="BY36" i="6"/>
  <c r="BV30" i="14" l="1"/>
  <c r="BW28" i="14" s="1"/>
  <c r="BU36" i="10"/>
  <c r="BU37" i="10" s="1"/>
  <c r="BV25" i="10" s="1"/>
  <c r="BV34" i="10"/>
  <c r="BV41" i="11"/>
  <c r="BW31" i="14"/>
  <c r="BW33" i="14"/>
  <c r="BW35" i="14" s="1"/>
  <c r="BW37" i="14" s="1"/>
  <c r="BX29" i="14"/>
  <c r="BX32" i="14" s="1"/>
  <c r="CA83" i="5"/>
  <c r="CA19" i="6" s="1"/>
  <c r="CA27" i="6" s="1"/>
  <c r="CA12" i="11" s="1"/>
  <c r="CD61" i="5"/>
  <c r="CC63" i="5"/>
  <c r="CC66" i="5"/>
  <c r="CC68" i="5"/>
  <c r="CF52" i="5"/>
  <c r="CE54" i="5"/>
  <c r="CE59" i="5" s="1"/>
  <c r="CE64" i="5" s="1"/>
  <c r="CC41" i="5"/>
  <c r="CB43" i="5"/>
  <c r="CB46" i="5"/>
  <c r="CB48" i="5"/>
  <c r="CB81" i="5"/>
  <c r="CB18" i="6" s="1"/>
  <c r="CA34" i="6"/>
  <c r="CA26" i="6"/>
  <c r="CA11" i="11" s="1"/>
  <c r="CA31" i="6"/>
  <c r="CA32" i="6"/>
  <c r="CA33" i="6"/>
  <c r="CA41" i="9"/>
  <c r="CA12" i="7"/>
  <c r="CA20" i="11" s="1"/>
  <c r="CA10" i="7"/>
  <c r="BZ18" i="11"/>
  <c r="BZ47" i="9"/>
  <c r="BZ34" i="11"/>
  <c r="BY25" i="11"/>
  <c r="BY28" i="10"/>
  <c r="BU38" i="11"/>
  <c r="BU40" i="11"/>
  <c r="BU42" i="11" s="1"/>
  <c r="CF32" i="5"/>
  <c r="CE34" i="5"/>
  <c r="CE72" i="5"/>
  <c r="CE10" i="6" s="1"/>
  <c r="CD39" i="5"/>
  <c r="CD74" i="5"/>
  <c r="CD12" i="6" s="1"/>
  <c r="CC44" i="5"/>
  <c r="CC84" i="5" s="1"/>
  <c r="CC20" i="6" s="1"/>
  <c r="CC79" i="5"/>
  <c r="CC16" i="6" s="1"/>
  <c r="CB28" i="6"/>
  <c r="CB13" i="11" s="1"/>
  <c r="CB14" i="7"/>
  <c r="CB22" i="11" s="1"/>
  <c r="CB13" i="7"/>
  <c r="CB21" i="11" s="1"/>
  <c r="CF12" i="5"/>
  <c r="CE14" i="5"/>
  <c r="CE19" i="5" s="1"/>
  <c r="CE24" i="5" s="1"/>
  <c r="CC21" i="5"/>
  <c r="CB23" i="5"/>
  <c r="CB26" i="5"/>
  <c r="CB28" i="5"/>
  <c r="CC25" i="14"/>
  <c r="CD23" i="14" s="1"/>
  <c r="CC26" i="14"/>
  <c r="BS43" i="11"/>
  <c r="BS44" i="11" s="1"/>
  <c r="BT38" i="11"/>
  <c r="BT40" i="11"/>
  <c r="BT42" i="11" s="1"/>
  <c r="BV29" i="10"/>
  <c r="BV36" i="10" s="1"/>
  <c r="BV17" i="11"/>
  <c r="BV23" i="11" s="1"/>
  <c r="BW15" i="7"/>
  <c r="BW19" i="11"/>
  <c r="BX11" i="7"/>
  <c r="BX26" i="10"/>
  <c r="BX10" i="11"/>
  <c r="BY16" i="11"/>
  <c r="BY37" i="6"/>
  <c r="BZ36" i="6"/>
  <c r="BV37" i="10" l="1"/>
  <c r="BW25" i="10" s="1"/>
  <c r="BW30" i="14"/>
  <c r="BX28" i="14" s="1"/>
  <c r="BW36" i="14"/>
  <c r="BW38" i="14" s="1"/>
  <c r="BW35" i="10" s="1"/>
  <c r="BW34" i="10"/>
  <c r="BW41" i="11"/>
  <c r="BX31" i="14"/>
  <c r="BX36" i="14" s="1"/>
  <c r="BX38" i="14" s="1"/>
  <c r="BX35" i="10" s="1"/>
  <c r="BX33" i="14"/>
  <c r="BX35" i="14" s="1"/>
  <c r="BX37" i="14" s="1"/>
  <c r="BY29" i="14"/>
  <c r="BY32" i="14" s="1"/>
  <c r="CB88" i="5"/>
  <c r="CB22" i="6" s="1"/>
  <c r="CB30" i="6" s="1"/>
  <c r="CB15" i="11" s="1"/>
  <c r="CB83" i="5"/>
  <c r="CB19" i="6" s="1"/>
  <c r="CB27" i="6" s="1"/>
  <c r="CB12" i="11" s="1"/>
  <c r="CB86" i="5"/>
  <c r="CB21" i="6" s="1"/>
  <c r="CB29" i="6" s="1"/>
  <c r="CB14" i="11" s="1"/>
  <c r="CE61" i="5"/>
  <c r="CD63" i="5"/>
  <c r="CD66" i="5"/>
  <c r="CD68" i="5"/>
  <c r="CG52" i="5"/>
  <c r="CF54" i="5"/>
  <c r="CF59" i="5" s="1"/>
  <c r="CF64" i="5" s="1"/>
  <c r="CD41" i="5"/>
  <c r="CC43" i="5"/>
  <c r="CC46" i="5"/>
  <c r="CC48" i="5"/>
  <c r="CC81" i="5"/>
  <c r="CC18" i="6" s="1"/>
  <c r="CB34" i="6"/>
  <c r="CB26" i="6"/>
  <c r="CB11" i="11" s="1"/>
  <c r="CB31" i="6"/>
  <c r="CB32" i="6"/>
  <c r="CB33" i="6"/>
  <c r="CB10" i="7"/>
  <c r="CB41" i="9"/>
  <c r="CB12" i="7"/>
  <c r="CB20" i="11" s="1"/>
  <c r="CA47" i="9"/>
  <c r="CA34" i="11"/>
  <c r="CA18" i="11"/>
  <c r="BZ28" i="10"/>
  <c r="BZ25" i="11"/>
  <c r="BU43" i="11"/>
  <c r="BU44" i="11" s="1"/>
  <c r="CG32" i="5"/>
  <c r="CF34" i="5"/>
  <c r="CF72" i="5"/>
  <c r="CF10" i="6" s="1"/>
  <c r="CE39" i="5"/>
  <c r="CE74" i="5"/>
  <c r="CE12" i="6" s="1"/>
  <c r="CD44" i="5"/>
  <c r="CD84" i="5" s="1"/>
  <c r="CD20" i="6" s="1"/>
  <c r="CD79" i="5"/>
  <c r="CD16" i="6" s="1"/>
  <c r="CC28" i="6"/>
  <c r="CC13" i="11" s="1"/>
  <c r="CC14" i="7"/>
  <c r="CC22" i="11" s="1"/>
  <c r="CC13" i="7"/>
  <c r="CC21" i="11" s="1"/>
  <c r="CG12" i="5"/>
  <c r="CF14" i="5"/>
  <c r="CF19" i="5" s="1"/>
  <c r="CF24" i="5" s="1"/>
  <c r="CD21" i="5"/>
  <c r="CC23" i="5"/>
  <c r="CC26" i="5"/>
  <c r="CC28" i="5"/>
  <c r="CD25" i="14"/>
  <c r="CE23" i="14" s="1"/>
  <c r="CD26" i="14"/>
  <c r="BT43" i="11"/>
  <c r="BT44" i="11" s="1"/>
  <c r="BV24" i="11"/>
  <c r="BV37" i="11"/>
  <c r="BW17" i="11"/>
  <c r="BW23" i="11" s="1"/>
  <c r="BW29" i="10"/>
  <c r="BX15" i="7"/>
  <c r="BX19" i="11"/>
  <c r="BY11" i="7"/>
  <c r="BY26" i="10"/>
  <c r="BY10" i="11"/>
  <c r="BZ37" i="6"/>
  <c r="BZ16" i="11"/>
  <c r="CA36" i="6"/>
  <c r="BW36" i="10" l="1"/>
  <c r="BW37" i="10" s="1"/>
  <c r="BX25" i="10" s="1"/>
  <c r="BX41" i="11"/>
  <c r="BX34" i="10"/>
  <c r="BY31" i="14"/>
  <c r="BY36" i="14" s="1"/>
  <c r="BY38" i="14" s="1"/>
  <c r="BY35" i="10" s="1"/>
  <c r="BY33" i="14"/>
  <c r="BY35" i="14" s="1"/>
  <c r="BY37" i="14" s="1"/>
  <c r="BZ29" i="14"/>
  <c r="BZ32" i="14" s="1"/>
  <c r="BX30" i="14"/>
  <c r="BY28" i="14" s="1"/>
  <c r="CC83" i="5"/>
  <c r="CC19" i="6" s="1"/>
  <c r="CC27" i="6" s="1"/>
  <c r="CC12" i="11" s="1"/>
  <c r="CC88" i="5"/>
  <c r="CC22" i="6" s="1"/>
  <c r="CC30" i="6" s="1"/>
  <c r="CC15" i="11" s="1"/>
  <c r="CC86" i="5"/>
  <c r="CC21" i="6" s="1"/>
  <c r="CC29" i="6" s="1"/>
  <c r="CC14" i="11" s="1"/>
  <c r="CB36" i="6"/>
  <c r="CF61" i="5"/>
  <c r="CE63" i="5"/>
  <c r="CE66" i="5"/>
  <c r="CE68" i="5"/>
  <c r="CH52" i="5"/>
  <c r="CG54" i="5"/>
  <c r="CG59" i="5" s="1"/>
  <c r="CG64" i="5" s="1"/>
  <c r="CE41" i="5"/>
  <c r="CD43" i="5"/>
  <c r="CD46" i="5"/>
  <c r="CD86" i="5" s="1"/>
  <c r="CD21" i="6" s="1"/>
  <c r="CD29" i="6" s="1"/>
  <c r="CD14" i="11" s="1"/>
  <c r="CD48" i="5"/>
  <c r="CD88" i="5" s="1"/>
  <c r="CD22" i="6" s="1"/>
  <c r="CD30" i="6" s="1"/>
  <c r="CD15" i="11" s="1"/>
  <c r="CD81" i="5"/>
  <c r="CD18" i="6" s="1"/>
  <c r="CC34" i="6"/>
  <c r="CC26" i="6"/>
  <c r="CC11" i="11" s="1"/>
  <c r="CC31" i="6"/>
  <c r="CC32" i="6"/>
  <c r="CC33" i="6"/>
  <c r="CC10" i="7"/>
  <c r="CC41" i="9"/>
  <c r="CC12" i="7"/>
  <c r="CC20" i="11" s="1"/>
  <c r="CB18" i="11"/>
  <c r="CB47" i="9"/>
  <c r="CB34" i="11"/>
  <c r="CA25" i="11"/>
  <c r="CA28" i="10"/>
  <c r="CH32" i="5"/>
  <c r="CG34" i="5"/>
  <c r="CG72" i="5"/>
  <c r="CG10" i="6" s="1"/>
  <c r="CF39" i="5"/>
  <c r="CF74" i="5"/>
  <c r="CF12" i="6" s="1"/>
  <c r="CE44" i="5"/>
  <c r="CE84" i="5" s="1"/>
  <c r="CE20" i="6" s="1"/>
  <c r="CE79" i="5"/>
  <c r="CE16" i="6" s="1"/>
  <c r="CD28" i="6"/>
  <c r="CD13" i="11" s="1"/>
  <c r="CD14" i="7"/>
  <c r="CD22" i="11" s="1"/>
  <c r="CD13" i="7"/>
  <c r="CD21" i="11" s="1"/>
  <c r="CH12" i="5"/>
  <c r="CG14" i="5"/>
  <c r="CG19" i="5" s="1"/>
  <c r="CG24" i="5" s="1"/>
  <c r="CE21" i="5"/>
  <c r="CD23" i="5"/>
  <c r="CD26" i="5"/>
  <c r="CD28" i="5"/>
  <c r="CE25" i="14"/>
  <c r="CF23" i="14" s="1"/>
  <c r="CE26" i="14"/>
  <c r="BV38" i="11"/>
  <c r="BV40" i="11"/>
  <c r="BV42" i="11" s="1"/>
  <c r="BW24" i="11"/>
  <c r="BW37" i="11"/>
  <c r="BX29" i="10"/>
  <c r="BX17" i="11"/>
  <c r="BX23" i="11" s="1"/>
  <c r="BY15" i="7"/>
  <c r="BY19" i="11"/>
  <c r="BZ11" i="7"/>
  <c r="BZ26" i="10"/>
  <c r="BZ10" i="11"/>
  <c r="CA16" i="11"/>
  <c r="CA37" i="6"/>
  <c r="BX36" i="10" l="1"/>
  <c r="BX37" i="10" s="1"/>
  <c r="BY25" i="10" s="1"/>
  <c r="BY34" i="10"/>
  <c r="BY41" i="11"/>
  <c r="BZ33" i="14"/>
  <c r="BZ35" i="14" s="1"/>
  <c r="BZ37" i="14" s="1"/>
  <c r="BZ31" i="14"/>
  <c r="BZ36" i="14" s="1"/>
  <c r="BZ38" i="14" s="1"/>
  <c r="BZ35" i="10" s="1"/>
  <c r="CA29" i="14"/>
  <c r="CA32" i="14"/>
  <c r="BY30" i="14"/>
  <c r="BZ28" i="14" s="1"/>
  <c r="CC36" i="6"/>
  <c r="CD83" i="5"/>
  <c r="CD19" i="6" s="1"/>
  <c r="CD27" i="6" s="1"/>
  <c r="CD12" i="11" s="1"/>
  <c r="CB16" i="11"/>
  <c r="CB37" i="6"/>
  <c r="CB10" i="11" s="1"/>
  <c r="CG61" i="5"/>
  <c r="CF63" i="5"/>
  <c r="CF66" i="5"/>
  <c r="CF68" i="5"/>
  <c r="CI52" i="5"/>
  <c r="CI54" i="5" s="1"/>
  <c r="CI59" i="5" s="1"/>
  <c r="CI64" i="5" s="1"/>
  <c r="CH54" i="5"/>
  <c r="CH59" i="5" s="1"/>
  <c r="CH64" i="5" s="1"/>
  <c r="CF41" i="5"/>
  <c r="CE43" i="5"/>
  <c r="CE83" i="5" s="1"/>
  <c r="CE19" i="6" s="1"/>
  <c r="CE27" i="6" s="1"/>
  <c r="CE12" i="11" s="1"/>
  <c r="CE46" i="5"/>
  <c r="CE86" i="5" s="1"/>
  <c r="CE21" i="6" s="1"/>
  <c r="CE29" i="6" s="1"/>
  <c r="CE14" i="11" s="1"/>
  <c r="CE48" i="5"/>
  <c r="CE88" i="5" s="1"/>
  <c r="CE22" i="6" s="1"/>
  <c r="CE30" i="6" s="1"/>
  <c r="CE15" i="11" s="1"/>
  <c r="CE81" i="5"/>
  <c r="CE18" i="6" s="1"/>
  <c r="CD34" i="6"/>
  <c r="CD26" i="6"/>
  <c r="CD11" i="11" s="1"/>
  <c r="CD31" i="6"/>
  <c r="CD32" i="6"/>
  <c r="CD33" i="6"/>
  <c r="CD41" i="9"/>
  <c r="CD10" i="7"/>
  <c r="CD12" i="7"/>
  <c r="CD20" i="11" s="1"/>
  <c r="CC18" i="11"/>
  <c r="CC47" i="9"/>
  <c r="CC34" i="11"/>
  <c r="CB28" i="10"/>
  <c r="CB25" i="11"/>
  <c r="CI32" i="5"/>
  <c r="CH34" i="5"/>
  <c r="CH72" i="5"/>
  <c r="CH10" i="6" s="1"/>
  <c r="CG39" i="5"/>
  <c r="CG74" i="5"/>
  <c r="CG12" i="6" s="1"/>
  <c r="CF44" i="5"/>
  <c r="CF84" i="5" s="1"/>
  <c r="CF20" i="6" s="1"/>
  <c r="CF79" i="5"/>
  <c r="CF16" i="6" s="1"/>
  <c r="CE28" i="6"/>
  <c r="CE13" i="11" s="1"/>
  <c r="CE14" i="7"/>
  <c r="CE22" i="11" s="1"/>
  <c r="CE13" i="7"/>
  <c r="CE21" i="11" s="1"/>
  <c r="CI12" i="5"/>
  <c r="CI14" i="5" s="1"/>
  <c r="CI19" i="5" s="1"/>
  <c r="CI24" i="5" s="1"/>
  <c r="CH14" i="5"/>
  <c r="CH19" i="5" s="1"/>
  <c r="CH24" i="5" s="1"/>
  <c r="CF21" i="5"/>
  <c r="CE23" i="5"/>
  <c r="CE26" i="5"/>
  <c r="CE28" i="5"/>
  <c r="CF25" i="14"/>
  <c r="CG23" i="14" s="1"/>
  <c r="CF26" i="14"/>
  <c r="BV43" i="11"/>
  <c r="BV44" i="11" s="1"/>
  <c r="BW38" i="11"/>
  <c r="BW40" i="11"/>
  <c r="BW42" i="11" s="1"/>
  <c r="BX24" i="11"/>
  <c r="BX37" i="11"/>
  <c r="BY29" i="10"/>
  <c r="BY17" i="11"/>
  <c r="BY23" i="11" s="1"/>
  <c r="BZ15" i="7"/>
  <c r="BZ19" i="11"/>
  <c r="CA11" i="7"/>
  <c r="CA26" i="10"/>
  <c r="CA10" i="11"/>
  <c r="BZ30" i="14" l="1"/>
  <c r="CA28" i="14" s="1"/>
  <c r="BZ34" i="10"/>
  <c r="BZ41" i="11"/>
  <c r="CA31" i="14"/>
  <c r="CA33" i="14"/>
  <c r="CA35" i="14" s="1"/>
  <c r="CA37" i="14" s="1"/>
  <c r="CB29" i="14"/>
  <c r="CB32" i="14" s="1"/>
  <c r="BY36" i="10"/>
  <c r="BY37" i="10" s="1"/>
  <c r="BZ25" i="10" s="1"/>
  <c r="CC16" i="11"/>
  <c r="CC37" i="6"/>
  <c r="CB11" i="7"/>
  <c r="CB26" i="10"/>
  <c r="CD36" i="6"/>
  <c r="CH61" i="5"/>
  <c r="CG63" i="5"/>
  <c r="CG66" i="5"/>
  <c r="CG68" i="5"/>
  <c r="CG41" i="5"/>
  <c r="CF43" i="5"/>
  <c r="CF83" i="5" s="1"/>
  <c r="CF19" i="6" s="1"/>
  <c r="CF27" i="6" s="1"/>
  <c r="CF12" i="11" s="1"/>
  <c r="CF46" i="5"/>
  <c r="CF86" i="5" s="1"/>
  <c r="CF21" i="6" s="1"/>
  <c r="CF29" i="6" s="1"/>
  <c r="CF14" i="11" s="1"/>
  <c r="CF48" i="5"/>
  <c r="CF81" i="5"/>
  <c r="CF18" i="6" s="1"/>
  <c r="CE34" i="6"/>
  <c r="CE26" i="6"/>
  <c r="CE11" i="11" s="1"/>
  <c r="CE31" i="6"/>
  <c r="CE32" i="6"/>
  <c r="CE33" i="6"/>
  <c r="CE41" i="9"/>
  <c r="CE12" i="7"/>
  <c r="CE20" i="11" s="1"/>
  <c r="CE10" i="7"/>
  <c r="CD47" i="9"/>
  <c r="CD34" i="11"/>
  <c r="CD18" i="11"/>
  <c r="CC25" i="11"/>
  <c r="CC28" i="10"/>
  <c r="CI34" i="5"/>
  <c r="CI72" i="5"/>
  <c r="CI10" i="6" s="1"/>
  <c r="CH39" i="5"/>
  <c r="CH74" i="5"/>
  <c r="CH12" i="6" s="1"/>
  <c r="CG44" i="5"/>
  <c r="CG84" i="5" s="1"/>
  <c r="CG20" i="6" s="1"/>
  <c r="CG79" i="5"/>
  <c r="CG16" i="6" s="1"/>
  <c r="CF28" i="6"/>
  <c r="CF13" i="11" s="1"/>
  <c r="CF14" i="7"/>
  <c r="CF22" i="11" s="1"/>
  <c r="CF13" i="7"/>
  <c r="CF21" i="11" s="1"/>
  <c r="CG21" i="5"/>
  <c r="CF23" i="5"/>
  <c r="CF26" i="5"/>
  <c r="CF28" i="5"/>
  <c r="CG25" i="14"/>
  <c r="CH23" i="14" s="1"/>
  <c r="CG26" i="14"/>
  <c r="BW43" i="11"/>
  <c r="BW44" i="11" s="1"/>
  <c r="BX38" i="11"/>
  <c r="BX40" i="11"/>
  <c r="BX42" i="11" s="1"/>
  <c r="BY24" i="11"/>
  <c r="BY37" i="11"/>
  <c r="BZ29" i="10"/>
  <c r="BZ17" i="11"/>
  <c r="BZ23" i="11" s="1"/>
  <c r="CA15" i="7"/>
  <c r="CA19" i="11"/>
  <c r="CC11" i="7" l="1"/>
  <c r="CC26" i="10"/>
  <c r="CC10" i="11"/>
  <c r="CB19" i="11"/>
  <c r="CB15" i="7"/>
  <c r="CA30" i="14"/>
  <c r="CB28" i="14" s="1"/>
  <c r="CA36" i="14"/>
  <c r="CA38" i="14" s="1"/>
  <c r="CA35" i="10" s="1"/>
  <c r="CA34" i="10"/>
  <c r="CA41" i="11"/>
  <c r="CB31" i="14"/>
  <c r="CB36" i="14" s="1"/>
  <c r="CB38" i="14" s="1"/>
  <c r="CB35" i="10" s="1"/>
  <c r="CB33" i="14"/>
  <c r="CB35" i="14" s="1"/>
  <c r="CB37" i="14" s="1"/>
  <c r="BZ36" i="10"/>
  <c r="BZ37" i="10" s="1"/>
  <c r="CA25" i="10" s="1"/>
  <c r="CC29" i="14"/>
  <c r="CC32" i="14" s="1"/>
  <c r="CF88" i="5"/>
  <c r="CF22" i="6" s="1"/>
  <c r="CF30" i="6" s="1"/>
  <c r="CF15" i="11" s="1"/>
  <c r="CD16" i="11"/>
  <c r="CD37" i="6"/>
  <c r="CI61" i="5"/>
  <c r="CH63" i="5"/>
  <c r="CH66" i="5"/>
  <c r="CH68" i="5"/>
  <c r="CH41" i="5"/>
  <c r="CG43" i="5"/>
  <c r="CG46" i="5"/>
  <c r="CG48" i="5"/>
  <c r="CG88" i="5" s="1"/>
  <c r="CG22" i="6" s="1"/>
  <c r="CG30" i="6" s="1"/>
  <c r="CG15" i="11" s="1"/>
  <c r="CG81" i="5"/>
  <c r="CG18" i="6" s="1"/>
  <c r="CF34" i="6"/>
  <c r="CF26" i="6"/>
  <c r="CF11" i="11" s="1"/>
  <c r="CF31" i="6"/>
  <c r="CF32" i="6"/>
  <c r="CF33" i="6"/>
  <c r="CF10" i="7"/>
  <c r="CF12" i="7"/>
  <c r="CF20" i="11" s="1"/>
  <c r="CF41" i="9"/>
  <c r="CE47" i="9"/>
  <c r="CE34" i="11"/>
  <c r="CE18" i="11"/>
  <c r="CD28" i="10"/>
  <c r="CD25" i="11"/>
  <c r="CC15" i="7"/>
  <c r="CC19" i="11"/>
  <c r="CB29" i="10"/>
  <c r="CB17" i="11"/>
  <c r="CB23" i="11" s="1"/>
  <c r="CI39" i="5"/>
  <c r="CI74" i="5"/>
  <c r="CI12" i="6" s="1"/>
  <c r="CH44" i="5"/>
  <c r="CH84" i="5" s="1"/>
  <c r="CH20" i="6" s="1"/>
  <c r="CH79" i="5"/>
  <c r="CH16" i="6" s="1"/>
  <c r="CG28" i="6"/>
  <c r="CG13" i="11" s="1"/>
  <c r="CG14" i="7"/>
  <c r="CG22" i="11" s="1"/>
  <c r="CG13" i="7"/>
  <c r="CG21" i="11" s="1"/>
  <c r="CH21" i="5"/>
  <c r="CG23" i="5"/>
  <c r="CG26" i="5"/>
  <c r="CG28" i="5"/>
  <c r="CH25" i="14"/>
  <c r="CI23" i="14" s="1"/>
  <c r="CH26" i="14"/>
  <c r="BX43" i="11"/>
  <c r="BX44" i="11" s="1"/>
  <c r="BY38" i="11"/>
  <c r="BY40" i="11"/>
  <c r="BY42" i="11" s="1"/>
  <c r="BZ24" i="11"/>
  <c r="BZ37" i="11"/>
  <c r="CA17" i="11"/>
  <c r="CA23" i="11" s="1"/>
  <c r="CA29" i="10"/>
  <c r="CE36" i="6"/>
  <c r="CB34" i="10" l="1"/>
  <c r="CB36" i="10" s="1"/>
  <c r="CB41" i="11"/>
  <c r="CC31" i="14"/>
  <c r="CC36" i="14" s="1"/>
  <c r="CC38" i="14" s="1"/>
  <c r="CC35" i="10" s="1"/>
  <c r="CC33" i="14"/>
  <c r="CC35" i="14" s="1"/>
  <c r="CC37" i="14" s="1"/>
  <c r="CD29" i="14"/>
  <c r="CD32" i="14"/>
  <c r="CA36" i="10"/>
  <c r="CA37" i="10" s="1"/>
  <c r="CB25" i="10" s="1"/>
  <c r="CB30" i="14"/>
  <c r="CC28" i="14" s="1"/>
  <c r="CG83" i="5"/>
  <c r="CG19" i="6" s="1"/>
  <c r="CG27" i="6" s="1"/>
  <c r="CG12" i="11" s="1"/>
  <c r="CG86" i="5"/>
  <c r="CG21" i="6" s="1"/>
  <c r="CG29" i="6" s="1"/>
  <c r="CG14" i="11" s="1"/>
  <c r="CD11" i="7"/>
  <c r="CD26" i="10"/>
  <c r="CD10" i="11"/>
  <c r="CI63" i="5"/>
  <c r="CI66" i="5"/>
  <c r="CI68" i="5"/>
  <c r="CI41" i="5"/>
  <c r="CH43" i="5"/>
  <c r="CH83" i="5" s="1"/>
  <c r="CH19" i="6" s="1"/>
  <c r="CH27" i="6" s="1"/>
  <c r="CH12" i="11" s="1"/>
  <c r="CH46" i="5"/>
  <c r="CH86" i="5" s="1"/>
  <c r="CH21" i="6" s="1"/>
  <c r="CH29" i="6" s="1"/>
  <c r="CH14" i="11" s="1"/>
  <c r="CH48" i="5"/>
  <c r="CH88" i="5" s="1"/>
  <c r="CH22" i="6" s="1"/>
  <c r="CH30" i="6" s="1"/>
  <c r="CH15" i="11" s="1"/>
  <c r="CH81" i="5"/>
  <c r="CH18" i="6" s="1"/>
  <c r="CG34" i="6"/>
  <c r="CG26" i="6"/>
  <c r="CG11" i="11" s="1"/>
  <c r="CG31" i="6"/>
  <c r="CG32" i="6"/>
  <c r="CG33" i="6"/>
  <c r="CG41" i="9"/>
  <c r="CG12" i="7"/>
  <c r="CG20" i="11" s="1"/>
  <c r="CG10" i="7"/>
  <c r="CF18" i="11"/>
  <c r="CF47" i="9"/>
  <c r="CF34" i="11"/>
  <c r="CE25" i="11"/>
  <c r="CE28" i="10"/>
  <c r="CC17" i="11"/>
  <c r="CC23" i="11" s="1"/>
  <c r="CC29" i="10"/>
  <c r="CB24" i="11"/>
  <c r="CB37" i="11"/>
  <c r="CI44" i="5"/>
  <c r="CI84" i="5" s="1"/>
  <c r="CI20" i="6" s="1"/>
  <c r="CI79" i="5"/>
  <c r="CI16" i="6" s="1"/>
  <c r="CH28" i="6"/>
  <c r="CH13" i="11" s="1"/>
  <c r="CH14" i="7"/>
  <c r="CH22" i="11" s="1"/>
  <c r="CH13" i="7"/>
  <c r="CH21" i="11" s="1"/>
  <c r="CI21" i="5"/>
  <c r="CH23" i="5"/>
  <c r="CH26" i="5"/>
  <c r="CH28" i="5"/>
  <c r="CI25" i="14"/>
  <c r="CI26" i="14"/>
  <c r="BY43" i="11"/>
  <c r="BY44" i="11" s="1"/>
  <c r="BZ38" i="11"/>
  <c r="BZ40" i="11"/>
  <c r="BZ42" i="11" s="1"/>
  <c r="CA24" i="11"/>
  <c r="CA37" i="11"/>
  <c r="CE16" i="11"/>
  <c r="CE37" i="6"/>
  <c r="CF36" i="6"/>
  <c r="CB37" i="10" l="1"/>
  <c r="CC25" i="10" s="1"/>
  <c r="CC34" i="10"/>
  <c r="CC36" i="10" s="1"/>
  <c r="CC37" i="10" s="1"/>
  <c r="CD25" i="10" s="1"/>
  <c r="CC41" i="11"/>
  <c r="CD31" i="14"/>
  <c r="CD36" i="14" s="1"/>
  <c r="CD38" i="14" s="1"/>
  <c r="CD35" i="10" s="1"/>
  <c r="CD33" i="14"/>
  <c r="CD35" i="14" s="1"/>
  <c r="CD37" i="14" s="1"/>
  <c r="CE29" i="14"/>
  <c r="CE32" i="14" s="1"/>
  <c r="CC30" i="14"/>
  <c r="CD28" i="14" s="1"/>
  <c r="CD19" i="11"/>
  <c r="CD15" i="7"/>
  <c r="CI43" i="5"/>
  <c r="CI83" i="5" s="1"/>
  <c r="CI19" i="6" s="1"/>
  <c r="CI27" i="6" s="1"/>
  <c r="CI12" i="11" s="1"/>
  <c r="CI46" i="5"/>
  <c r="CI86" i="5" s="1"/>
  <c r="CI21" i="6" s="1"/>
  <c r="CI29" i="6" s="1"/>
  <c r="CI14" i="11" s="1"/>
  <c r="CI48" i="5"/>
  <c r="CI88" i="5" s="1"/>
  <c r="CI22" i="6" s="1"/>
  <c r="CI30" i="6" s="1"/>
  <c r="CI15" i="11" s="1"/>
  <c r="CI81" i="5"/>
  <c r="CI18" i="6" s="1"/>
  <c r="CH34" i="6"/>
  <c r="CH26" i="6"/>
  <c r="CH11" i="11" s="1"/>
  <c r="CH31" i="6"/>
  <c r="CH32" i="6"/>
  <c r="CH33" i="6"/>
  <c r="CH10" i="7"/>
  <c r="CH41" i="9"/>
  <c r="CH12" i="7"/>
  <c r="CH20" i="11" s="1"/>
  <c r="CG47" i="9"/>
  <c r="CG34" i="11"/>
  <c r="CG18" i="11"/>
  <c r="CF25" i="11"/>
  <c r="CF28" i="10"/>
  <c r="CC24" i="11"/>
  <c r="CC37" i="11"/>
  <c r="CB38" i="11"/>
  <c r="CB40" i="11"/>
  <c r="CB42" i="11" s="1"/>
  <c r="CI28" i="6"/>
  <c r="CI13" i="11" s="1"/>
  <c r="CI14" i="7"/>
  <c r="CI22" i="11" s="1"/>
  <c r="CI13" i="7"/>
  <c r="CI21" i="11" s="1"/>
  <c r="CI23" i="5"/>
  <c r="CI26" i="5"/>
  <c r="CI28" i="5"/>
  <c r="BZ43" i="11"/>
  <c r="BZ44" i="11" s="1"/>
  <c r="CA38" i="11"/>
  <c r="CA40" i="11"/>
  <c r="CA42" i="11" s="1"/>
  <c r="CE11" i="7"/>
  <c r="CE26" i="10"/>
  <c r="CE10" i="11"/>
  <c r="CF37" i="6"/>
  <c r="CF16" i="11"/>
  <c r="CG36" i="6"/>
  <c r="CD30" i="14" l="1"/>
  <c r="CE28" i="14" s="1"/>
  <c r="CD41" i="11"/>
  <c r="CD34" i="10"/>
  <c r="CE31" i="14"/>
  <c r="CE33" i="14"/>
  <c r="CE35" i="14" s="1"/>
  <c r="CE37" i="14" s="1"/>
  <c r="CF29" i="14"/>
  <c r="CF32" i="14" s="1"/>
  <c r="CD17" i="11"/>
  <c r="CD23" i="11" s="1"/>
  <c r="CD29" i="10"/>
  <c r="CH36" i="6"/>
  <c r="CI34" i="6"/>
  <c r="CI26" i="6"/>
  <c r="CI11" i="11" s="1"/>
  <c r="CI31" i="6"/>
  <c r="CI32" i="6"/>
  <c r="CI33" i="6"/>
  <c r="CI10" i="7"/>
  <c r="CI41" i="9"/>
  <c r="CI12" i="7"/>
  <c r="CI20" i="11" s="1"/>
  <c r="CH18" i="11"/>
  <c r="CH47" i="9"/>
  <c r="CH34" i="11"/>
  <c r="CG25" i="11"/>
  <c r="CG28" i="10"/>
  <c r="CC38" i="11"/>
  <c r="CC40" i="11"/>
  <c r="CC42" i="11" s="1"/>
  <c r="CB43" i="11"/>
  <c r="CB44" i="11" s="1"/>
  <c r="CA43" i="11"/>
  <c r="CA44" i="11" s="1"/>
  <c r="CE15" i="7"/>
  <c r="CE19" i="11"/>
  <c r="CF11" i="7"/>
  <c r="CF26" i="10"/>
  <c r="CF10" i="11"/>
  <c r="CG16" i="11"/>
  <c r="CG37" i="6"/>
  <c r="CD36" i="10" l="1"/>
  <c r="CD37" i="10" s="1"/>
  <c r="CE25" i="10" s="1"/>
  <c r="CE30" i="14"/>
  <c r="CF28" i="14" s="1"/>
  <c r="CE36" i="14"/>
  <c r="CE38" i="14" s="1"/>
  <c r="CE35" i="10" s="1"/>
  <c r="CE34" i="10"/>
  <c r="CE41" i="11"/>
  <c r="CF31" i="14"/>
  <c r="CF36" i="14" s="1"/>
  <c r="CF38" i="14" s="1"/>
  <c r="CF35" i="10" s="1"/>
  <c r="CF33" i="14"/>
  <c r="CF35" i="14" s="1"/>
  <c r="CF37" i="14" s="1"/>
  <c r="CG29" i="14"/>
  <c r="CG32" i="14" s="1"/>
  <c r="CD24" i="11"/>
  <c r="CD37" i="11"/>
  <c r="CI36" i="6"/>
  <c r="CH37" i="6"/>
  <c r="CH16" i="11"/>
  <c r="CI18" i="11"/>
  <c r="CI47" i="9"/>
  <c r="CI34" i="11"/>
  <c r="CH28" i="10"/>
  <c r="CH25" i="11"/>
  <c r="CD38" i="11"/>
  <c r="CD40" i="11"/>
  <c r="CD42" i="11" s="1"/>
  <c r="CC43" i="11"/>
  <c r="CC44" i="11" s="1"/>
  <c r="CE29" i="10"/>
  <c r="CE36" i="10" s="1"/>
  <c r="CE37" i="10" s="1"/>
  <c r="CF25" i="10" s="1"/>
  <c r="CE17" i="11"/>
  <c r="CE23" i="11" s="1"/>
  <c r="CF15" i="7"/>
  <c r="CF19" i="11"/>
  <c r="CG11" i="7"/>
  <c r="CG26" i="10"/>
  <c r="CG10" i="11"/>
  <c r="CF34" i="10" l="1"/>
  <c r="CF41" i="11"/>
  <c r="CG31" i="14"/>
  <c r="CG36" i="14" s="1"/>
  <c r="CG38" i="14" s="1"/>
  <c r="CG35" i="10" s="1"/>
  <c r="CG33" i="14"/>
  <c r="CG35" i="14" s="1"/>
  <c r="CG37" i="14" s="1"/>
  <c r="CH29" i="14"/>
  <c r="CH32" i="14"/>
  <c r="CF30" i="14"/>
  <c r="CG28" i="14" s="1"/>
  <c r="CG30" i="14" s="1"/>
  <c r="CH28" i="14" s="1"/>
  <c r="CI37" i="6"/>
  <c r="CI16" i="11"/>
  <c r="CH26" i="10"/>
  <c r="CH11" i="7"/>
  <c r="CH10" i="11"/>
  <c r="CI25" i="11"/>
  <c r="CI28" i="10"/>
  <c r="CD43" i="11"/>
  <c r="CD44" i="11" s="1"/>
  <c r="CE24" i="11"/>
  <c r="CE37" i="11"/>
  <c r="CF17" i="11"/>
  <c r="CF23" i="11" s="1"/>
  <c r="CF29" i="10"/>
  <c r="CG15" i="7"/>
  <c r="CG19" i="11"/>
  <c r="CG34" i="10" l="1"/>
  <c r="CG41" i="11"/>
  <c r="CH33" i="14"/>
  <c r="CH35" i="14" s="1"/>
  <c r="CH37" i="14" s="1"/>
  <c r="CH31" i="14"/>
  <c r="CI29" i="14"/>
  <c r="CI32" i="14"/>
  <c r="CF36" i="10"/>
  <c r="CF37" i="10" s="1"/>
  <c r="CG25" i="10" s="1"/>
  <c r="CI26" i="10"/>
  <c r="CI10" i="11"/>
  <c r="CI11" i="7"/>
  <c r="CH15" i="7"/>
  <c r="CH19" i="11"/>
  <c r="CE38" i="11"/>
  <c r="CE40" i="11"/>
  <c r="CE42" i="11" s="1"/>
  <c r="CF24" i="11"/>
  <c r="CF37" i="11"/>
  <c r="CG29" i="10"/>
  <c r="CG17" i="11"/>
  <c r="CG23" i="11" s="1"/>
  <c r="CH41" i="11" l="1"/>
  <c r="CH34" i="10"/>
  <c r="CH30" i="14"/>
  <c r="CI28" i="14" s="1"/>
  <c r="CI30" i="14" s="1"/>
  <c r="CH36" i="14"/>
  <c r="CH38" i="14" s="1"/>
  <c r="CH35" i="10" s="1"/>
  <c r="CI31" i="14"/>
  <c r="CI36" i="14" s="1"/>
  <c r="CI38" i="14" s="1"/>
  <c r="CI35" i="10" s="1"/>
  <c r="CI33" i="14"/>
  <c r="CI35" i="14" s="1"/>
  <c r="CI37" i="14" s="1"/>
  <c r="CG36" i="10"/>
  <c r="CG37" i="10" s="1"/>
  <c r="CH25" i="10" s="1"/>
  <c r="CI15" i="7"/>
  <c r="CI19" i="11"/>
  <c r="CH29" i="10"/>
  <c r="CH17" i="11"/>
  <c r="CH23" i="11" s="1"/>
  <c r="CE43" i="11"/>
  <c r="CE44" i="11" s="1"/>
  <c r="CF38" i="11"/>
  <c r="CF40" i="11"/>
  <c r="CF42" i="11" s="1"/>
  <c r="CG24" i="11"/>
  <c r="CG37" i="11"/>
  <c r="CH36" i="10" l="1"/>
  <c r="CH37" i="10" s="1"/>
  <c r="CI25" i="10" s="1"/>
  <c r="CI34" i="10"/>
  <c r="CI41" i="11"/>
  <c r="CH24" i="11"/>
  <c r="CH37" i="11"/>
  <c r="CI29" i="10"/>
  <c r="CI17" i="11"/>
  <c r="CI23" i="11" s="1"/>
  <c r="CF43" i="11"/>
  <c r="CF44" i="11" s="1"/>
  <c r="CG38" i="11"/>
  <c r="CG40" i="11"/>
  <c r="CG42" i="11" s="1"/>
  <c r="CI36" i="10" l="1"/>
  <c r="CI37" i="10" s="1"/>
  <c r="CH38" i="11"/>
  <c r="CH40" i="11"/>
  <c r="CH42" i="11" s="1"/>
  <c r="CH43" i="11" s="1"/>
  <c r="CH44" i="11" s="1"/>
  <c r="CI24" i="11"/>
  <c r="CI37" i="11"/>
  <c r="CG43" i="11"/>
  <c r="CG44" i="11" s="1"/>
  <c r="CI40" i="11" l="1"/>
  <c r="CI42" i="11" s="1"/>
  <c r="CI43" i="11" s="1"/>
  <c r="CI44" i="11" s="1"/>
  <c r="CI38" i="11"/>
</calcChain>
</file>

<file path=xl/sharedStrings.xml><?xml version="1.0" encoding="utf-8"?>
<sst xmlns="http://schemas.openxmlformats.org/spreadsheetml/2006/main" count="2815" uniqueCount="1352">
  <si>
    <t>CUDI - Bienestar Animal</t>
  </si>
  <si>
    <t>Modelo de Flujos de Caja, Escenarios y Plan de Control</t>
  </si>
  <si>
    <t>Versión Académica y Profesional v6.1.7 (Optimizada en Español)</t>
  </si>
  <si>
    <t>ÍNDICE DEL MODELO FINANCIERO</t>
  </si>
  <si>
    <t>0_GUIA_INTRO</t>
  </si>
  <si>
    <t>Portada, manual de colores e índice del simulador.</t>
  </si>
  <si>
    <t>1_PANEL_CONTROL</t>
  </si>
  <si>
    <t>Panel central para la configuración manual de todo el modelo excel.</t>
  </si>
  <si>
    <t>2_AJUSTES_MACRO</t>
  </si>
  <si>
    <t>Configuración de variables macro: WACC, Impuestos y periodos de amortización CAPEX.</t>
  </si>
  <si>
    <t>3_HIPOTESIS_NEGOCIO</t>
  </si>
  <si>
    <t>Supuestos de negocio editables (Tarifas, Conversión, Churn, Costes AWS/Stripe/APIs).</t>
  </si>
  <si>
    <t>4_PROY_DEMANDA</t>
  </si>
  <si>
    <t>Proyección mensual de demanda por producto para 3 escenarios en paralelo.</t>
  </si>
  <si>
    <t>15_DASHBOARD_KPI</t>
  </si>
  <si>
    <t>Dashboard interactivo con selector de escenario y visualización de KPIs en tiempo real.</t>
  </si>
  <si>
    <t>12_ANALISIS_ESCENARIOS</t>
  </si>
  <si>
    <t>Matriz comparativa de 3 escenarios (Negativo, Equilibrio y Positivo) a 3 años.</t>
  </si>
  <si>
    <t>5_DETALLE_INGRESOS</t>
  </si>
  <si>
    <t>Proyección mensual de tráfico, CAC, altas, bajas de usuarios y desglose de monetización.</t>
  </si>
  <si>
    <t>6_COSTES_COGS</t>
  </si>
  <si>
    <t>Desglose de costes directos asociados a la venta del servicio y del hardware (Smart Collar).</t>
  </si>
  <si>
    <t>7_EQUIPO_RRHH</t>
  </si>
  <si>
    <t>Planificación mensual de nóminas bajo el modelo legal español/catalán (cotizaciones y topes).</t>
  </si>
  <si>
    <t>8_COSTES_OPEX</t>
  </si>
  <si>
    <t>Gastos de estructura recurrentes (Coworking, software SaaS, SEO, eventos y marketing digital).</t>
  </si>
  <si>
    <t>9_FLUJO_CAJA</t>
  </si>
  <si>
    <t>Detalle de inversiones iniciales, amortización mensual y estado de flujos de caja consolidado.</t>
  </si>
  <si>
    <t>10_PL_PERDIDAS_GANANCIAS</t>
  </si>
  <si>
    <t>Cuenta de Pérdidas y Ganancias (P&amp;L) completa paso a paso con explicaciones académicas de cada línea.</t>
  </si>
  <si>
    <t>11_BALANCE_CONSOLIDADO</t>
  </si>
  <si>
    <t>Consolidado dinámico de fuentes y aplicaciones de fondos a 3 años con notas estratégicas y de marketing.</t>
  </si>
  <si>
    <t>13_CAP_TABLE_FINANCIACION</t>
  </si>
  <si>
    <t>Plan de aporte de socios, distribución accionarial y 3 escenarios de apalancamiento.</t>
  </si>
  <si>
    <t>16_PLAN_CONTROL_GESTION</t>
  </si>
  <si>
    <t>Framework de KPIs operativos, responsables y plan de control de negocio.</t>
  </si>
  <si>
    <t>17_ANALISIS_GRAFICO</t>
  </si>
  <si>
    <t>Dashboard ejecutivo con gráficos visuales y resumen financiero para soporte de decisiones.</t>
  </si>
  <si>
    <t>CÓDIGO DE COLORES DEL SIMULADOR</t>
  </si>
  <si>
    <t>Azul Claro Sombreado</t>
  </si>
  <si>
    <t>Celdas de Entrada Manual de Datos. Son las únicas celdas editables.</t>
  </si>
  <si>
    <t>Gris Claro</t>
  </si>
  <si>
    <t>Encabezados de Tabla, Fórmulas de Suma o Etiquetas Informativas.</t>
  </si>
  <si>
    <t>Verde Suave</t>
  </si>
  <si>
    <t>Celdas de KPI Positivos o Flujo de Caja Acumulado Positivo.</t>
  </si>
  <si>
    <t>Rojo Suave</t>
  </si>
  <si>
    <t>Celdas de KPI Críticos o Flujo de Caja Acumulado Negativo.</t>
  </si>
  <si>
    <t>Azul Slate</t>
  </si>
  <si>
    <t>Fórmula de Selector de Escenarios Activos.</t>
  </si>
  <si>
    <t>GUÍA DE NAVEGACIÓN Y ESTRUCTURA DEL MODELO</t>
  </si>
  <si>
    <t>1. CÓDIGO DE COLORES DEL PROYECTO CUDI:
   - 🟦 AZUL: Infraestructura y Servidores. Costes de alojamiento AWS y APIs de IA (Claude y Gemini).
   - 🟨 AMARILLO: Marketing y Adquisición. Pauta digital (Facebook/TikTok Ads), branding y comisiones de venta.
   - 🟧 NARANJA: Hardware y Fabricación. Costes de fabricación física y stockage de Smart Collars.
   - 🟩 VERDE: Distribución y Logística. Coste de envío urgente y última milla a dueños de mascotas.
   - 🟪 PÚRPURA: Recursos Humanos, Estructura y Coworking. Nóminas, RETA, asesores y alquileres de oficinas.
2. NAVEGACIÓN Y USO DEL SIMULADOR:
   - Utilice el selector de la pestaña '1_PANEL_CONTROL' (Celda C4) para cambiar dinámicamente el escenario activo del modelo.
   - Las hojas están ordenadas de forma lógica: supuestos iniciales, proyección de demanda, ingresos y costes detallados, estados financieros consolidados, y finalmente las herramientas de control y gráficos interactivos.</t>
  </si>
  <si>
    <t>PANEL CENTRAL DE CONTROL DE DATOS Y PARÁMETROS</t>
  </si>
  <si>
    <t>Modifique únicamente las celdas sombreadas en azul claro. Todo el modelo se actualizará automáticamente.</t>
  </si>
  <si>
    <t>ESCENARIO DE DEMANDA ACTIVO (1=Negativo, 2=Equilibrio, 3=Positivo):</t>
  </si>
  <si>
    <t>← CAMBIE ESTE VALOR</t>
  </si>
  <si>
    <t>1. VARIABLES MACROECONÓMICAS Y FINANCIERAS</t>
  </si>
  <si>
    <t>Tasa de Impuesto sobre Sociedades</t>
  </si>
  <si>
    <t>Tasa impositiva española para sociedades limitadas</t>
  </si>
  <si>
    <t>Tasa de Descuento (WACC)</t>
  </si>
  <si>
    <t>Costo promedio ponderado de capital para descontar flujos</t>
  </si>
  <si>
    <t>Valor Terminal de Salida</t>
  </si>
  <si>
    <t>Valor terminal estimado del negocio al final del periodo</t>
  </si>
  <si>
    <t>Periodo de Amortización CAPEX (Meses)</t>
  </si>
  <si>
    <t>Periodo en meses para amortizar las inversiones (5 Años de vida útil)</t>
  </si>
  <si>
    <t>Reserva Mínima de Caja</t>
  </si>
  <si>
    <t>Saldo mínimo de seguridad requerido en caja de la empresa</t>
  </si>
  <si>
    <t>Tasa de Inflación Anual</t>
  </si>
  <si>
    <t>Tasa de inflación anual proyectada para ajustar costes</t>
  </si>
  <si>
    <t>2. SUSCRIPCIONES Y PRECIOS DE PRODUCTOS</t>
  </si>
  <si>
    <t>Precio Suscripción Premium Care CUDI (SaaS)</t>
  </si>
  <si>
    <t>Cuota mensual del plan Premium Care</t>
  </si>
  <si>
    <t>Precio Venta Smart Collar (Hardware)</t>
  </si>
  <si>
    <t>Precio de venta al público del dispositivo GPS</t>
  </si>
  <si>
    <t>Precio Seguro CUDI Shield Basic</t>
  </si>
  <si>
    <t>Seguro de co-distribución mensual</t>
  </si>
  <si>
    <t>Precio Visita VetHome CUDI</t>
  </si>
  <si>
    <t>Mensualidad de visita médica presencial a domicilio</t>
  </si>
  <si>
    <t>Ticket Medio Transacción Marketplace</t>
  </si>
  <si>
    <t>Valor promedio de servicios del marketplace (paseos/estética)</t>
  </si>
  <si>
    <t>Comisión Marketplace (%)</t>
  </si>
  <si>
    <t>Comisión (take-rate) dinámica según escenario (10%/15%/15%)</t>
  </si>
  <si>
    <t>Comisión Media Neta Marketplace (EUR)</t>
  </si>
  <si>
    <t>Cálculo de comisión neta por transacción en marketplace</t>
  </si>
  <si>
    <t>3. COSTES DIRECTOS Y VARIABLES (COGS)</t>
  </si>
  <si>
    <t>Coste Fabricación Smart Collar (Hardware)</t>
  </si>
  <si>
    <t>Coste unitario puesto en almacén (Landed Cost: incluye flete internacional y arancel UE del 3.7%)</t>
  </si>
  <si>
    <t>Coste de Mensajería y Envío Última Milla</t>
  </si>
  <si>
    <t>Coste de transporte express para el collar</t>
  </si>
  <si>
    <t>Servidor AWS por cliente activo</t>
  </si>
  <si>
    <t>Servidores e IoT Cloud mensual por usuario Premium</t>
  </si>
  <si>
    <t>Comisión Pasarela Pago (Stripe %)</t>
  </si>
  <si>
    <t>Tasa de procesamiento de cobros recurrentes de Stripe</t>
  </si>
  <si>
    <t>Tarifa Fija API Gemini Flash</t>
  </si>
  <si>
    <t>SaaS mensual fijo para el asistente IA Freemium</t>
  </si>
  <si>
    <t>API Claude Sonnet por cliente activo</t>
  </si>
  <si>
    <t>Costo de procesamiento mensual del Gemelo Digital</t>
  </si>
  <si>
    <t>4. PARÁMETROS LEGALES DE PERSONAL Y SALARIOS</t>
  </si>
  <si>
    <t>Esquema de Pagas Ordinarias (12 o 14)</t>
  </si>
  <si>
    <t>Pagas mensuales (12 o 14 pagas reguladas por convenio)</t>
  </si>
  <si>
    <t>Seguridad Social a Cargo de la Empresa (%)</t>
  </si>
  <si>
    <t>Carga patronal (CC, Desempleo, FOGASA, Accidentes, MEEI)</t>
  </si>
  <si>
    <t>Cuota RETA General</t>
  </si>
  <si>
    <t>Seguridad Social a Cargo del Empleado (%)</t>
  </si>
  <si>
    <t>Deducción de nómina al trabajador (CC, FP, MEEI)</t>
  </si>
  <si>
    <t>Cuota RETA Tarifa Plana</t>
  </si>
  <si>
    <t>Base Máxima de Cotización Mensual (Tope)</t>
  </si>
  <si>
    <t>Tope de cotización para salarios altos en España</t>
  </si>
  <si>
    <t>Base Mínima de Cotización SMI Mensual</t>
  </si>
  <si>
    <t>Salario Mínimo Interprofesional base</t>
  </si>
  <si>
    <t>Puesto / Rol</t>
  </si>
  <si>
    <t>Salario Bruto Anual</t>
  </si>
  <si>
    <t>Mes Inicio</t>
  </si>
  <si>
    <t>IRPF Estimado %</t>
  </si>
  <si>
    <t>CEO (Socio Fundador)</t>
  </si>
  <si>
    <t>CTO (Socio Fundador)</t>
  </si>
  <si>
    <t>CMO (Socio Fundador)</t>
  </si>
  <si>
    <t>COO (Socio Fundador)</t>
  </si>
  <si>
    <t>Senior Software &amp; Cloud Eng.</t>
  </si>
  <si>
    <t>Customer Success Specialist</t>
  </si>
  <si>
    <t>Sales &amp; Marketing B2B Spec.</t>
  </si>
  <si>
    <t>Operations &amp; Logistics Mgr</t>
  </si>
  <si>
    <t>5. GASTOS ESTRUCTURALES Y COMERCIALES (OPEX)</t>
  </si>
  <si>
    <t>Alquiler Coworking Aticco Bogatell (6 Puestos)</t>
  </si>
  <si>
    <t>Alquiler mensual de espacio físico en Barcelona</t>
  </si>
  <si>
    <t>Comunicaciones Móviles (Equipo de Campo)</t>
  </si>
  <si>
    <t>Telefonía e internet móvil Orange 5G para 4 reps</t>
  </si>
  <si>
    <t>Licencia ChatGPT Team (Servicios de IA)</t>
  </si>
  <si>
    <t>Acceso a modelos avanzados de IA ChatGPT para equipo</t>
  </si>
  <si>
    <t>Google Workspace (Correo y Colaboración)</t>
  </si>
  <si>
    <t>6 licencias Enterprise</t>
  </si>
  <si>
    <t>HubSpot Sales Hub Professional (CRM Ventas)</t>
  </si>
  <si>
    <t>Licencias B2B para pipeline de 4 comerciales</t>
  </si>
  <si>
    <t>Mixpanel &amp; GA4 Pro (Analítica de App)</t>
  </si>
  <si>
    <t>Tracking de conversión y comportamiento de usuarios</t>
  </si>
  <si>
    <t>n8n Cloud Pro (Automatización Interna)</t>
  </si>
  <si>
    <t>Servicios en la nube de workflows automatizados</t>
  </si>
  <si>
    <t>Almacén OhMyBox Poblenou (Stock de Collars)</t>
  </si>
  <si>
    <t>Alquiler mensual de trastero para almacenamiento</t>
  </si>
  <si>
    <t>Seguro Stock Póliza OhMyBox (Hasta 7500 €)</t>
  </si>
  <si>
    <t>Cobertura para stock de hardware almacenado</t>
  </si>
  <si>
    <t>SEO Frontend Developer (SEO Técnico)</t>
  </si>
  <si>
    <t>Mantenimiento SEO y de velocidad en web</t>
  </si>
  <si>
    <t>Redactor Médico Veterinario (EEAT Content)</t>
  </si>
  <si>
    <t>Creación de contenidos médicos veterinarios fiables</t>
  </si>
  <si>
    <t>Especialista SEO (Linkbuilding)</t>
  </si>
  <si>
    <t>Servicios mensuales de estrategia SEO off-page</t>
  </si>
  <si>
    <t>Licencias Herramientas SEO (Semrush Pro)</t>
  </si>
  <si>
    <t>SaaS de investigación de palabras clave</t>
  </si>
  <si>
    <t>Adquisición de Enlaces y PR (Linkbuilding)</t>
  </si>
  <si>
    <t>Compra mensual de reseñas y enlaces de calidad</t>
  </si>
  <si>
    <t>Dirección de Arte y Creativos Ads</t>
  </si>
  <si>
    <t>Producción mensual de anuncios (Fase 2 Contenidos Fijos Branding)</t>
  </si>
  <si>
    <t>Comisiones Influencers (CPA Acuerdos)</t>
  </si>
  <si>
    <t>Campañas con Creadores de Contenido (Fase 3 Influencers B2C)</t>
  </si>
  <si>
    <t>Gestión de Embajadores y RR.PP. Mascotas</t>
  </si>
  <si>
    <t>Mapeo de creadores B2C (Costo consolidado en línea 64)</t>
  </si>
  <si>
    <t>Performance Marketing / Trafficker Meta</t>
  </si>
  <si>
    <t>Dirección y Gestión de Campañas (Trafficker/Performance Externalizado)</t>
  </si>
  <si>
    <t>SaaS Vet Dashboard (Interoperabilidad)</t>
  </si>
  <si>
    <t>Conexión a software veterinario externo</t>
  </si>
  <si>
    <t>Remarketing Ads Spend (Retargeting Directo)</t>
  </si>
  <si>
    <t>Pauta para audiencias calientes en Meta (Fase 4 BOFU Remarketing)</t>
  </si>
  <si>
    <t>Subvención Co-financiada Póliza B2B (Seguro)</t>
  </si>
  <si>
    <t>SEM en Google Ads (Consultas de urgencia - Fase 4 SEM)</t>
  </si>
  <si>
    <t>CS B2B Director</t>
  </si>
  <si>
    <t>Director de éxito del cliente corporativo</t>
  </si>
  <si>
    <t>Especialista Automatización CRM (HubSpot)</t>
  </si>
  <si>
    <t>Herramientas de Automatización Inbound (Fase 3 Automation)</t>
  </si>
  <si>
    <t>LinkedIn Sales Navigator Advanced (4 seats)</t>
  </si>
  <si>
    <t>Herramienta B2B de prospección saliente</t>
  </si>
  <si>
    <t>Asesoría Fiscal / Contable Externa</t>
  </si>
  <si>
    <t>Outsourcing administrativo</t>
  </si>
  <si>
    <t>Asesoría Legal / Protección Datos (DPO)</t>
  </si>
  <si>
    <t>Cumplimiento del RGPD y derecho animal</t>
  </si>
  <si>
    <t>Gastos de Banca y Comisiones Operativas</t>
  </si>
  <si>
    <t>Mantenimiento de cuentas corporativas</t>
  </si>
  <si>
    <t>Viajes y Gastos de Representación</t>
  </si>
  <si>
    <t>Viáticos comerciales</t>
  </si>
  <si>
    <t>Seguros Operativos (RC + Ciber)</t>
  </si>
  <si>
    <t>RC general de oficinas y cobertura ante hackeos</t>
  </si>
  <si>
    <t>Fondo de Contingencia IT (10% del total)</t>
  </si>
  <si>
    <t>Reserva mensual preventiva ante incidencias críticas</t>
  </si>
  <si>
    <t>Fondo de Cobertura de Devoluciones (5%)</t>
  </si>
  <si>
    <t>Reserva de garantía de collar inteligente</t>
  </si>
  <si>
    <t>Presupuesto Ads Publicitario Fijo (Meta/TikTok)</t>
  </si>
  <si>
    <t>Estrategia plana Always-on mensual de marketing (Fase 2 Meta/TikTok Ads)</t>
  </si>
  <si>
    <t>Material Promocional - Welcome Packs (Mes 2)</t>
  </si>
  <si>
    <t>Welcome packs físicos para partners B2B (M2)</t>
  </si>
  <si>
    <t>Stand Modular Iberzoo+Propet (IFEMA - Mes 3)</t>
  </si>
  <si>
    <t>Inversión total stand y viáticos en IFEMA (M3)</t>
  </si>
  <si>
    <t>Stand Modular Congreso AVEPA-SEVC (Mes 10)</t>
  </si>
  <si>
    <t>Stand modular Congreso AVEPA CCIB Barcelona (M10)</t>
  </si>
  <si>
    <t>6. INVERSIONES INICIALES (CAPEX MES 1)</t>
  </si>
  <si>
    <t>Equipos Informáticos (MacBooks Pro Dev/CTO)</t>
  </si>
  <si>
    <t>Equipamiento de hardware técnico para desarrollo</t>
  </si>
  <si>
    <t>Desarrollo de la Plataforma (Backend/App/UI)</t>
  </si>
  <si>
    <t>Frontend, backend, prototipado e integración API CUDI</t>
  </si>
  <si>
    <t>Licencias y Setup Inicial (CRM Onboarding)</t>
  </si>
  <si>
    <t>HubSpot Onboarding Professional Fee (Desembolso Único)</t>
  </si>
  <si>
    <t>Registro de Propiedad Industrial (Marca OEPM)</t>
  </si>
  <si>
    <t>Registro de marca (Costo consolidado en línea 90)</t>
  </si>
  <si>
    <t>Cumplimiento de Privacidad y RGPD (Adaptación)</t>
  </si>
  <si>
    <t>CAPEX Regulatorio y Tecnológico (Homologación CE, Bluetooth, OEPM, RGPD)</t>
  </si>
  <si>
    <t>Homologación y Certificación de Hardware (CE)</t>
  </si>
  <si>
    <t>Certificación de collar (Costo consolidado en línea 90)</t>
  </si>
  <si>
    <t>7. PARÁMETROS DE FINANCIACIÓN (DEUDA Y SOCIOS)</t>
  </si>
  <si>
    <t>Préstamo ENISA Principal</t>
  </si>
  <si>
    <t>SÍ</t>
  </si>
  <si>
    <t>Préstamo público de fomento a startups (M1)</t>
  </si>
  <si>
    <t>Préstamo ENISA Interés Anual</t>
  </si>
  <si>
    <t>Tasa de interés aplicada al préstamo</t>
  </si>
  <si>
    <t>Préstamo ENISA Carencia de Principal (Meses)</t>
  </si>
  <si>
    <t>Periodo inicial de carencia de amortización</t>
  </si>
  <si>
    <t>Préstamo ENISA Periodo de Repago (Meses)</t>
  </si>
  <si>
    <t>Plazo de amortización de principal en meses</t>
  </si>
  <si>
    <t>RBF Financiación Basada en Ingresos Principal</t>
  </si>
  <si>
    <t>Financiación basada en ingresos (M1)</t>
  </si>
  <si>
    <t>RBF % de Repago Mensual sobre Ventas</t>
  </si>
  <si>
    <t>Porcentaje de facturación para repagar el RBF</t>
  </si>
  <si>
    <t>RBF Cap de Repago Total (Múltiplo)</t>
  </si>
  <si>
    <t>Límite máximo de repago total (Múltiplo de principal)</t>
  </si>
  <si>
    <t>RBF Repago Total Máximo (Cap)</t>
  </si>
  <si>
    <t>Cálculo del repago acumulado límite total (C98*C100 si activo)</t>
  </si>
  <si>
    <t>Bootstrap Capital Inicial de Socios</t>
  </si>
  <si>
    <t>Capital total fundadores en Escenario 1 (Suma de socios activos)</t>
  </si>
  <si>
    <t>Híbrido Capital Fundadores</t>
  </si>
  <si>
    <t>Capital total fundadores en Escenario 2 (Suma de socios activos)</t>
  </si>
  <si>
    <t>Híbrido Capital Business Angels (BA)</t>
  </si>
  <si>
    <t>Capital aportado por BA en Escenario 2 (Sustituye deuda)</t>
  </si>
  <si>
    <t>VC Capital Fundadores</t>
  </si>
  <si>
    <t>Capital total fundadores en Escenario 3 (Suma de socios activos)</t>
  </si>
  <si>
    <t>VC Capital Venture Capital (VC)</t>
  </si>
  <si>
    <t>Capital institucional en Escenario 3 (Sustituye deuda)</t>
  </si>
  <si>
    <t>VC Capital Equity Crowdfunding</t>
  </si>
  <si>
    <t>Capital micromecenazgo en Escenario 3</t>
  </si>
  <si>
    <t>Aporte Fundador CEO (Socio 1)</t>
  </si>
  <si>
    <t>Aportación de capital individual del CEO</t>
  </si>
  <si>
    <t>Aporte Fundador COO (Socio 2)</t>
  </si>
  <si>
    <t>Aportación de capital individual del COO</t>
  </si>
  <si>
    <t>Aporte Fundador CTO (Socio 3)</t>
  </si>
  <si>
    <t>Aportación de capital individual del CTO</t>
  </si>
  <si>
    <t>Aporte Fundador CMO (Socio 4)</t>
  </si>
  <si>
    <t>Aportación de capital individual del CMO</t>
  </si>
  <si>
    <t>8. ESTRUCTURA DE INGRESOS B2B Y AFILIADOS</t>
  </si>
  <si>
    <t>SaaS Clínicas - Escenario Negativo (EUR/mes)</t>
  </si>
  <si>
    <t>Cuota SaaS Clínicas en escenario negativo</t>
  </si>
  <si>
    <t>SaaS Clínicas - Escenario Equilibrio (EUR/mes)</t>
  </si>
  <si>
    <t>Cuota SaaS Clínicas en escenario moderado</t>
  </si>
  <si>
    <t>SaaS Clínicas - Escenario Positivo (EUR/mes)</t>
  </si>
  <si>
    <t>Cuota SaaS Clínicas en escenario optimista</t>
  </si>
  <si>
    <t>Suscripción Petme Negocios (EUR/mes)</t>
  </si>
  <si>
    <t>SaaS B2B para profesionales locales (paseadores/estéticas)</t>
  </si>
  <si>
    <t>Insurtech - Tasa Lead - Escenario Negativo</t>
  </si>
  <si>
    <t>Porcentaje de usuarios que consienten lead en Esc 1</t>
  </si>
  <si>
    <t>Insurtech - Tasa Lead - Escenario Equilibrio</t>
  </si>
  <si>
    <t>Porcentaje de usuarios que consienten lead en Esc 2</t>
  </si>
  <si>
    <t>Insurtech - Tasa Lead - Escenario Positivo</t>
  </si>
  <si>
    <t>Porcentaje de usuarios que consienten lead en Esc 3</t>
  </si>
  <si>
    <t>Insurtech - CPL Lead - Escenario Negativo</t>
  </si>
  <si>
    <t>Tarifa por lead cualificado en Esc 1</t>
  </si>
  <si>
    <t>Insurtech - CPL Lead - Escenario Equilibrio</t>
  </si>
  <si>
    <t>Tarifa por lead cualificado en Esc 2</t>
  </si>
  <si>
    <t>Insurtech - CPL Lead - Escenario Positivo</t>
  </si>
  <si>
    <t>Tarifa por lead cualificado en Esc 3</t>
  </si>
  <si>
    <t>Insurtech - Tasa Conversión Póliza - Esc 1</t>
  </si>
  <si>
    <t>Tasa de conversión de lead a póliza en Esc 1</t>
  </si>
  <si>
    <t>Insurtech - Tasa Conversión Póliza - Esc 2</t>
  </si>
  <si>
    <t>Tasa de conversión de lead a póliza en Esc 2</t>
  </si>
  <si>
    <t>Insurtech - Tasa Conversión Póliza - Esc 3</t>
  </si>
  <si>
    <t>Tasa de conversión de lead a póliza en Esc 3</t>
  </si>
  <si>
    <t>Insurtech - CPA Póliza Cerrada (EUR)</t>
  </si>
  <si>
    <t>Comisión única por póliza cerrada de Barkibu</t>
  </si>
  <si>
    <t>Insurtech - Comisión Recurrente (EUR/mes)</t>
  </si>
  <si>
    <t>Comisión mensual por póliza activa de Barkibu</t>
  </si>
  <si>
    <t>E-commerce - Tasa Redirección Mensual</t>
  </si>
  <si>
    <t>Porcentaje de usuarios que realizan compras redirigidas</t>
  </si>
  <si>
    <t>E-commerce - Ticket Medio Compra (EUR)</t>
  </si>
  <si>
    <t>Ticket medio de compra en Kiwoko/Zooplus</t>
  </si>
  <si>
    <t>E-commerce - Comisión CPA - Esc 1 (Negativo)</t>
  </si>
  <si>
    <t>Porcentaje de comisión en Esc 1</t>
  </si>
  <si>
    <t>E-commerce - Comisión CPA - Esc 2 (Equilibrio)</t>
  </si>
  <si>
    <t>Porcentaje de comisión en Esc 2</t>
  </si>
  <si>
    <t>E-commerce - Comisión CPA - Esc 3 (Positivo)</t>
  </si>
  <si>
    <t>Porcentaje de comisión en Esc 3</t>
  </si>
  <si>
    <t>Ads - CPM Publicidad In-App (EUR)</t>
  </si>
  <si>
    <t>Ingreso por mil impresiones in-app</t>
  </si>
  <si>
    <t>Ads - Rendimiento Mensual por Usuario (EUR)</t>
  </si>
  <si>
    <t>Ingreso estimado por usuario Freemium activo</t>
  </si>
  <si>
    <t>9. PARÁMETROS DE SUSCRIPCIÓN ANTICIPADA (PREPAGO)</t>
  </si>
  <si>
    <t>Porcentaje Clientes Prepago Anual</t>
  </si>
  <si>
    <t>Porcentaje de clientes que eligen pago anual anticipado (0% en Esc 1, 30% en Esc 2/3)</t>
  </si>
  <si>
    <t>Descuento Prepago Anual (%)</t>
  </si>
  <si>
    <t>Descuento aplicado sobre la suscripción mensual (0% en Esc 1, 15% en Esc 2/3)</t>
  </si>
  <si>
    <t>GUÍA DEL PANEL DE CONTROL Y CONFIGURADOR DE ESCENARIOS</t>
  </si>
  <si>
    <t>1. SELECTOR DINÁMICO DE ESCENARIOS (Celda C4):
   - 🔴 Escenario 1 (Negativo): Menor conversión (2.13%), mayor churn (8.00%) y CPL elevado. Pérdidas recurrentes.
   - 🟡 Escenario 2 (Equilibrio - Target): Hipótesis base calibradas. CVR del 3.8% total, churn del 4.80% y break-even en Año 2.
   - 🟢 Escenario 3 (Positivo): Tracción exponencial financiada por Venture Capital y baja fricción comercial.
2. CONFIGURACIÓN DE PRECIOS Y PARÁMETROS CLAVE:
   - Smart Collar PVP: Fijado en 89,50 € para eliminar subsidios (Margen bruto del 53.63% frente a Landed Cost de 41,50 €).
   - Suscripción Premium Care: Tarifa base de 30,00 €/mes (con 15% de descuento en prepago anual a 25,50 €/mes).
   - Seguros (CUDI Shield): Attach rate del 30% de la base activa a una comisión de corretaje del 30% mensual.</t>
  </si>
  <si>
    <t>CONFIGURACIÓN GENERAL (MACRO)</t>
  </si>
  <si>
    <t>Escenario Activo:</t>
  </si>
  <si>
    <t>Valor terminal estimado para valoración de salida</t>
  </si>
  <si>
    <t>Tasa de descuento de flujos de caja</t>
  </si>
  <si>
    <t>Tasa Impositiva (Sociedades)</t>
  </si>
  <si>
    <t>Tasa de impuesto sobre sociedades en España</t>
  </si>
  <si>
    <t>Inicio Año Fiscal (Mes)</t>
  </si>
  <si>
    <t>Mes de inicio del año fiscal (Enero = 1)</t>
  </si>
  <si>
    <t>Reserva de seguridad mínima en caja</t>
  </si>
  <si>
    <t>Tasa de inflación anual proyectada</t>
  </si>
  <si>
    <t>PERIODOS DE AMORTIZACIÓN DE CAPEX</t>
  </si>
  <si>
    <t>Equipos Informáticos / Hardware</t>
  </si>
  <si>
    <t>Años | Amortización de ordenadores en años</t>
  </si>
  <si>
    <t>Reforma de Oficina / Coworking</t>
  </si>
  <si>
    <t>Años | 20.0% anual</t>
  </si>
  <si>
    <t>Mobiliario y Enseres</t>
  </si>
  <si>
    <t>Telecomunicaciones</t>
  </si>
  <si>
    <t>Años | 33.3% anual</t>
  </si>
  <si>
    <t>Infraestructura de Servidores &amp; Apps</t>
  </si>
  <si>
    <t>Años | Desarrollo plataforma CUDI</t>
  </si>
  <si>
    <t>GUÍA DE CONFIGURACIÓN MACROECONÓMICA Y PARÁMETROS FISCALES</t>
  </si>
  <si>
    <t>1. SUPUESTOS MACRO Y FISCALES:
   - IPC / Ajuste Salarial: Aplicado un 3.50% de ajuste por inflación en Años 2 y 3 para la masa salarial.
   - Impuesto de Sociedades: Modelado al 21.00% según la legislación vigente en España para startups.
   - RETA (Autónomos): Tarifa plana de 88,56 €/mes en Año 1 para cofundadores, escalando a cuota regular en Año 2.
   - Seguridad Social Empresa: 32.10% para el personal contratado por cuenta ajena (Régimen General).
2. TASA DE DESCUENTO E INVERSIÓN:
   - WACC de Descuento: Fijado en 11.79% para el cálculo de VAN/TIR, ponderando el coste de deuda y equity.</t>
  </si>
  <si>
    <t>SUPUESTOS OPERATIVOS DEL NEGOCIO (ESCENARIO ACTIVO)</t>
  </si>
  <si>
    <t>Tasa Conversión (Visita a Premium)</t>
  </si>
  <si>
    <t>Tasa de conversión en el escenario activo</t>
  </si>
  <si>
    <t>Precio Premium Care CUDI (SaaS)</t>
  </si>
  <si>
    <t>Membresía recurrente mensual del plan Premium Care</t>
  </si>
  <si>
    <t>Tasa Cancelación Mensual (Churn)</t>
  </si>
  <si>
    <t>Tasa de bajas del plan Premium Care</t>
  </si>
  <si>
    <t>CAC Teórico (Lead Orgánico)</t>
  </si>
  <si>
    <t>Costo implícito de adquisición orgánico (SEO y RRSS)</t>
  </si>
  <si>
    <t>Tráfico Orgánico Inicial (Mes 1)</t>
  </si>
  <si>
    <t>Tráfico inicial mensual orgánico de la web</t>
  </si>
  <si>
    <t>Crecimiento Tráfico Orgánico Mensual</t>
  </si>
  <si>
    <t>Tasa de crecimiento mensual del tráfico orgánico</t>
  </si>
  <si>
    <t>Tasa Adhesión CUDI Shield Basic</t>
  </si>
  <si>
    <t>Porcentaje de adhesión del seguro CUDI Shield</t>
  </si>
  <si>
    <t>Precio CUDI Shield Basic (Seguro)</t>
  </si>
  <si>
    <t>Mensualidad del Seguro CUDI Shield</t>
  </si>
  <si>
    <t>Tasa Visitas VetHome Mensuales</t>
  </si>
  <si>
    <t>Tasa mensual de visitas VetHome por usuario Premium</t>
  </si>
  <si>
    <t>Precio cobrado por visita veterinaria a domicilio</t>
  </si>
  <si>
    <t>Tasa Compras en Marketplace</t>
  </si>
  <si>
    <t>Porcentaje de compras de la base Premium en marketplace</t>
  </si>
  <si>
    <t>Comisión Media Marketplace</t>
  </si>
  <si>
    <t>Comisión neta promedio ganada por transacción</t>
  </si>
  <si>
    <t>Mes Inicio Pauta Publicitaria</t>
  </si>
  <si>
    <t>Mes en que se inicia la captación de pago (Ene-26 = 1)</t>
  </si>
  <si>
    <t>Presupuesto Publicitario Social Ads</t>
  </si>
  <si>
    <t>Presupuesto plano constante de Meta/TikTok Ads</t>
  </si>
  <si>
    <t>Incremento Mensual del Presupuesto</t>
  </si>
  <si>
    <t>Estrategia de inversión plana (no incremental)</t>
  </si>
  <si>
    <t>Presupuesto Publicitario Máximo</t>
  </si>
  <si>
    <t>Techo de la inversión publicitaria mensual</t>
  </si>
  <si>
    <t>Coste por Lead de Pago (CPL)</t>
  </si>
  <si>
    <t>Coste de captación del lead publicitario</t>
  </si>
  <si>
    <t>Coste Servidor AWS por cliente activo</t>
  </si>
  <si>
    <t>Costo mensual de base de datos e IoT por cliente activo</t>
  </si>
  <si>
    <t>Comisión Stripe por procesamiento de cobros</t>
  </si>
  <si>
    <t>Coste de la suite de chat de asistencia Freemium</t>
  </si>
  <si>
    <t>API Claude Sonnet por usuario</t>
  </si>
  <si>
    <t>Coste de API mensual del Gemelo Digital</t>
  </si>
  <si>
    <t>Coste Fabricación Smart Collar</t>
  </si>
  <si>
    <t>Costo unitario de fabricación del hardware</t>
  </si>
  <si>
    <t>Coste de Mensajería Última Milla</t>
  </si>
  <si>
    <t>Costo de envío urgente nacional del collar a domicilio</t>
  </si>
  <si>
    <t>ESTRATEGIA GLOBAL DE MARKETING (TFM CUDI 2026) - ENFOQUE ADQUISICIÓN Y RETENCIÓN B2C/B2B</t>
  </si>
  <si>
    <t>La estrategia global de marketing de CUDI se basa en un modelo Inbound Omnicanal con fuerte enfoque en coste de adquisición de cliente (CAC) controlado y posicionamiento de marca de confianza (E-E-A-T):
1. ADQUISICIÓN ORGÁNICA (EEAT SEO &amp; CONTENIDOS): Se destina un redactor médico veterinario dedicado para generar contenidos de salud, comportamiento y nutrición animal avalados profesionalmente. Esto posiciona a CUDI en buscadores para keywords transaccionales locales de Barcelona, atrayendo tráfico de alta intención a coste marginal cero.
2. ALIANZAS CON LA RED DE SOCIOS B2B: Se establece una red de clínicas veterinarias, peluquerías caninas, paseadores y guarderías de confianza en Barcelona. CUDI distribuye welcome packs físicos a través de estos partners, quienes prescriben la suscripción Premium Care y el collar GPS en sus locales a cambio de comisiones (take-rate).
3. PAUTA PUBLICITARIA DIGITAL (PERFORMANCE ADS): Estrategia plana 'Always-on' de 2.000 €/mes en Meta Ads (Instagram/Facebook) y TikTok Ads. Se divide el funnel en: Fase de Branding (Creatividades fijas e historias de éxito), Fase de Captación de Leads (Descarga de e-books de salud canina), y Fase de Remarketing (BOFU retargeting con cupones de descuento del Smart Collar) para maximizar la conversión.
4. EVENTOS Y MARKETING DE GUERRILLA B2B/B2C: Presencia en ferias y congresos clave del sector pet-tech y veterinario (como Iberzoo+Propet en IFEMA y el Congreso AVEPA-SEVC en el CCIB de Barcelona) mediante stands modulares diseñados para captar distribuidores y clínicas asociadas a gran escala.
5. AUTOMATIZACIÓN INBOUND CRM (HUBSPOT): Nutrición automatizada de leads (lead nurturing) mediante correos electrónicos segmentados por tipo de mascota, edad y nivel de actividad, forzando la conversión recurrente a Premium.</t>
  </si>
  <si>
    <t>GUÍA DE HIPÓTESIS DE NEGOCIO Y CONVERSIÓN</t>
  </si>
  <si>
    <t>1. HIPÓTESIS DE ADQUISICIÓN Y MARKETING:
   - Crecimiento Tráfico Orgánico: Inicia en 1.000 visitas/mes y crece del 5% al 15% según el escenario activo.
   - Coste por Lead (CPL) y Ads: Presupuesto publicitario plano de 2.000 €/mes con CPL variable por escenario (7 € a 15 €).
   - Conversión Web: Se asume que el 2.00% del tráfico general se convierte en Lead Calificado.
2. RETENCIÓN Y VIDA ÚTIL (LTV):
   - Tasa de Churn Mensual: Factor crítico de retención, calibrado en 4.80% para el escenario de Equilibrio.
   - Vida Útil Media (Lifetime): Calculada como 1 / Churn Rate, equivaliendo a 20.83 meses de retención en Equilibrio.</t>
  </si>
  <si>
    <t>PROYECCIONES DE DEMANDA POR ESCENARIO (84 MESES)</t>
  </si>
  <si>
    <t>Métrica de Demanda</t>
  </si>
  <si>
    <t>Unidad</t>
  </si>
  <si>
    <t>Escenario / Regla</t>
  </si>
  <si>
    <t>Ene-26</t>
  </si>
  <si>
    <t>Feb-26</t>
  </si>
  <si>
    <t>Mar-26</t>
  </si>
  <si>
    <t>Abr-26</t>
  </si>
  <si>
    <t>May-26</t>
  </si>
  <si>
    <t>Jun-26</t>
  </si>
  <si>
    <t>Jul-26</t>
  </si>
  <si>
    <t>Ago-26</t>
  </si>
  <si>
    <t>Sep-26</t>
  </si>
  <si>
    <t>Oct-26</t>
  </si>
  <si>
    <t>Nov-26</t>
  </si>
  <si>
    <t>Dic-26</t>
  </si>
  <si>
    <t>Ene-27</t>
  </si>
  <si>
    <t>Feb-27</t>
  </si>
  <si>
    <t>Mar-27</t>
  </si>
  <si>
    <t>Abr-27</t>
  </si>
  <si>
    <t>May-27</t>
  </si>
  <si>
    <t>Jun-27</t>
  </si>
  <si>
    <t>Jul-27</t>
  </si>
  <si>
    <t>Ago-27</t>
  </si>
  <si>
    <t>Sep-27</t>
  </si>
  <si>
    <t>Oct-27</t>
  </si>
  <si>
    <t>Nov-27</t>
  </si>
  <si>
    <t>Dic-27</t>
  </si>
  <si>
    <t>Ene-28</t>
  </si>
  <si>
    <t>Feb-28</t>
  </si>
  <si>
    <t>Mar-28</t>
  </si>
  <si>
    <t>Abr-28</t>
  </si>
  <si>
    <t>May-28</t>
  </si>
  <si>
    <t>Jun-28</t>
  </si>
  <si>
    <t>Jul-28</t>
  </si>
  <si>
    <t>Ago-28</t>
  </si>
  <si>
    <t>Sep-28</t>
  </si>
  <si>
    <t>Oct-28</t>
  </si>
  <si>
    <t>Nov-28</t>
  </si>
  <si>
    <t>Dic-28</t>
  </si>
  <si>
    <t>Ene-29</t>
  </si>
  <si>
    <t>Feb-29</t>
  </si>
  <si>
    <t>Mar-29</t>
  </si>
  <si>
    <t>Abr-29</t>
  </si>
  <si>
    <t>May-29</t>
  </si>
  <si>
    <t>Jun-29</t>
  </si>
  <si>
    <t>Jul-29</t>
  </si>
  <si>
    <t>Ago-29</t>
  </si>
  <si>
    <t>Sep-29</t>
  </si>
  <si>
    <t>Oct-29</t>
  </si>
  <si>
    <t>Nov-29</t>
  </si>
  <si>
    <t>Dic-29</t>
  </si>
  <si>
    <t>Ene-30</t>
  </si>
  <si>
    <t>Feb-30</t>
  </si>
  <si>
    <t>Mar-30</t>
  </si>
  <si>
    <t>Abr-30</t>
  </si>
  <si>
    <t>May-30</t>
  </si>
  <si>
    <t>Jun-30</t>
  </si>
  <si>
    <t>Jul-30</t>
  </si>
  <si>
    <t>Ago-30</t>
  </si>
  <si>
    <t>Sep-30</t>
  </si>
  <si>
    <t>Oct-30</t>
  </si>
  <si>
    <t>Nov-30</t>
  </si>
  <si>
    <t>Dic-30</t>
  </si>
  <si>
    <t>Ene-31</t>
  </si>
  <si>
    <t>Feb-31</t>
  </si>
  <si>
    <t>Mar-31</t>
  </si>
  <si>
    <t>Abr-31</t>
  </si>
  <si>
    <t>May-31</t>
  </si>
  <si>
    <t>Jun-31</t>
  </si>
  <si>
    <t>Jul-31</t>
  </si>
  <si>
    <t>Ago-31</t>
  </si>
  <si>
    <t>Sep-31</t>
  </si>
  <si>
    <t>Oct-31</t>
  </si>
  <si>
    <t>Nov-31</t>
  </si>
  <si>
    <t>Dic-31</t>
  </si>
  <si>
    <t>Ene-32</t>
  </si>
  <si>
    <t>Feb-32</t>
  </si>
  <si>
    <t>Mar-32</t>
  </si>
  <si>
    <t>Abr-32</t>
  </si>
  <si>
    <t>May-32</t>
  </si>
  <si>
    <t>Jun-32</t>
  </si>
  <si>
    <t>Jul-32</t>
  </si>
  <si>
    <t>Ago-32</t>
  </si>
  <si>
    <t>Sep-32</t>
  </si>
  <si>
    <t>Oct-32</t>
  </si>
  <si>
    <t>Nov-32</t>
  </si>
  <si>
    <t>Dic-32</t>
  </si>
  <si>
    <t>ESCENARIO 1: NEGATIVO</t>
  </si>
  <si>
    <t>Crecimiento Tráfico Orgánico</t>
  </si>
  <si>
    <t>%</t>
  </si>
  <si>
    <t>0.05</t>
  </si>
  <si>
    <t>Tráfico Orgánico Mensual</t>
  </si>
  <si>
    <t>#</t>
  </si>
  <si>
    <t>M1=1000, Mt=Prev*(1+Growth)</t>
  </si>
  <si>
    <t>Tasa de Conversión</t>
  </si>
  <si>
    <t>0.0213</t>
  </si>
  <si>
    <t>Nuevos Clientes (Orgánicos)</t>
  </si>
  <si>
    <t>ROUND(Tráfico*Conversión, 0)</t>
  </si>
  <si>
    <t>Presupuesto Social Ads</t>
  </si>
  <si>
    <t>EUR</t>
  </si>
  <si>
    <t>'1_PANEL_CONTROL'!$C$80</t>
  </si>
  <si>
    <t>CPL Paid (Coste por Lead)</t>
  </si>
  <si>
    <t>15.0</t>
  </si>
  <si>
    <t>Leads de Pago Adquiridos</t>
  </si>
  <si>
    <t>ROUND(Presupuesto/CPL, 0)</t>
  </si>
  <si>
    <t>Nuevos Clientes (Pauta/Paid)</t>
  </si>
  <si>
    <t>ROUND(Leads*Conversión, 0)</t>
  </si>
  <si>
    <t>Nuevos Clientes Totales</t>
  </si>
  <si>
    <t>Orgánicos + Paid</t>
  </si>
  <si>
    <t>Tasa Cancelación (Churn)</t>
  </si>
  <si>
    <t>0.08</t>
  </si>
  <si>
    <t>Clientes Activos (Premium Care)</t>
  </si>
  <si>
    <t>M1=Nuevos, Mt=ROUND(Prev*(1-Churn)+Nuevos, 0)</t>
  </si>
  <si>
    <t>Attachment CUDI Shield Basic</t>
  </si>
  <si>
    <t>0.15</t>
  </si>
  <si>
    <t>Clientes Activos Shield Seguro</t>
  </si>
  <si>
    <t>ROUND(Premium_Activos*Attachment, 0)</t>
  </si>
  <si>
    <t>Smart Collars Vendidos</t>
  </si>
  <si>
    <t>Tasa Visitas VetHome</t>
  </si>
  <si>
    <t>0.02</t>
  </si>
  <si>
    <t>Visitas VetHome Proyectadas</t>
  </si>
  <si>
    <t>ROUND(Premium_Activos*VetHome_Rate, 0)</t>
  </si>
  <si>
    <t>Tasa Compras Marketplace</t>
  </si>
  <si>
    <t>Transacciones Marketplace</t>
  </si>
  <si>
    <t>ROUND(Premium_Activos*Market_Rate, 0)</t>
  </si>
  <si>
    <t>ESCENARIO 2: EQUILIBRIO (BREAK-EVEN) - 670 Hito</t>
  </si>
  <si>
    <t>11.0</t>
  </si>
  <si>
    <t>0.048</t>
  </si>
  <si>
    <t>0.3</t>
  </si>
  <si>
    <t>0.045</t>
  </si>
  <si>
    <t>0.2</t>
  </si>
  <si>
    <t>ESCENARIO 3: POSITIVO</t>
  </si>
  <si>
    <t>7.0</t>
  </si>
  <si>
    <t>0.03</t>
  </si>
  <si>
    <t>0.45</t>
  </si>
  <si>
    <t>0.25</t>
  </si>
  <si>
    <t>ESCENARIO ACTIVO (SELECCIÓN DINÁMICA)</t>
  </si>
  <si>
    <t>1=Neg, 2=Equi, 3=Pos</t>
  </si>
  <si>
    <t>Dinámico</t>
  </si>
  <si>
    <t>MANUAL DE INTERPRETACIÓN DE DEMANDA (JURADO TFM)</t>
  </si>
  <si>
    <t>1. ADQUISICIÓN ORGÁNICA (SEO Y CONTENIDOS - FASE 1):
   - Crecimiento Tráfico Orgánico: Tasa de incremento mensual de las visitas no pagadas. En Equilibrio se calibra al 8,0% mensual.
   - Tráfico Orgánico Mensual: Visitas brutas a la plataforma. Inicia en 1.000 y crece mediante SEO off-page e in-bound.
   - Tasa de Conversión: Porcentaje de visitas web (u orgánicas) y leads que se registran y contratan el plan Premium Care (SaaS) (2,0% en Equilibrio).
   - Nuevos Clientes (Orgánicos): Tráfico Orgánico * Tasa de Conversión. Son clientes captados a coste marginal cero.
2. ADQUISICIÓN DE PAGO (SOCIAL ADS - FASES 2 A 5):
   - Presupuesto Social Ads: Inversión en Meta/TikTok publicitario (2.955 €/mes en Equilibrio). Con CPL (Coste por Lead) de 11 €, genera 269 leads/mes.
   - Nuevos Clientes (Pauta/Paid): Leads * Tasa de Conversión. Clientes captados con inversión de pauta.
   - Nuevos Clientes Totales: Orgánicos + de Pago. Representa las ventas de Smart Collars mensuales (alta de hardware).
3. RETENCIÓN Y MONETIZACIÓN RECURRENTE:
   - Tasa Cancelación (Churn): Porcentaje de bajas mensuales de la suscripción (4,8% en Equilibrio, vida media de 20,8 meses).
   - Clientes Activos (Premium Care): Base total acumulada viva. Paga la suscripción mensual SaaS de 30 €/mes.
   - Ventas Cruzadas (Attachment Rates):
     * CUDI Shield Basic: 30% de los clientes Premium Care activos contratan el seguro de salud veterinaria (18 €/mes).
     * VetHome: 4,5% de los clientes activos solicita visitas presenciales a domicilio (75 €/visita).
     * Marketplace: 20% de los clientes realiza transacciones en la tienda (ticket medio de 25 €, comisión neta del 15% para CUDI).</t>
  </si>
  <si>
    <t>GUÍA DE PROYECCIÓN DE DEMANDA Y FUNNEL DE USUARIOS</t>
  </si>
  <si>
    <t>1. FUNNEL DE CONVERSIÓN MENSUAL:
   - Muestra de forma detallada la conversión desde Visitas Orgánicas y Leads de Pago hasta Nuevos Clientes Totales.
   - La columna 'Dinámico' se conecta con el selector activo para calcular el total de usuarios activos mes a mes.
2. ANÁLISIS DE ALTAS Y BAJAS (CHURN):
   - La base de Clientes Activos Premium acumula las altas del mes y resta las bajas aplicando el Churn Rate.
   - Hito de Control: El escenario de Equilibrio persigue alcanzar **670 suscriptores Premium activos** en el Mes 12.</t>
  </si>
  <si>
    <t>MODELO DE INGRESOS MENSUAL DE CUDI</t>
  </si>
  <si>
    <t>Métricas de Volumen</t>
  </si>
  <si>
    <t>Fórmula / Regla</t>
  </si>
  <si>
    <t>Tráfico Orgánico</t>
  </si>
  <si>
    <t>Link a '4_PROY_DEMANDA'!Row 71</t>
  </si>
  <si>
    <t>Link a '4_PROY_DEMANDA'!Row 72</t>
  </si>
  <si>
    <t>Link a '4_PROY_DEMANDA'!Row 73</t>
  </si>
  <si>
    <t>Presupuesto Publicitario</t>
  </si>
  <si>
    <t>Link a '4_PROY_DEMANDA'!Row 74</t>
  </si>
  <si>
    <t>CAC Paid (CPL de Pago)</t>
  </si>
  <si>
    <t>Link a '4_PROY_DEMANDA'!Row 75</t>
  </si>
  <si>
    <t>Link a '4_PROY_DEMANDA'!Row 77</t>
  </si>
  <si>
    <t>Link a '4_PROY_DEMANDA'!Row 78</t>
  </si>
  <si>
    <t>Tasa de Cancelación (Churn)</t>
  </si>
  <si>
    <t>Link a '4_PROY_DEMANDA'!Row 79</t>
  </si>
  <si>
    <t>Link a '4_PROY_DEMANDA'!Row 80</t>
  </si>
  <si>
    <t>Clientes Activos (Shield Seguro)</t>
  </si>
  <si>
    <t>Link a '4_PROY_DEMANDA'!Row 82</t>
  </si>
  <si>
    <t>Link a '4_PROY_DEMANDA'!Row 83</t>
  </si>
  <si>
    <t>Visitas VetHome</t>
  </si>
  <si>
    <t>Link a '4_PROY_DEMANDA'!Row 85</t>
  </si>
  <si>
    <t>Compradores Marketplace</t>
  </si>
  <si>
    <t>Link a '4_PROY_DEMANDA'!Row 87</t>
  </si>
  <si>
    <t>DESGLOSE DE INGRESOS (EUR)</t>
  </si>
  <si>
    <t>Suscripción Premium Care (SaaS)</t>
  </si>
  <si>
    <t>ActivePremium * PriceSuscrip</t>
  </si>
  <si>
    <t>Seguro CUDI Shield Basic</t>
  </si>
  <si>
    <t>ActiveShield * PriceShield</t>
  </si>
  <si>
    <t>Venta Collares (Hardware)</t>
  </si>
  <si>
    <t>CollarsSold * PriceCollar</t>
  </si>
  <si>
    <t>Servicios VetHome CUDI</t>
  </si>
  <si>
    <t>Visits * PriceVetHome</t>
  </si>
  <si>
    <t>Comisiones Marketplace</t>
  </si>
  <si>
    <t>MarketplaceUsers * CommissionMarket</t>
  </si>
  <si>
    <t>SaaS Clínicas Veterinarias (B2B)</t>
  </si>
  <si>
    <t>ActiveClinics * VetSaaS_Fee</t>
  </si>
  <si>
    <t>SaaS Profesionales Petme (B2B)</t>
  </si>
  <si>
    <t>ActiveProfessionals * ProfessionalSaaS_Fee</t>
  </si>
  <si>
    <t>Afiliación E-commerce (Partners)</t>
  </si>
  <si>
    <t>ActivePremium * RedirectionRate * TicketEcom * CPAMed</t>
  </si>
  <si>
    <t>Publicidad In-App (Freemium)</t>
  </si>
  <si>
    <t>FreeUsers * AdRevenuePerUser</t>
  </si>
  <si>
    <t>Patrocinios y Alianzas B2B</t>
  </si>
  <si>
    <t>Sponsorship fixed calibration</t>
  </si>
  <si>
    <t>TOTAL B2B Y AFILIACIÓN</t>
  </si>
  <si>
    <t>SUMA(B2B)</t>
  </si>
  <si>
    <t>TOTAL INGRESOS CONSOLIDADOS</t>
  </si>
  <si>
    <t>SUMA(Líneas)</t>
  </si>
  <si>
    <t>GUÍA DE FACTURACIÓN Y DETALLE DE LAS 10 FUENTES DE INGRESO</t>
  </si>
  <si>
    <t>1. ESTRUCTURA MULTI-CANAL DE MONETIZACIÓN:
   - SaaS B2C (Premium Care): Facturación de la cuota recurrente mensual de 30 € (o anual con descuento).
   - Venta Hardware (Smart Collar): Ingreso de 89,50 € por cada nuevo cliente captado (pago único en día 1).
   - Insurtech (Seguros): Ingresos de corretaje del CUDI Shield (co-distribución con Barkibu).
   - VetHome (Veterinaria a Domicilio): Ticket de 75 € por visita presencial, con un 30% de retención para CUDI.
   - Marketplace B2B2C: Comisión (take-rate) del 15% sobre reservas de paseadores, guarderías y estéticas.
2. RETAIL Y SaaS B2B:
   - Monetiza también a los profesionales de la plataforma (Petme Negocios a 39,99 €/mes) y a clínicas asociadas.</t>
  </si>
  <si>
    <t>COSTE DE VENTAS DIRECTOS (COGS)</t>
  </si>
  <si>
    <t>Coste Directo</t>
  </si>
  <si>
    <t>Regla de Cálculo</t>
  </si>
  <si>
    <t>Servidores AWS (Base e IoT)</t>
  </si>
  <si>
    <t>Premium_Active * AWS_Cost_User</t>
  </si>
  <si>
    <t>Procesamiento Stripe (Pasarela)</t>
  </si>
  <si>
    <t>Total_Revenue * Stripe_fee_pct</t>
  </si>
  <si>
    <t>Licencias APIs IA (Gemini+Claude)</t>
  </si>
  <si>
    <t>Fixed_Gemini + Premium_Active * Claude_Cost</t>
  </si>
  <si>
    <t>Fabricación Dispositivo Smart Collar</t>
  </si>
  <si>
    <t>CollarsSold * cost_fabrication</t>
  </si>
  <si>
    <t>Mensajería y Entrega Express</t>
  </si>
  <si>
    <t>CollarsSold * delivery_cost</t>
  </si>
  <si>
    <t>TOTAL COSTES DE VENTAS (COGS)</t>
  </si>
  <si>
    <t>GUÍA DE COSTES DIRECTOS DE VENTAS (COGS)</t>
  </si>
  <si>
    <t>1. DESGLOSE DE COSTES VARIABLES ASOCIADOS A LA ACTIVIDAD:
   - Servidores AWS: Coste del alojamiento cloud de la plataforma, bases de datos y APIs en tiempo real.
   - Stripe: Comisión de pasarela del 2.50% aplicada sobre todos los cobros B2C realizados en la app.
   - APIs de IA (Claude &amp; Gemini): Coste de llamadas de procesamiento para el Gemelo Digital y asistente de triaje.
   - Coste Collar GPS: Establecido en **35,00 €** de fabricación (Landed Cost de 41,50 € con envío urgente nacional a 6,50 €).
2. MARGEN BRUTO HARDWARE REALISTA:
   - El margen bruto del hardware se sitúa en **53.63%**, eliminando pérdidas y protegiendo el flujo de caja operativo.</t>
  </si>
  <si>
    <t>PLANIFICACIÓN DE TALENTO HUMANO Y GASTOS DE PERSONAL</t>
  </si>
  <si>
    <t>PARÁMETROS REGULABLES DE LEY (SEGURIDAD SOCIAL Y PAGAS)</t>
  </si>
  <si>
    <t>Seguridad Social a Cargo de la Empresa (%):</t>
  </si>
  <si>
    <t>Base de Cotización Máxima Mensual (Tope):</t>
  </si>
  <si>
    <t>Seguridad Social a Cargo del Empleado (%):</t>
  </si>
  <si>
    <t>Base de Cotización Mínima Mensual (SMI):</t>
  </si>
  <si>
    <t>Esquema de Pagas (12 o 14):</t>
  </si>
  <si>
    <t>Salario Ordinario Mensual</t>
  </si>
  <si>
    <t>Pagas Extraordinarias</t>
  </si>
  <si>
    <t>Sueldo Bruto Devengado</t>
  </si>
  <si>
    <t>Base de Cotización SS (BCCC)</t>
  </si>
  <si>
    <t>Base Cotización Capped</t>
  </si>
  <si>
    <t>SS Empresa</t>
  </si>
  <si>
    <t>SS Empleado</t>
  </si>
  <si>
    <t>Retención IRPF</t>
  </si>
  <si>
    <t>Salario Neto Mensual</t>
  </si>
  <si>
    <t>Coste Total Empresa (OPEX)</t>
  </si>
  <si>
    <t>TOTALES DE PERSONAL CONSOLIDADOS</t>
  </si>
  <si>
    <t>Salario Ordinario Mensual Total</t>
  </si>
  <si>
    <t>Pagas Extraordinarias Total</t>
  </si>
  <si>
    <t>Sueldo Bruto Devengado Total</t>
  </si>
  <si>
    <t>Base de Cotización SS (BCCC) Total</t>
  </si>
  <si>
    <t>Base Cotización Capped Total</t>
  </si>
  <si>
    <t>Seguridad Social a Cargo Empresa Total</t>
  </si>
  <si>
    <t>Seguridad Social a Cargo Empleado Total</t>
  </si>
  <si>
    <t>Retención IRPF Total</t>
  </si>
  <si>
    <t>Salario Neto Mensual Total</t>
  </si>
  <si>
    <t>COSTE TOTAL EMPRESA (OPEX PERSONAL)</t>
  </si>
  <si>
    <t>Resumen de Costes del Personal (Año 1)</t>
  </si>
  <si>
    <t>Rol / Puesto</t>
  </si>
  <si>
    <t>Coste Año 1 (EUR)</t>
  </si>
  <si>
    <t>GUÍA DE RECURSOS HUMANOS, ROLES Y COSTES SALARIALES</t>
  </si>
  <si>
    <t>1. POLÍTICA DE CONTENCIÓN SALARIAL (BOOTSTRAPPING):
   - Fundadores: 4 socios (CEO, CTO, CMO, COO) a un salario bruto inicial de **18.000 €/año (1.500 €/mes)** en el Año 1.
   - Seguridad Social / Autónomos: Cuota plana RETA incluida para el equipo promotor, reduciendo costes operativos.
2. PLAN DE CONTRATACIÓN Y CRECIMIENTO:
   - Año 2: Incorporación de 1 Senior Software Engineer (45.000 € brutos/año) para optimizar el software del Gemelo Digital.
   - Año 3: Escala salarial de directivos e incorporación de personal de soporte a medida que crece la base de clientes.</t>
  </si>
  <si>
    <t>GASTOS OPERATIVOS DE EXPLOTACIÓN (SG&amp;A)</t>
  </si>
  <si>
    <t>Partida Operativa</t>
  </si>
  <si>
    <t>Fórmula / Tipo</t>
  </si>
  <si>
    <t>Gastos de Personal &amp; Cargas</t>
  </si>
  <si>
    <t>Personal: Link a '7_EQUIPO_RRHH'!Row 108</t>
  </si>
  <si>
    <t>Alquiler Coworking Aticco Bogatell</t>
  </si>
  <si>
    <t>Fijo: '1_PANEL_CONTROL'!$C$49</t>
  </si>
  <si>
    <t>Comunicaciones Móviles (Equipo)</t>
  </si>
  <si>
    <t>Fijo: '1_PANEL_CONTROL'!$C$50</t>
  </si>
  <si>
    <t>Licencia ChatGPT Team (IA)</t>
  </si>
  <si>
    <t>Fijo: '1_PANEL_CONTROL'!$C$51</t>
  </si>
  <si>
    <t>Google Workspace</t>
  </si>
  <si>
    <t>Fijo: '1_PANEL_CONTROL'!$C$52</t>
  </si>
  <si>
    <t>HubSpot Sales Hub Professional (CRM)</t>
  </si>
  <si>
    <t>Fijo: '1_PANEL_CONTROL'!$C$53</t>
  </si>
  <si>
    <t>Mixpanel &amp; GA4 Pro</t>
  </si>
  <si>
    <t>Fijo: '1_PANEL_CONTROL'!$C$54</t>
  </si>
  <si>
    <t>n8n Cloud Pro (Automatización)</t>
  </si>
  <si>
    <t>Fijo: '1_PANEL_CONTROL'!$C$55</t>
  </si>
  <si>
    <t>Almacén OhMyBox Poblenou</t>
  </si>
  <si>
    <t>Fijo: '1_PANEL_CONTROL'!$C$56</t>
  </si>
  <si>
    <t>Seguro Stock Póliza OhMyBox</t>
  </si>
  <si>
    <t>Fijo: '1_PANEL_CONTROL'!$C$57</t>
  </si>
  <si>
    <t>Inversión Ads (Meta y TikTok)</t>
  </si>
  <si>
    <t>Variable: ='5_DETALLE_INGRESOS'!AdSpend</t>
  </si>
  <si>
    <t>Fijo: '1_PANEL_CONTROL'!$C$58</t>
  </si>
  <si>
    <t>Redactor Médico Veterinario (E-E-A-T)</t>
  </si>
  <si>
    <t>Fijo: '1_PANEL_CONTROL'!$C$59</t>
  </si>
  <si>
    <t>Fijo: '1_PANEL_CONTROL'!$C$60</t>
  </si>
  <si>
    <t>Licencias Herramientas SEO (Semrush)</t>
  </si>
  <si>
    <t>Fijo: '1_PANEL_CONTROL'!$C$61</t>
  </si>
  <si>
    <t>Variable: '1_PANEL_CONTROL'!$C$62</t>
  </si>
  <si>
    <t>Fijo: '1_PANEL_CONTROL'!$C$63</t>
  </si>
  <si>
    <t>Comisiones Influencers (CPA)</t>
  </si>
  <si>
    <t>Variable: '1_PANEL_CONTROL'!$C$64</t>
  </si>
  <si>
    <t>Gestión de Embajadores y RR.PP.</t>
  </si>
  <si>
    <t>Fijo: '1_PANEL_CONTROL'!$C$65</t>
  </si>
  <si>
    <t>Performance Marketing / Trafficker</t>
  </si>
  <si>
    <t>Fijo: '1_PANEL_CONTROL'!$C$66</t>
  </si>
  <si>
    <t>Fijo: '1_PANEL_CONTROL'!$C$67</t>
  </si>
  <si>
    <t>Remarketing Ads Spend</t>
  </si>
  <si>
    <t>Variable: '1_PANEL_CONTROL'!$C$68</t>
  </si>
  <si>
    <t>Subvención Co-financiada Póliza B2B</t>
  </si>
  <si>
    <t>Variable: '1_PANEL_CONTROL'!$C$69</t>
  </si>
  <si>
    <t>Fijo: '1_PANEL_CONTROL'!$C$70</t>
  </si>
  <si>
    <t>Especialista Automatización CRM</t>
  </si>
  <si>
    <t>Fijo: '1_PANEL_CONTROL'!$C$71</t>
  </si>
  <si>
    <t>LinkedIn Sales Navigator Advanced</t>
  </si>
  <si>
    <t>Fijo: '1_PANEL_CONTROL'!$C$72</t>
  </si>
  <si>
    <t>Asesoría Fiscal / Contable</t>
  </si>
  <si>
    <t>Fijo: '1_PANEL_CONTROL'!$C$73</t>
  </si>
  <si>
    <t>Asesoría Legal / Protección Datos</t>
  </si>
  <si>
    <t>Fijo: '1_PANEL_CONTROL'!$C$74</t>
  </si>
  <si>
    <t>Gastos de Banca y Comisiones</t>
  </si>
  <si>
    <t>Fijo: '1_PANEL_CONTROL'!$C$75</t>
  </si>
  <si>
    <t>Fijo: '1_PANEL_CONTROL'!$C$76</t>
  </si>
  <si>
    <t>Fijo: '1_PANEL_CONTROL'!$C$77</t>
  </si>
  <si>
    <t>I+D, Optimización de IA y Contingencia IT</t>
  </si>
  <si>
    <t>Variable: C78 + 3.00€/cli</t>
  </si>
  <si>
    <t>Fijo: '1_PANEL_CONTROL'!$C$79</t>
  </si>
  <si>
    <t>Material Promocional - Welcome Packs</t>
  </si>
  <si>
    <t>Variable: '1_PANEL_CONTROL'!$C$81 en M2</t>
  </si>
  <si>
    <t>Stand Modular Iberzoo+Propet (IFEMA)</t>
  </si>
  <si>
    <t>Variable: '1_PANEL_CONTROL'!$C$82 en M3</t>
  </si>
  <si>
    <t>Stand Modular Congreso AVEPA-SEVC (CCIB)</t>
  </si>
  <si>
    <t>Variable: '1_PANEL_CONTROL'!$C$83 en M10</t>
  </si>
  <si>
    <t>Amortización de Inmovilizado (CAPEX)</t>
  </si>
  <si>
    <t>Amortización: Link a CAPEX_CAJA</t>
  </si>
  <si>
    <t>TOTAL GASTOS OPEX RECURRENTES</t>
  </si>
  <si>
    <t>Total: =SUM(Líneas)</t>
  </si>
  <si>
    <t>GUÍA DE GASTOS DE EXPLOTACIÓN FIJOS (OPEX)</t>
  </si>
  <si>
    <t>1. DETALLE DE GASTOS DE ESTRUCTURA Y SOFTWARE SaaS:
   - Coworking: 2.160 €/mes en Aticco Bogatell para albergar de forma flexible al equipo en Barcelona (6 puestos).
   - Marketing Digital (Ads): Inversión recurrente en pauta publicitaria para mantener el flujo constante de leads.
   - Software SaaS: Licencias reales de HubSpot CRM (400 €/mes) y Semrush Pro (250 €/mes) para la estrategia SEO.
2. SERVICIOS PROFESIONALES Y LEGALES:
   - Asesoría fiscal (150 €/mes) y DPO externo para RGPD y privacidad de datos de mascotas (200 €/mes) incluidos.</t>
  </si>
  <si>
    <t>PLAN DE INVERSIONES (CAPEX) Y ESTADO DE FLUJOS DE CAJA</t>
  </si>
  <si>
    <t>Partida CAPEX / Flujo</t>
  </si>
  <si>
    <t>'1_PANEL_CONTROL'!C86 en M1</t>
  </si>
  <si>
    <t>Desarrollo de la Plataforma</t>
  </si>
  <si>
    <t>'1_PANEL_CONTROL'!C87 en M1</t>
  </si>
  <si>
    <t>Licencias y Setup Inicial</t>
  </si>
  <si>
    <t>'1_PANEL_CONTROL'!C88 en M1</t>
  </si>
  <si>
    <t>Registro de Propiedad Industrial</t>
  </si>
  <si>
    <t>'1_PANEL_CONTROL'!C89 en M1</t>
  </si>
  <si>
    <t>Cumplimiento de Privacidad y RGPD</t>
  </si>
  <si>
    <t>'1_PANEL_CONTROL'!C90 en M1</t>
  </si>
  <si>
    <t>Homologación y Certificación HW</t>
  </si>
  <si>
    <t>'1_PANEL_CONTROL'!C91 en M1</t>
  </si>
  <si>
    <t>TOTAL INVERSIONES DEL PERIODO (CAPEX)</t>
  </si>
  <si>
    <t>Amort. Equipos Informáticos</t>
  </si>
  <si>
    <t>CAPEX/Periodo</t>
  </si>
  <si>
    <t>Amort. Desarrollo Plataforma</t>
  </si>
  <si>
    <t>Amort. Licencias y Setup</t>
  </si>
  <si>
    <t>Amort. Propiedad Industrial</t>
  </si>
  <si>
    <t>Amort. Privacidad y RGPD</t>
  </si>
  <si>
    <t>Amort. Homologación y Certificación</t>
  </si>
  <si>
    <t>TOTAL AMORTIZACIÓN MENSUAL (OPEX)</t>
  </si>
  <si>
    <t>Flujo de Caja - Estado Mensual</t>
  </si>
  <si>
    <t>Caja Inicial</t>
  </si>
  <si>
    <t>Saldo al inicio del mes</t>
  </si>
  <si>
    <t>(+) Cobros de Clientes B2C/B2B (Ingresos)</t>
  </si>
  <si>
    <t>'5_DETALLE_INGRESOS'!Total</t>
  </si>
  <si>
    <t>(-) Pagos de Personal (Nóminas + SS)</t>
  </si>
  <si>
    <t>'8_COSTES_OPEX'!Personal</t>
  </si>
  <si>
    <t>(-) Pagos Operativos OPEX (Estructural)</t>
  </si>
  <si>
    <t>'8_COSTES_OPEX'!Total - Personal - Amort</t>
  </si>
  <si>
    <t>(-) Pagos Directos de COGS (Servidores/Stripe/APIs/HW)</t>
  </si>
  <si>
    <t>'6_COSTES_COGS'!Total</t>
  </si>
  <si>
    <t>(-) Pagos de CAPEX (Inversiones)</t>
  </si>
  <si>
    <t>Total_Capex</t>
  </si>
  <si>
    <t>(-) Fianza Alquiler Aticco Coworking</t>
  </si>
  <si>
    <t>2.160 € en M1 (Reembolsable)</t>
  </si>
  <si>
    <t>(+) Desembolso Capital Fundadores / Socios</t>
  </si>
  <si>
    <t>Financiación Inicial (M1)</t>
  </si>
  <si>
    <t>(+) Desembolso Deuda / Préstamos</t>
  </si>
  <si>
    <t>ENISA o RBF (M1)</t>
  </si>
  <si>
    <t>(-) Pago de Intereses Activos</t>
  </si>
  <si>
    <t>Link a APORTE_SOCIOS (ENISA/RBF)</t>
  </si>
  <si>
    <t>(-) Amortización de Deuda (Principal)</t>
  </si>
  <si>
    <t>(=) FLUJO NETO DE CAJA (NET CASH BURN)</t>
  </si>
  <si>
    <t>Recepción - Pagos</t>
  </si>
  <si>
    <t>(=) CAJA DISPONIBLE FINAL ACUMULADA</t>
  </si>
  <si>
    <t>Caja Inicial + Flujo Neto</t>
  </si>
  <si>
    <t>GUÍA DE FLUJO DE CAJA MENSUAL Y SALDO DISPONIBLE</t>
  </si>
  <si>
    <t>1. CONTROL DE LIQUIDEZ Y CAJA DISPONIBLE:
   - Muestra las entradas de efectivo (facturación, aportes semilla, préstamos) y salidas (COGS, OPEX, RRHH, CapEx).
   - Permite verificar el saldo acumulado en cuenta mes a mes y detectar necesidades de financiación antes de la insolvencia.
2. FINANCIACIÓN DEL ESCENARIO DE EQUILIBRIO:
   - Entrada en Mes 1: 60.000 € capital de fundadores + 80.000 € de Business Angels + 75.000 € del préstamo ENISA.
   - Runway Financiero: Media de **8.07 meses** de runway en el primer año para cubrir la fase de desarrollo e inversión.</t>
  </si>
  <si>
    <t>CUENTA DE PÉRDIDAS Y GANANCIAS PROYECTADA (P&amp;L)</t>
  </si>
  <si>
    <t>Concepto de P&amp;L</t>
  </si>
  <si>
    <t>INGRESOS CONSOLIDADOS TOTALES</t>
  </si>
  <si>
    <t>Link a '5_DETALLE_INGRESOS'!Row 26</t>
  </si>
  <si>
    <t>Link a '5_DETALLE_INGRESOS'!Row 27</t>
  </si>
  <si>
    <t>Link a '5_DETALLE_INGRESOS'!Row 28</t>
  </si>
  <si>
    <t>Link a '5_DETALLE_INGRESOS'!Row 29</t>
  </si>
  <si>
    <t>Link a '5_DETALLE_INGRESOS'!Row 30</t>
  </si>
  <si>
    <t>Ingresos B2B, Seguros y Afiliados</t>
  </si>
  <si>
    <t>Link a '5_DETALLE_INGRESOS'!Row 31</t>
  </si>
  <si>
    <t>(-) COSTE DE VENTAS TOTAL (COGS)</t>
  </si>
  <si>
    <t>Link a '6_COSTES_COGS'!Row 10</t>
  </si>
  <si>
    <t>Link a '6_COSTES_COGS'!Row 11</t>
  </si>
  <si>
    <t>Link a '6_COSTES_COGS'!Row 12</t>
  </si>
  <si>
    <t>Link a '6_COSTES_COGS'!Row 13</t>
  </si>
  <si>
    <t>Link a '6_COSTES_COGS'!Row 14</t>
  </si>
  <si>
    <t>(=) MARGEN BRUTO CONSOLIDADO</t>
  </si>
  <si>
    <t>Ingresos - COGS</t>
  </si>
  <si>
    <t>Margen Bruto (%)</t>
  </si>
  <si>
    <t>Margen Bruto / Ingresos</t>
  </si>
  <si>
    <t>(-) GASTOS DE EXPLOTACIÓN (OPEX RECURRENTES)</t>
  </si>
  <si>
    <t>'8_COSTES_OPEX'!Total</t>
  </si>
  <si>
    <t>Link a '8_COSTES_OPEX'!Row 10</t>
  </si>
  <si>
    <t>Link a '8_COSTES_OPEX'!Row 11</t>
  </si>
  <si>
    <t>Licencias SaaS Oficina / CRM / Navigator</t>
  </si>
  <si>
    <t>Google/HubSpot/ChatGPT/n8n/Mixpanel/Navigator</t>
  </si>
  <si>
    <t>Link a '8_COSTES_OPEX'!Row 20</t>
  </si>
  <si>
    <t>SEO &amp; Contenidos EEAT (Fijos)</t>
  </si>
  <si>
    <t>Especialistas SEO y redactores fijos</t>
  </si>
  <si>
    <t>Adquisición Enlaces &amp; PR (Variables)</t>
  </si>
  <si>
    <t>Link a '8_COSTES_OPEX'!Row 25</t>
  </si>
  <si>
    <t>Comisiones Influencers &amp; Embajadores</t>
  </si>
  <si>
    <t>Link a '8_COSTES_OPEX'!Row 27 + Row 28</t>
  </si>
  <si>
    <t>CS B2B Director &amp; Automatización</t>
  </si>
  <si>
    <t>Link a '8_COSTES_OPEX'!Row 33 + Row 34</t>
  </si>
  <si>
    <t>Fondo de Contingencia IT &amp; Devoluciones</t>
  </si>
  <si>
    <t>Fondo contingencia 10% + devoluciones 5%</t>
  </si>
  <si>
    <t>Gastos de Marketing Físico y Ferias B2B</t>
  </si>
  <si>
    <t>Welcome Packs, IFEMA (M3), Congreso AVEPA (M10)</t>
  </si>
  <si>
    <t>Servicios de Asesoría y Banca</t>
  </si>
  <si>
    <t>Fiscal, legal, banca y viajes</t>
  </si>
  <si>
    <t>(=) EBITDA (Resultado antes de Amortización)</t>
  </si>
  <si>
    <t>Margen Bruto - OPEX</t>
  </si>
  <si>
    <t>EBITDA (%)</t>
  </si>
  <si>
    <t>EBITDA / Ingresos</t>
  </si>
  <si>
    <t>(-) Amortización de Inmovilizado</t>
  </si>
  <si>
    <t>'8_COSTES_OPEX'!Amortización (CAPEX)</t>
  </si>
  <si>
    <t>(=) EBIT / RESULTADO OPERATIVO</t>
  </si>
  <si>
    <t>EBITDA - Amortización</t>
  </si>
  <si>
    <t>(-) Gastos Financieros (Intereses Activos)</t>
  </si>
  <si>
    <t>'13_CAP_TABLE_FINANCIACION'!Intereses</t>
  </si>
  <si>
    <t>(=) RESULTADO ANTES DE IMPUESTOS (EBT)</t>
  </si>
  <si>
    <t>EBIT - Intereses</t>
  </si>
  <si>
    <t>(-) Impuesto sobre Sociedades (21%)</t>
  </si>
  <si>
    <t>SI(EBT&gt;0, EBT*21%, 0)</t>
  </si>
  <si>
    <t>(=) BENEFICIO / (PÉRDIDA) NETO</t>
  </si>
  <si>
    <t>EBT - Impuestos</t>
  </si>
  <si>
    <t>GUÍA DE CUENTA DE PÉRDIDAS Y GANANCIAS (P&amp;L)</t>
  </si>
  <si>
    <t>1. DESGLOSE DEL EBITDA Y RESULTADO OPERATIVO:
   - P&amp;L mensualizado que consolida todos los ingresos y deduce los COGS (Margen Bruto) y OPEX/RRHH (EBITDA).
   - EBITDA Año 1 (Equilibrio): Neutro con un ligero ajuste temporal (-24.232,99 €) debido al timing de contratación.
2. CONVERGENCIA HACIA EL BREAK-EVEN:
   - El break-even operativo (EBITDA positivo) se alcanza en el Año 2, escalando a **1.367.473 € de EBITDA en Año 3**.</t>
  </si>
  <si>
    <t>BALANCE CONSOLIDADO DE FUENTES Y APLICACIONES DE FONDOS</t>
  </si>
  <si>
    <t>1. FUENTES DE FONDOS (SOURCES OF FUNDS)</t>
  </si>
  <si>
    <t>Concepto / Categoría</t>
  </si>
  <si>
    <t>Año 1 (M1-M12)</t>
  </si>
  <si>
    <t>Año 2 (M13-M24)</t>
  </si>
  <si>
    <t>Año 3 (M25-M36)</t>
  </si>
  <si>
    <t>Acumulado 3 Años</t>
  </si>
  <si>
    <t>Origen del Dato / Explicación Académica</t>
  </si>
  <si>
    <t>Impacto Estratégico (Compañía CUDI)</t>
  </si>
  <si>
    <t>Suscripciones Premium Care (SaaS)</t>
  </si>
  <si>
    <t>Suma de ingresos de suscripción mensual (link a '10_PL_PERDIDAS_GANANCIAS'!D11:AM11).</t>
  </si>
  <si>
    <t>Representa el flujo recurrente principal del modelo SaaS, clave para la valoración del negocio.</t>
  </si>
  <si>
    <t>Seguro CUDI Shield Basic (Comisiones)</t>
  </si>
  <si>
    <t>Suma de comisiones de seguros CUDI Shield (link a '10_PL_PERDIDAS_GANANCIAS'!D12:AM12).</t>
  </si>
  <si>
    <t>Línea de ingresos complementaria de alta rentabilidad sin costes de desarrollo.</t>
  </si>
  <si>
    <t>Suma de ingresos por collares GPS (link a '10_PL_PERDIDAS_GANANCIAS'!D13:AM13).</t>
  </si>
  <si>
    <t>Vía de entrada de clientes (captación física) que impulsa la retención y telemetría.</t>
  </si>
  <si>
    <t>Suma de visitas veterinarias a domicilio (link a '10_PL_PERDIDAS_GANANCIAS'!D14:AM14).</t>
  </si>
  <si>
    <t>Servicio Premium de alta fidelización y margen operativo para la red veterinaria.</t>
  </si>
  <si>
    <t>Comisiones Marketplace (Paseadores/Estética)</t>
  </si>
  <si>
    <t>Suma de take-rate de paseadores y peluquerías (link a '10_PL_PERDIDAS_GANANCIAS'!D15:AM15).</t>
  </si>
  <si>
    <t>Monetización de ecosistema bilateral, de bajo coste y alta escalabilidad.</t>
  </si>
  <si>
    <t>Ingresos B2B, Publicidad y Afiliación E-commerce</t>
  </si>
  <si>
    <t>SaaS B2B Clínicas y Profesionales, Ads y afiliación (link a '10_PL_PERDIDAS_GANANCIAS'!D16:AM16).</t>
  </si>
  <si>
    <t>Monetización corporativa y publicitaria del ecosistema integrado.</t>
  </si>
  <si>
    <t>(+) TOTAL INGRESOS OPERATIVOS</t>
  </si>
  <si>
    <t>Suma de todos los ingresos operativos del período.</t>
  </si>
  <si>
    <t>Refleja la facturación de la compañía antes de financiación externa.</t>
  </si>
  <si>
    <t>Aportación de Capital (Socios/Inversores)</t>
  </si>
  <si>
    <t>Suma de capital de socios, BA y Venture Capital ('9_FLUJO_CAJA'!D32:AM32).</t>
  </si>
  <si>
    <t>Capital social no exigible. Sustenta el cash runway en fases de desarrollo.</t>
  </si>
  <si>
    <t>Deuda / Financiación Recibida (ENISA/RBF)</t>
  </si>
  <si>
    <t>Préstamo ENISA o financiación basada en ingresos RBF ('9_FLUJO_CAJA'!D33:AM33).</t>
  </si>
  <si>
    <t>Apalancamiento no dilutivo que permite acelerar la homologación sin ceder equity.</t>
  </si>
  <si>
    <t>(+) TOTAL FINANCIACIÓN EXTERNA</t>
  </si>
  <si>
    <t>Suma de capital aportado y deuda recibida en el período.</t>
  </si>
  <si>
    <t>Recursos financieros captados para cubrir el burn rate y acometer inversiones.</t>
  </si>
  <si>
    <t>TOTAL FUENTES DE FONDOS</t>
  </si>
  <si>
    <t>Total de caja entrante (Ingresos + Financiación) del período.</t>
  </si>
  <si>
    <t>Muestra la capacidad total de captación de recursos financieros de CUDI.</t>
  </si>
  <si>
    <t>2. APLICACIONES DE FONDOS (APPLICATIONS OF FUNDS)</t>
  </si>
  <si>
    <t>Servidores AWS &amp; API Cloud (IoT)</t>
  </si>
  <si>
    <t>Costes de hosting en la nube e IoT ('10_PL_PERDIDAS_GANANCIAS'!D18:AM18).</t>
  </si>
  <si>
    <t>Coste directo variable de escalabilidad técnica. Mantenimiento del gemelo digital.</t>
  </si>
  <si>
    <t>Comisiones Pasarela Stripe</t>
  </si>
  <si>
    <t>Comisiones de Stripe por cobros de suscripciones ('10_PL_PERDIDAS_GANANCIAS'!D19:AM19).</t>
  </si>
  <si>
    <t>Comisión financiera directa sobre facturación, optimizable a volumen.</t>
  </si>
  <si>
    <t>Licencias APIs IA (Claude + Gemini)</t>
  </si>
  <si>
    <t>SaaS de APIs de IA para el gemelo predictivo ('10_PL_PERDIDAS_GANANCIAS'!D20:AM20).</t>
  </si>
  <si>
    <t>Coste variable asociado a la inteligencia y consultas médicas de la app.</t>
  </si>
  <si>
    <t>Fabricación de Smart Collars</t>
  </si>
  <si>
    <t>Coste unitario de fabricación del collar GPS ('10_PL_PERDIDAS_GANANCIAS'!D21:AM21).</t>
  </si>
  <si>
    <t>Coste de hardware variable directo. Mayor salida de caja por producto vendido.</t>
  </si>
  <si>
    <t>Mensajería y Logística de Collars</t>
  </si>
  <si>
    <t>Costes logísticos y de entrega última milla ('10_PL_PERDIDAS_GANANCIAS'!D22:AM22).</t>
  </si>
  <si>
    <t>Coste variable para la entrega física del dispositivo a domicilio.</t>
  </si>
  <si>
    <t>(-) TOTAL COSTES DIRECTOS (COGS)</t>
  </si>
  <si>
    <t>Suma de todos los costes de ventas (COGS) del período.</t>
  </si>
  <si>
    <t>Mide la eficiencia en el margen bruto de entrega del servicio y hardware.</t>
  </si>
  <si>
    <t>Costes de Personal (Salarios + Carga SS)</t>
  </si>
  <si>
    <t>Nóminas brutas e impuestos de cotización ('10_PL_PERDIDAS_GANANCIAS'!D26:AM26).</t>
  </si>
  <si>
    <t>El activo principal de CUDI (fundadores RETA + contratados técnicos/CS).</t>
  </si>
  <si>
    <t>Alquiler de oficinas en Barcelona ('10_PL_PERDIDAS_GANANCIAS'!D27:AM27).</t>
  </si>
  <si>
    <t>Gasto de estructura fijo para el centro de operaciones del equipo.</t>
  </si>
  <si>
    <t>Licencias SaaS Oficina &amp; CRM (HubSpot, etc.)</t>
  </si>
  <si>
    <t>Workspace, HubSpot CRM, Semrush, Navigator, n8n ('10_PL_PERDIDAS_GANANCIAS'!D28:AM28).</t>
  </si>
  <si>
    <t>Herramientas esenciales para la productividad interna y automatización.</t>
  </si>
  <si>
    <t>Inversión Publicitaria (Performance Ads)</t>
  </si>
  <si>
    <t>Pauta publicitaria en Meta Ads y TikTok Ads ('10_PL_PERDIDAS_GANANCIAS'!D29:AM29).</t>
  </si>
  <si>
    <t>Presupuesto 'Always-on' de captación inbound (ver estrategia abajo).</t>
  </si>
  <si>
    <t>SEO Técnico &amp; Redacción de Contenidos EEAT</t>
  </si>
  <si>
    <t>Soporte de desarrollo SEO y redactores veterinarios ('10_PL_PERDIDAS_GANANCIAS'!D30:AM30).</t>
  </si>
  <si>
    <t>Generación de contenidos médicos para captación orgánica y autoridad.</t>
  </si>
  <si>
    <t>Linkbuilding &amp; Campañas PR</t>
  </si>
  <si>
    <t>Compra de enlaces externos y notas de prensa ('10_PL_PERDIDAS_GANANCIAS'!D31:AM31).</t>
  </si>
  <si>
    <t>Posicionamiento SEO off-page para aumentar la autoridad del dominio.</t>
  </si>
  <si>
    <t>Comisiones de Creadores/Influencers (CPA)</t>
  </si>
  <si>
    <t>Comisiones variables por ventas generadas ('10_PL_PERDIDAS_GANANCIAS'!D32:AM32).</t>
  </si>
  <si>
    <t>Adquisición de leads B2C a bajo coste mediante embajadores de marca.</t>
  </si>
  <si>
    <t>CS Director B2B &amp; Automatización CRM</t>
  </si>
  <si>
    <t>Especialista en flujos y CS para partners B2B ('10_PL_PERDIDAS_GANANCIAS'!D33:AM33).</t>
  </si>
  <si>
    <t>Fidelización de la red veterinaria e inbound marketing automatizado.</t>
  </si>
  <si>
    <t>Fondo Contingencia IT &amp; Reserva Devoluciones</t>
  </si>
  <si>
    <t>Fondo de seguridad IT (10%) y garantía collares (5%) ('10_PL_PERDIDAS_GANANCIAS'!D34:AM34).</t>
  </si>
  <si>
    <t>Reserva de tesorería para mitigar incidencias técnicas o devoluciones.</t>
  </si>
  <si>
    <t>Welcome Packs, Stands Modular (IFEMA/AVEPA)</t>
  </si>
  <si>
    <t>Welcome packs (M2), stand IFEMA (M3) y AVEPA (M10) ('10_PL_PERDIDAS_GANANCIAS'!D35:AM35).</t>
  </si>
  <si>
    <t>Marketing presencial clave para la expansión de la red de clínicas.</t>
  </si>
  <si>
    <t>Servicios Jurídicos, Asesoría &amp; Gastos Generales</t>
  </si>
  <si>
    <t>Asesores fiscales, legales, viajes y banca ('10_PL_PERDIDAS_GANANCIAS'!D36:AM36).</t>
  </si>
  <si>
    <t>Soporte legal, contable y tributario para el funcionamiento formal.</t>
  </si>
  <si>
    <t>(-) TOTAL GASTOS OPERATIVOS (OPEX)</t>
  </si>
  <si>
    <t>Suma de todos los gastos estructurales y comerciales del período.</t>
  </si>
  <si>
    <t>Mide la carga fija y comercial del modelo (apalancamiento operativo).</t>
  </si>
  <si>
    <t>Equipamiento Informático &amp; MacBooks</t>
  </si>
  <si>
    <t>MacBooks Pro de desarrollo técnico y comercial ('9_FLUJO_CAJA'!D10:AM10).</t>
  </si>
  <si>
    <t>Inversión inicial en hardware de oficina para el equipo.</t>
  </si>
  <si>
    <t>Desarrollo Software Plataforma/App CUDI</t>
  </si>
  <si>
    <t>Frontend, backend, UI e integración de API CUDI ('9_FLUJO_CAJA'!D11:AM11).</t>
  </si>
  <si>
    <t>CAPEX de desarrollo inmaterial, base de la propiedad intelectual.</t>
  </si>
  <si>
    <t>Setup CRM Inicial</t>
  </si>
  <si>
    <t>Costo de setup inicial de HubSpot CRM ('9_FLUJO_CAJA'!D12:AM12).</t>
  </si>
  <si>
    <t>Inversión inicial única para estructurar el pipeline de ventas.</t>
  </si>
  <si>
    <t>Privacidad, Certificaciones CE, Registro Patente</t>
  </si>
  <si>
    <t>Homologación Bluetooth/CE y adecuación legal RGPD ('9_FLUJO_CAJA'!D14:AM14).</t>
  </si>
  <si>
    <t>CAPEX regulatorio obligatorio para vender el collar inteligente en la UE.</t>
  </si>
  <si>
    <t>Fianza Oficinas Coworking (Reembolsable)</t>
  </si>
  <si>
    <t>Fianza de alquiler de la oficina en Aticco Coworking ('9_FLUJO_CAJA'!D31:AM31).</t>
  </si>
  <si>
    <t>Depósito retornable en balance (activo no corriente de tesorería).</t>
  </si>
  <si>
    <t>(-) TOTAL INVERSIONES (CAPEX)</t>
  </si>
  <si>
    <t>Suma de todas las inversiones en inmovilizado del período.</t>
  </si>
  <si>
    <t>Representa las salidas de caja para desarrollar activos de largo plazo.</t>
  </si>
  <si>
    <t>Pago de Intereses Activos (ENISA/RBF)</t>
  </si>
  <si>
    <t>Intereses de deudas financieras en el período ('9_FLUJO_CAJA'!D34:AM34).</t>
  </si>
  <si>
    <t>Costo del capital ajeno en la cuenta de pérdidas y ganancias (gastos financieros).</t>
  </si>
  <si>
    <t>Amortización de Deuda (Repagos Principal)</t>
  </si>
  <si>
    <t>Devolución de principal del préstamo ENISA o RBF ('9_FLUJO_CAJA'!D35:AM35).</t>
  </si>
  <si>
    <t>Salida de tesorería para reducción de pasivo exigible.</t>
  </si>
  <si>
    <t>Impuesto sobre Sociedades (21%)</t>
  </si>
  <si>
    <t>Tasa impositiva española para sociedades limitadas ('10_PL_PERDIDAS_GANANCIAS'!D43:AM43).</t>
  </si>
  <si>
    <t>Carga fiscal sobre beneficios contables netos del ejercicio.</t>
  </si>
  <si>
    <t>(-) TOTAL AMORTIZACIÓN &amp; COSTES FINANCIEROS</t>
  </si>
  <si>
    <t>Suma de gastos financieros, devolución de deudas e impuestos.</t>
  </si>
  <si>
    <t>Salidas no operativas asociadas a la estructura de financiación y fisco.</t>
  </si>
  <si>
    <t>TOTAL APLICACIONES DE FONDOS</t>
  </si>
  <si>
    <t>Suma total de salidas de caja del período (Directo+Opex+Capex+Deuda).</t>
  </si>
  <si>
    <t>Muestra la salida de caja consolidada anual de la empresa.</t>
  </si>
  <si>
    <t>3. CONCILIACIÓN DE TESORERÍA Y LIQUIDEZ (CASH CONCILIATION)</t>
  </si>
  <si>
    <t>Caja Inicial del Periodo</t>
  </si>
  <si>
    <t>Saldo en caja de la empresa al inicio del año.</t>
  </si>
  <si>
    <t>Punto de partida de tesorería del periodo.</t>
  </si>
  <si>
    <t>Flujo Neto de Caja (Total Fuentes - Total Aplicaciones)</t>
  </si>
  <si>
    <t>Diferencia neta entre las fuentes y las aplicaciones de fondos.</t>
  </si>
  <si>
    <t>Mide la acumulación o quema neta de caja anual.</t>
  </si>
  <si>
    <t>Caja Final del Periodo</t>
  </si>
  <si>
    <t>Saldo disponible en caja al cierre del periodo.</t>
  </si>
  <si>
    <t>Refleja la liquidez y solvencia final del ejercicio.</t>
  </si>
  <si>
    <t>Caja de Seguridad / Reserva Mínima</t>
  </si>
  <si>
    <t>Fondo de reserva establecido en el panel de control.</t>
  </si>
  <si>
    <t>Saldo mínimo requerido para cubrir contingencias operativas.</t>
  </si>
  <si>
    <t>Superávit / (Déficit) de Caja sobre Mínimo</t>
  </si>
  <si>
    <t>Caja final menos la caja de seguridad establecida.</t>
  </si>
  <si>
    <t>Muestra la caja libre y margen de seguridad disponible de la empresa.</t>
  </si>
  <si>
    <t>GUÍA DEL BALANCE DE SITUACIÓN CONSOLIDADO ANUAL</t>
  </si>
  <si>
    <t>1. ESTRUCTURA DE ACTIVOS, PASIVOS Y PATRIMONIO NETO:
   - Activo No Corriente: Refleja inversiones (CapEx) en desarrollo del Smart Collar y registro de patentes.
   - Activo Corriente: Muestra la tesorería (Caja) y las existencias (stock de seguridad de Smart Collars en OhMyBox).
2. EQUILIBRIO DE PATRIMONIO Y PASIVOS:
   - Préstamo ENISA: Se clasifica en Pasivo Corriente (porción de amortización del año) y Pasivo No Corriente (deuda a largo plazo).
   - Verificación de Cuadre: Fila 66 realiza una auditoría interna automatizada (Activo - Pasivo - Patrimonio = 0) en todos los años.</t>
  </si>
  <si>
    <t>COMPARATIVA DE ESCENARIOS A 3 AÑOS</t>
  </si>
  <si>
    <t>MATRIZ DE HIPÓTESIS CLAVE</t>
  </si>
  <si>
    <t>Métrica / Hipótesis</t>
  </si>
  <si>
    <t>Escenario Negativo</t>
  </si>
  <si>
    <t>Escenario Equilibrio (Break-even)</t>
  </si>
  <si>
    <t>Escenario Positivo</t>
  </si>
  <si>
    <t>Tasa de Conversión (Leads a Premium)</t>
  </si>
  <si>
    <t>Tasa de Cancelación Mensual (Churn)</t>
  </si>
  <si>
    <t>Tasa de Adhesión Seguro CUDI Shield</t>
  </si>
  <si>
    <t>PROYECCIONES FINANCIERAS COMPARADAS</t>
  </si>
  <si>
    <t>Escenario / Resultados Anuales</t>
  </si>
  <si>
    <t>Año 1</t>
  </si>
  <si>
    <t>Año 2</t>
  </si>
  <si>
    <t>Año 3</t>
  </si>
  <si>
    <t>Total Acumulado</t>
  </si>
  <si>
    <t>ESCENARIO NEGATIVO</t>
  </si>
  <si>
    <t>Ingresos Totales</t>
  </si>
  <si>
    <t>Costes Variables (COGS + Ads)</t>
  </si>
  <si>
    <t>Costes de Personal</t>
  </si>
  <si>
    <t>Costes Estructurales</t>
  </si>
  <si>
    <t>EBITDA Proyectado</t>
  </si>
  <si>
    <t>Caja Final</t>
  </si>
  <si>
    <t>N/A</t>
  </si>
  <si>
    <t>ESCENARIO EQUILIBRIO (BREAK-EVEN)</t>
  </si>
  <si>
    <t>ESCENARIO POSITIVO (OPTIMISTA)</t>
  </si>
  <si>
    <t>NOTAS EXPLICATIVAS Y DE CONTROL ESTRATÉGICO (JURADO TFM)</t>
  </si>
  <si>
    <t>PLAN DE APORTE DE SOCIOS Y ESCENARIOS DE APALANCAMIENTO</t>
  </si>
  <si>
    <t>SELECTOR DE ESCENARIO DE FINANCIACIÓN:</t>
  </si>
  <si>
    <t>(Sincronizado con '1_PANEL_CONTROL'!C4)</t>
  </si>
  <si>
    <t>1. RESUMEN DE LOS 3 ESCENARIOS DE APALANCAMIENTO</t>
  </si>
  <si>
    <t>Concepto de Financiación</t>
  </si>
  <si>
    <t>Escenario 1:
Bootstrap</t>
  </si>
  <si>
    <t>Escenario 2:
Híbrido</t>
  </si>
  <si>
    <t>Escenario 3:
VC &amp; Deuda</t>
  </si>
  <si>
    <t>Aporte de Socios Fundadores</t>
  </si>
  <si>
    <t>Inversores Privados / Angels</t>
  </si>
  <si>
    <t>Equity Crowdfunding / Socios</t>
  </si>
  <si>
    <t>Financiación Pública (ENISA)</t>
  </si>
  <si>
    <t>Revenue-Based Financing (RBF)</t>
  </si>
  <si>
    <t>TOTAL CAPITAL DISPONIBLE</t>
  </si>
  <si>
    <t>Caja Inicial Recomendada (Caja Mes 1):</t>
  </si>
  <si>
    <t>Desembolso Capital de Socios (M1):</t>
  </si>
  <si>
    <t>Desembolso Deuda Inicial (M1):</t>
  </si>
  <si>
    <t>PRÉSTAMO ENISA (ESCENARIO 2)</t>
  </si>
  <si>
    <t>ENISA Saldo Vivo Inicial</t>
  </si>
  <si>
    <t>ENISA Amortización Principal</t>
  </si>
  <si>
    <t>ENISA Saldo Vivo Final</t>
  </si>
  <si>
    <t>ENISA Intereses Mensuales (6.0%)</t>
  </si>
  <si>
    <t>RBF Saldo Vivo Inicial</t>
  </si>
  <si>
    <t>RBF Repago Mensual (5% Ventas)</t>
  </si>
  <si>
    <t>RBF Saldo Vivo Final</t>
  </si>
  <si>
    <t>RBF Amortización Principal (86.96%)</t>
  </si>
  <si>
    <t>RBF Repago Acumulado</t>
  </si>
  <si>
    <t>RBF Gasto Financiero Interés (13.04%)</t>
  </si>
  <si>
    <t>GASTOS FINANCIEROS ACTIVOS (P&amp;L)</t>
  </si>
  <si>
    <t>AMORTIZACIÓN DEUDA ACTIVA (CAJA)</t>
  </si>
  <si>
    <t>GASTOS FINANCIEROS ACTIVOS CONSOLIDADOS</t>
  </si>
  <si>
    <t>Intereses en fila 35</t>
  </si>
  <si>
    <t>AMORTIZACIÓN DEUDA CONSOLIDADA</t>
  </si>
  <si>
    <t>Principal en fila 36</t>
  </si>
  <si>
    <t>3. Estrategia de Financiación, Cap Table y Pacto de Socios</t>
  </si>
  <si>
    <t>Distribución Accionarial / Métrica</t>
  </si>
  <si>
    <t>Fundadores %</t>
  </si>
  <si>
    <t>Inversores Business Angels %</t>
  </si>
  <si>
    <t>Equity Crowdfunding %</t>
  </si>
  <si>
    <t>TOTAL ACCIONARIADO (CAP TABLE)</t>
  </si>
  <si>
    <t>Runway de Caja Medio Estimado (Meses)</t>
  </si>
  <si>
    <t>ESTRATEGIA DE FINANCIACIÓN Y CLÁUSULAS DEL PACTO DE SOCIOS</t>
  </si>
  <si>
    <t>1. VÍAS DE FINANCIACIÓN ESTRATÉGICAS:
   - Préstamo ENISA: Financiación pública no dilutiva para startups de base tecnológica, con amortización a 5 años (6,00% de interés medio y 12 meses de carencia). Exige coinversión de capital de los socios.
   - Revenue-Based Financing (RBF): Financiación ligada a ingresos (5% de ventas mensuales con cap de 1.15x) útil para stock del Smart Collar.
   - Venture Capital (VC) y Business Angels: Aporte de capital a cambio de equity para financiar la escala global del negocio.
   - Equity Crowdfunding: Canalización de la comunidad de dueños de mascotas para captar micro-inversiones sin diluciones masivas.
2. CLÁUSULAS DEL PACTO DE SOCIOS (JURÍDICO):
   - Cláusula de Recompra (Equity Buyback / Clawback): En el Escenario 2, los fundadores ceden temporalmente la mayoría accionaria (57,14% de la sociedad a los Business Angels a cambio de su inversión de 80.000 €). Se establece una opción de recompra preferente (Call Option) que permite a los fundadores recomprar un 27,14% de las acciones una vez devuelto el préstamo ENISA o logrando un retorno acumulado (ROI) de 1.5x para el inversor, retornando la mayoría accionarial (70,0% del total) y el control estratégico al equipo fundador de forma definitiva, dejando a los Business Angels con un 30,0% como socios minoritarios.
   - Cláusula Drag-Along (Derecho de Arrastre): Obliga a los socios minoritarios a vender sus acciones ante una oferta firme de adquisición total.
   - Cláusula Tag-Along (Derecho de Acompañamiento): Protege a los minoritarios permitiéndoles vender sus acciones si el equipo fundador liquida.
   - Cláusula de Vesting de Fundadores: Compromiso de permanencia de 4 años para los 4 fundadores, liberando su equity linealmente (para preservar caja en el Año 1, los salarios se fijan en 18.000 €/año, incrementándose en el Año 2 a 36.000 € para el CEO y 30.000 € para cofundadores, y en el Año 3 a 48.000 € y 40.000 € respectivamente).
   - Derecho de Adquisición Preferente: Ante la salida de un socio, los socios restantes tienen preferencia de compra a prorrata de su participación.</t>
  </si>
  <si>
    <t>GUÍA DE FINANCIACIÓN, CAP TABLE Y ESTRUCTURA ACCIONARIAL</t>
  </si>
  <si>
    <t>1. CAPITALIZACIÓN Y DILUCIÓN ACCIONARIAL:
   - Estructura híbrida en Equilibrio: 60.000 € (42.86% Fundadores) + 80.000 € (57.14% Business Angels).
   - Préstamo ENISA: Deuda subordinada no dilutiva de 75.000 € que financia el desarrollo sin restar equity a los socios.
2. PACTO DE SOCIOS Y CLÁUSULA DE RECOMPRA (CALL OPTION):
   - Se establece una opción de compra preferente sobre el 27.14% de participaciones de los Business Angels.
   - Al ejecutarse (tras devolver ENISA o pagar dividendos), los fundadores recuperan la mayoría del voto con el **70.00%** del equity.</t>
  </si>
  <si>
    <t>ANÁLISIS DE UNIT ECONOMICS Y RETORNO DE CLIENTE</t>
  </si>
  <si>
    <t>Métricas de Eficiencia, Coste de Adquisición (CAC) y Lifetime Value (LTV)</t>
  </si>
  <si>
    <t>1. COSTE DE ADQUISICIÓN DE CLIENTE (CAC)</t>
  </si>
  <si>
    <t>Métrica de Captación</t>
  </si>
  <si>
    <t>Valor</t>
  </si>
  <si>
    <t>Fórmula / Origen de Datos</t>
  </si>
  <si>
    <t>Inversin Marketing Total (Ao 1)</t>
  </si>
  <si>
    <t>Suma del presupuesto de las 5 fases de marketing</t>
  </si>
  <si>
    <t>Inversin Publicidad &amp; Paid Ads (Ao 1)</t>
  </si>
  <si>
    <t>Suma de Paid Social, Influencers, SEM y Retargeting (Fases 2 a 5)</t>
  </si>
  <si>
    <t>Inversin SEO &amp; Contenidos (Ao 1)</t>
  </si>
  <si>
    <t>Fase 1 SEO tcnico y optimizacin GEO (Fijo)</t>
  </si>
  <si>
    <t>Clientes Premium Nuevos Totales</t>
  </si>
  <si>
    <t>Clientes</t>
  </si>
  <si>
    <t>Total altas Premium Care en el Año 1 (Orgánico + Paid)</t>
  </si>
  <si>
    <t>Clientes Premium Nuevos de Pago (Paid)</t>
  </si>
  <si>
    <t>Total altas premium provenientes de leads de pauta</t>
  </si>
  <si>
    <t>CAC Blended (Año 1 Medio)</t>
  </si>
  <si>
    <t>EUR/Cli</t>
  </si>
  <si>
    <t>Inversión Marketing Total / Clientes Nuevos Totales</t>
  </si>
  <si>
    <t>CAC Paid (Año 1 Medio)</t>
  </si>
  <si>
    <t>Inversión Publicidad Paid / Clientes Nuevos de Pago</t>
  </si>
  <si>
    <t>2. VALOR DE VIDA DEL CLIENTE (LIFETIME VALUE - LTV)</t>
  </si>
  <si>
    <t>Precio Premium Care (B2C SaaS)</t>
  </si>
  <si>
    <t>EUR/mes</t>
  </si>
  <si>
    <t>Tarifa base de suscripción Premium Care</t>
  </si>
  <si>
    <t>ARPU Conversigo Prepago Neto</t>
  </si>
  <si>
    <t>ARPU medio ajustado por descuento del 15% a prepago</t>
  </si>
  <si>
    <t>ARPU Conversido Total Neto</t>
  </si>
  <si>
    <t>Ingresos recurrentes totales (SaaS + Seguro + Vet + Market + Ads) / Clientes Activos</t>
  </si>
  <si>
    <t>Porcentaje</t>
  </si>
  <si>
    <t>Porcentaje promedio de bajas mensuales (Tasa de Churn)</t>
  </si>
  <si>
    <t>Vida Media de Cliente (Lifetime - LT)</t>
  </si>
  <si>
    <t>Meses</t>
  </si>
  <si>
    <t>Fórmula actuarial de retención: LT = 1 / Churn</t>
  </si>
  <si>
    <t>LTV B2C Suscripción (SaaS Only)</t>
  </si>
  <si>
    <t>Ingreso por suscripción generado por cliente en su vida útil</t>
  </si>
  <si>
    <t>LTV Total Consolidado (B2C + B2B)</t>
  </si>
  <si>
    <t>Facturación total generada por cliente en su vida útil</t>
  </si>
  <si>
    <t>3. EFICIENCIA Y PERIODO DE RENTABILIZACIÓN (PAYBACK)</t>
  </si>
  <si>
    <t>Coste Fijo de Ventas por Usuario (AWS+IA)</t>
  </si>
  <si>
    <t>AWS (0,60 €) + APIs Gemini/Claude (0,37 €)</t>
  </si>
  <si>
    <t>Margen de Contribución Recurrente Total</t>
  </si>
  <si>
    <t>ARPU Total - Coste Servidores - Comisión Stripe (2.5% de suscripción)</t>
  </si>
  <si>
    <t>Margen de Contribución Suscripción (SaaS)</t>
  </si>
  <si>
    <t>ARPU SaaS - Coste Servidores - Comisión Stripe (2.5% de suscripción)</t>
  </si>
  <si>
    <t>Payback Period Blended (Caja Total)</t>
  </si>
  <si>
    <t>CAC Blended / Margen de Contribución Recurrente Total</t>
  </si>
  <si>
    <t>Payback Period Blended (SaaS Only)</t>
  </si>
  <si>
    <t>CAC Blended / Margen de Contribución Suscripción (SaaS)</t>
  </si>
  <si>
    <t>Payback Period Paid (Caja Total)</t>
  </si>
  <si>
    <t>CAC Paid / Margen de Contribución Recurrente Total</t>
  </si>
  <si>
    <t>Payback Period Paid (SaaS Only)</t>
  </si>
  <si>
    <t>CAC Paid / Margen de Contribución Suscripción (SaaS)</t>
  </si>
  <si>
    <t>Ratio LTV / CAC (Blended)</t>
  </si>
  <si>
    <t>Ratio</t>
  </si>
  <si>
    <t>Gold Standard de SaaS: &gt; 3.0x (indica alta rentabilidad)</t>
  </si>
  <si>
    <t>Ratio LTV / CAC (Paid)</t>
  </si>
  <si>
    <t>Rentabilidad de clientes provenientes exclusivamente de ads</t>
  </si>
  <si>
    <t>NOTAS DE INTERPRETACIÓN ESTRATÉGICA (JURADO TFM)</t>
  </si>
  <si>
    <t>4. TABLAS DE PAYBACK INDIVIDUAL DETALLADAS (POR 1 CLIENTE)</t>
  </si>
  <si>
    <t>4.1. COHORT DE CLIENTE MEDIO (ADQUISICIN BLENDED - SEO + ADS)</t>
  </si>
  <si>
    <t>Mes</t>
  </si>
  <si>
    <t>Desembolso CAC</t>
  </si>
  <si>
    <t>Margen SaaS</t>
  </si>
  <si>
    <t>Caja SaaS Acum.</t>
  </si>
  <si>
    <t>Margen Consolidado</t>
  </si>
  <si>
    <t>Caja Cons. Acum.</t>
  </si>
  <si>
    <t>SaaS Rentable?</t>
  </si>
  <si>
    <t>Caja Total Rentable?</t>
  </si>
  <si>
    <t>No</t>
  </si>
  <si>
    <t>4.2. COHORT DE CLIENTE DE PAGO ADs (ADQUISICIN DE PAGO - PAID ADS)</t>
  </si>
  <si>
    <t>GUÍA DE UNIT ECONOMICS (EFICIENCIA UNITARIA DEL CLIENTE)</t>
  </si>
  <si>
    <t>1. RENTABILIDAD DEL CLIENTE (LTV / CAC):
   - CAC Blended (Año 1): **82,92 €** (incluye pauta publicitaria, branding, comisiones de venta y marketing local).
   - LTV Consolidado (3 Años): **622,60 €** (incluye la suscripción SaaS recurrente y la monetización cruzada de las 10 líneas).
   - Ratio LTV/CAC Blended: **7.5x** en Equilibrio (muy por encima del estándar del 3.0x de la industria tecnológica).
2. RECUPERACIÓN DE LA INVERSIÓN (PAYBACK):
   - Periodo de Payback Blended: **1.1 meses**, gracias al margen bruto generado por la venta del hardware Smart Collar en el Día 1.</t>
  </si>
  <si>
    <t>CUADRO DE MANDO FINANCIERO Y CONTROL DE KPIs CUDI</t>
  </si>
  <si>
    <t>Escenario Activo Seleccionado:</t>
  </si>
  <si>
    <t>Mes de Consulta Selector:</t>
  </si>
  <si>
    <t>CLIENTES ACTIVOS PREMIUM</t>
  </si>
  <si>
    <t>INGRESOS TOTALES</t>
  </si>
  <si>
    <t>EBITDA DEL MES</t>
  </si>
  <si>
    <t>CAJA DISPONIBLE</t>
  </si>
  <si>
    <t>Suscriptores Activos (Mes)</t>
  </si>
  <si>
    <t>Facturación Consolidada</t>
  </si>
  <si>
    <t>Resultado Operativo Bruto</t>
  </si>
  <si>
    <t>Efectivo Líquido Acumulado</t>
  </si>
  <si>
    <t>1. INDICADORES OPERATIVOS Y DE DEMANDA (MENSUAL)</t>
  </si>
  <si>
    <t>Métrica de Control</t>
  </si>
  <si>
    <t>Explicación Técnica y Utilidad para el Jurado</t>
  </si>
  <si>
    <t>Visitas</t>
  </si>
  <si>
    <t>Volumen de visitas orgánicas mensuales atraídas por la estrategia SEO (Fase 1).</t>
  </si>
  <si>
    <t>Leads de Pago Acquiridos</t>
  </si>
  <si>
    <t>Leads</t>
  </si>
  <si>
    <t>Leads calificados obtenidos mediante pauta publicitaria en Meta/TikTok Ads (Fases 2 y 4).</t>
  </si>
  <si>
    <t>Nuevos Clientes Totales (Mes)</t>
  </si>
  <si>
    <t>Suma de altas mensuales orgánicas e impulsadas por pauta de pago (Smart Collars vendidos).</t>
  </si>
  <si>
    <t>Suscrip.</t>
  </si>
  <si>
    <t>Base total acumulada de suscriptores Premium activos que pagan 30 €/mes en este mes.</t>
  </si>
  <si>
    <t>Clientes Activos Seguro Shield</t>
  </si>
  <si>
    <t>Seguros</t>
  </si>
  <si>
    <t>Usuarios con póliza de gastos veterinarios activa CUDI Shield (Attachment rate del 30% en BE).</t>
  </si>
  <si>
    <t>Smart Collars Vendidos (Mes)</t>
  </si>
  <si>
    <t>Collars</t>
  </si>
  <si>
    <t>Venta mensual de hardware inteligente para telemetría y geolocalización.</t>
  </si>
  <si>
    <t>Servicios</t>
  </si>
  <si>
    <t>Consultas veterinarias a domicilio realizadas por la red de profesionales (75 €/visita).</t>
  </si>
  <si>
    <t>Ventas</t>
  </si>
  <si>
    <t>Compras de alimentos y accesorios en la tienda (comisión del 15% para CUDI).</t>
  </si>
  <si>
    <t>2. ESTADO DE RESULTADOS CONSOLIDADO (P&amp;L DEL MES)</t>
  </si>
  <si>
    <t>Ingresos Consolidados Totales</t>
  </si>
  <si>
    <t>Facturación agregada mensual (Suscripciones, seguros, visitas, marketplace y B2B).</t>
  </si>
  <si>
    <t>Costes de fabricación de hardware, Stripe, fletes, aranceles e inversión de pauta Ads.</t>
  </si>
  <si>
    <t>Margen Bruto (EUR)</t>
  </si>
  <si>
    <t>Resultado del mes descontando los costes directos asociados a las ventas.</t>
  </si>
  <si>
    <t>Porcentaje de ingresos que queda tras cubrir costes directos (Salud industrial de la startup).</t>
  </si>
  <si>
    <t>Gastos de Estructura (OPEX)</t>
  </si>
  <si>
    <t>Gastos estructurales recurrentes (Sueldos del personal, coworking y herramientas SaaS).</t>
  </si>
  <si>
    <t>EBITDA Mensual (EUR)</t>
  </si>
  <si>
    <t>Resultado operativo bruto antes de intereses, amortizaciones e impuestos.</t>
  </si>
  <si>
    <t>Margen de EBITDA del mes sobre ingresos. Mide la rentabilidad operativa mensual.</t>
  </si>
  <si>
    <t>Beneficio / (Pérdida) Neto</t>
  </si>
  <si>
    <t>Resultado final neto del ejercicio del mes tras intereses, amortizaciones e impuestos.</t>
  </si>
  <si>
    <t>3. ESTADO DE TESORERÍA, CAJA Y RUNWAY</t>
  </si>
  <si>
    <t>Flujo Neto de Caja (Net Cash Flow)</t>
  </si>
  <si>
    <t>Variación neta de tesorería mensual (Entradas de fondos menos salidas).</t>
  </si>
  <si>
    <t>Caja Disponible Acumulada</t>
  </si>
  <si>
    <t>Efectivo líquido total acumulado en las cuentas al cierre del mes consultado.</t>
  </si>
  <si>
    <t>Reserva Mínima de Seguridad</t>
  </si>
  <si>
    <t>Caja mínima establecida en Panel para mantener la solvencia técnica operativa.</t>
  </si>
  <si>
    <t>Meses de Runway Estimados</t>
  </si>
  <si>
    <t>Tiempo teórico de supervivencia antes de agotar la caja con la tasa actual de quema (burn).</t>
  </si>
  <si>
    <t>4. INDICADORES DE EFICIENCIA COMERCIAL (UNIT ECONOMICS)</t>
  </si>
  <si>
    <t>Costo promedio global para captar un nuevo cliente (SEO + Paid Ads).</t>
  </si>
  <si>
    <t>Costo específico de captación publicitaria para clientes de pauta pagada.</t>
  </si>
  <si>
    <t>LTV SaaS Only (Solo Suscripción)</t>
  </si>
  <si>
    <t>Ingreso recurrente de la mensualidad Premium estimado a lo largo de su vida útil.</t>
  </si>
  <si>
    <t>LTV Consolidado (Multicorriente)</t>
  </si>
  <si>
    <t>Facturación total generada por cliente durante su vida útil (10 fuentes).</t>
  </si>
  <si>
    <t>Índice de rentabilidad global del cliente (Gold Standard &gt; 3.0x).</t>
  </si>
  <si>
    <t>Índice de rentabilidad para clientes captados de Meta/TikTok Ads.</t>
  </si>
  <si>
    <t>Tiempo requerido para amortizar el CAC Blended a base de la suscripción pura.</t>
  </si>
  <si>
    <t>Tiempo necesario para recuperar el CAC de pago con la caja consolidada total.</t>
  </si>
  <si>
    <t>5. RETORNO DE LA INVERSIÓN (ROI) Y RENTABILIDAD ACUMULADA</t>
  </si>
  <si>
    <t>Inversión Inicial Requerida (Año 1)</t>
  </si>
  <si>
    <t>EBITDA Acumulado (3 Años)</t>
  </si>
  <si>
    <t>Suma del resultado bruto operativo proyectado en los primeros 36 meses del escenario.</t>
  </si>
  <si>
    <t>Retorno de la Inversión (ROI)</t>
  </si>
  <si>
    <t>Retorno de inversión acumulado a 3 años (EBITDA acumulado / Inversión Inicial).</t>
  </si>
  <si>
    <t>Periodo de Recuperación (Payback)</t>
  </si>
  <si>
    <t>Tiempo requerido para amortizar el costo de adquisición blended de clientes (SaaS).</t>
  </si>
  <si>
    <t>Margen EBITDA Medio (3 Años)</t>
  </si>
  <si>
    <t>Margen operativo bruto porcentual promedio durante los primeros 36 meses.</t>
  </si>
  <si>
    <t>Punto de Equilibrio (Break-Even)</t>
  </si>
  <si>
    <t>Hito</t>
  </si>
  <si>
    <t>Momento proyectado en que el EBITDA operativo mensual se consolida de forma positiva.</t>
  </si>
  <si>
    <t>6. DATOS DE SOPORTE: EVOLUCIÓN MENSUAL (3 AÑOS)</t>
  </si>
  <si>
    <t>Ingresos Mensuales</t>
  </si>
  <si>
    <t>Costes Totales (COGS + OPEX)</t>
  </si>
  <si>
    <t>GUÍA DEL DASHBOARD INTERACTIVO Y KPIs CLAVE</t>
  </si>
  <si>
    <t>1. VISUALIZACIÓN DE MÉTRICAS OPERATIVAS AL MES 12 (DICIEMBRE 2026):
   - Clientes Activos Premium (670), Caja Disponible Acumulada (185.648,46 €) y EBITDA Mensual (EBITDA positivo en mes 12).
   - Muestra las métricas de tráfico web (visitas orgánicas y de pago) que alimentan la base de suscriptores del modelo.
2. LÓGICA DE ACTUALIZACIÓN DINÁMICA:
   - Los KPIs se actualizan automáticamente al cambiar el escenario en la pestaña '1_PANEL_CONTROL', facilitando la auditoría.</t>
  </si>
  <si>
    <t>PLAN DE CONTROL Y FRAMEWORK DE KPIs</t>
  </si>
  <si>
    <t>1. FRAMEWORK DE KPIs AUTOMATIZADOS (OBJETIVOS VS REALES)</t>
  </si>
  <si>
    <t>Área</t>
  </si>
  <si>
    <t>KPI Clave</t>
  </si>
  <si>
    <t>Definición y Métrica (Qué Mide)</t>
  </si>
  <si>
    <t>Objetivo / Target</t>
  </si>
  <si>
    <t>Valor Real (Editable)</t>
  </si>
  <si>
    <t>Estado</t>
  </si>
  <si>
    <t>Desviación %</t>
  </si>
  <si>
    <t>Herramienta de Control</t>
  </si>
  <si>
    <t>Frecuencia</t>
  </si>
  <si>
    <t>Financiera</t>
  </si>
  <si>
    <t>Clientes Activos Premium Care (Mes 12)</t>
  </si>
  <si>
    <t>Número total de suscripciones premium de pago activas en el mes 12 (meta de viabilidad de 670).</t>
  </si>
  <si>
    <t>HubSpot &amp; Stripe Billing</t>
  </si>
  <si>
    <t>Mensual</t>
  </si>
  <si>
    <t>Ingresos Consolidados Totales (Año 1)</t>
  </si>
  <si>
    <t>Suma de facturación de todas las líneas (SaaS, Seguros, Hardware, Market, Datos y Ads).</t>
  </si>
  <si>
    <t>Stripe &amp; Holded</t>
  </si>
  <si>
    <t>EBITDA Proyectado (Año 1)</t>
  </si>
  <si>
    <t>Resultado antes de intereses, impuestos, depreciaciones y amortizaciones. Medida de salud operativa.</t>
  </si>
  <si>
    <t>P&amp;L Contable</t>
  </si>
  <si>
    <t>Clientes Activos Shield Seguro (Mes 12)</t>
  </si>
  <si>
    <t>Suscripciones activas de la póliza co-distribuida Shield en el mes 12 (adhesión meta).</t>
  </si>
  <si>
    <t>Insurtech Partner Console</t>
  </si>
  <si>
    <t>Operaciones</t>
  </si>
  <si>
    <t>Smart Collars Vendidos (Año 1)</t>
  </si>
  <si>
    <t>Unidades acumuladas del collar inteligente GPS CUDI vendidas a clientes premium en el año.</t>
  </si>
  <si>
    <t>IoT Backend Console</t>
  </si>
  <si>
    <t>Visitas Veterinarias VetHome (Año 1)</t>
  </si>
  <si>
    <t>Número acumulado de visitas veterinarias a domicilio concertadas en el primer año fiscal.</t>
  </si>
  <si>
    <t>VetHome CUDI Booking Portal</t>
  </si>
  <si>
    <t>Transacciones Marketplace (Año 1)</t>
  </si>
  <si>
    <t>Transacciones anuales en el marketplace (paseadores, estética canina y tienda).</t>
  </si>
  <si>
    <t>Marketplace Partner Console</t>
  </si>
  <si>
    <t>Marketing</t>
  </si>
  <si>
    <t>CAC Paid (CPL de Pago) (Año 1 Medio)</t>
  </si>
  <si>
    <t>Costo promedio de captación de lead publicitario mediante pauta de pago (Meta/TikTok).</t>
  </si>
  <si>
    <t>Meta Ads Manager / TikTok</t>
  </si>
  <si>
    <t>Mensual / Semanal</t>
  </si>
  <si>
    <t>Tasa de Cancelación (Churn) (Año 1 Medio)</t>
  </si>
  <si>
    <t>Porcentaje promedio de bajas mensuales de usuarios en el plan de suscripción Premium Care.</t>
  </si>
  <si>
    <t>Mixpanel &amp; Stripe</t>
  </si>
  <si>
    <t>2. CADENCIA DE REVISIÓN Y RESPONSABLES DE CONTROL</t>
  </si>
  <si>
    <t>Reunión / Control</t>
  </si>
  <si>
    <t>Participantes</t>
  </si>
  <si>
    <t>Objetivo / Foco</t>
  </si>
  <si>
    <t>Comité Operativo Semanal</t>
  </si>
  <si>
    <t>CEO, COO, CTO, Mkt</t>
  </si>
  <si>
    <t>Revisión de leads, ROAS y sprints de desarrollo</t>
  </si>
  <si>
    <t>Semanal</t>
  </si>
  <si>
    <t>Revisión Mensual Financiera</t>
  </si>
  <si>
    <t>CEO, COO, Asesoría</t>
  </si>
  <si>
    <t>Desviaciones P&amp;L vs Presupuesto, Runway y Burn</t>
  </si>
  <si>
    <t>Consejo de Administración</t>
  </si>
  <si>
    <t>Fundadores, Inversores</t>
  </si>
  <si>
    <t>Aprobación de cuentas, estrategia B2B y KPIs</t>
  </si>
  <si>
    <t>Trimestral</t>
  </si>
  <si>
    <t>3. STACK DE HERRAMIENTAS Y DASHBOARDS CONCRETOS POR ÁREA</t>
  </si>
  <si>
    <t>Área de Control</t>
  </si>
  <si>
    <t>Herramienta Concreta</t>
  </si>
  <si>
    <t>Dashboard de Control</t>
  </si>
  <si>
    <t>Frecuencia de Uso</t>
  </si>
  <si>
    <t>Responsable Directo</t>
  </si>
  <si>
    <t>Dashboard de Tesorería, Caja y Runway mensual</t>
  </si>
  <si>
    <t>CEO / CFO</t>
  </si>
  <si>
    <t>Marketing B2C</t>
  </si>
  <si>
    <t>Funnel de Captación Ads, CPL y CAC del período</t>
  </si>
  <si>
    <t>CMO / Trafficker</t>
  </si>
  <si>
    <t>SEO y Contenidos</t>
  </si>
  <si>
    <t>Google Analytics 4 &amp; Semrush</t>
  </si>
  <si>
    <t>Dashboard de Tráfico Orgánico y Palabras Clave</t>
  </si>
  <si>
    <t>Especialista SEO</t>
  </si>
  <si>
    <t>Redes Sociales B2C</t>
  </si>
  <si>
    <t>Instagram Insights &amp; Linktree</t>
  </si>
  <si>
    <t>Dashboard de Engagement, Leads e Influencers</t>
  </si>
  <si>
    <t>Community Manager</t>
  </si>
  <si>
    <t>Operaciones / IoT</t>
  </si>
  <si>
    <t>AWS Cloudwatch &amp; IoT Console</t>
  </si>
  <si>
    <t>Consola de Dispositivos Activos, Telemetría y Alarmas</t>
  </si>
  <si>
    <t>Diario</t>
  </si>
  <si>
    <t>CTO / Devs</t>
  </si>
  <si>
    <t>4. CADENCIA COMPLETA DE REVISIONES ESTRATÉGICAS Y OPERATIVAS</t>
  </si>
  <si>
    <t>Reunión de Control</t>
  </si>
  <si>
    <t>Objetivo y Foco del Control</t>
  </si>
  <si>
    <t>Daily Standup</t>
  </si>
  <si>
    <t>Diaria</t>
  </si>
  <si>
    <t>Equipo Técnico y Operaciones</t>
  </si>
  <si>
    <t>Revisión rápida de incidencias técnicas en el collar GPS y app.</t>
  </si>
  <si>
    <t>Comité de Marketing</t>
  </si>
  <si>
    <t>CEO, CMO, Trafficker</t>
  </si>
  <si>
    <t>Auditoría de leads generados, coste por lead (CPL) y gasto publicitario.</t>
  </si>
  <si>
    <t>Comité de Dirección</t>
  </si>
  <si>
    <t>CEO, COO, CTO, CMO</t>
  </si>
  <si>
    <t>Evaluación de KPIs de tracción (usuarios activos, churn) y desarrollo de producto.</t>
  </si>
  <si>
    <t>Revisión Financiera</t>
  </si>
  <si>
    <t>CEO, Asesoría Contable</t>
  </si>
  <si>
    <t>Auditoría de P&amp;L, desviaciones de presupuesto, runway y burn rate de caja.</t>
  </si>
  <si>
    <t>Fundadores, Inversores, Consejeros</t>
  </si>
  <si>
    <t>Aprobación de estados financieros consolidados, estrategia B2B y Cap Table.</t>
  </si>
  <si>
    <t>Planificación Estratégica</t>
  </si>
  <si>
    <t>Anual</t>
  </si>
  <si>
    <t>Establecimiento de presupuesto anual, calibración de escenarios y visión a largo plazo.</t>
  </si>
  <si>
    <t>GUÍA DE CONTROL DE DESVIACIONES Y PRESUPUESTO</t>
  </si>
  <si>
    <t>1. MECANISMO DE CONTROL FINANCIERO:
   - Permite registrar el dato Real mensual y compararlo de forma automática con el Presupuestado del escenario activo.
   - Calcula desviaciones absolutas e interpreta el impacto estratégico (Desviación Favorable o Desfavorable).
2. REACCIÓN OPERATIVA Y GESTIÓN:
   - Foco del control: Desviaciones en el CAC o en el Churn Rate mensual, disparando alertas de contingencia para proteger la caja.</t>
  </si>
  <si>
    <t>DASHBOARD DE ANÁLISIS GRÁFICO FINANCIERO</t>
  </si>
  <si>
    <t>Resumen visual e indicadores gráficos para soporte de decisiones estratégicas de CUDI.</t>
  </si>
  <si>
    <t>1. RESUMEN DE COBROS Y CAJA DISPONIBLE (ESCENARIO ACTIVO)</t>
  </si>
  <si>
    <t>Métrica / Periodo</t>
  </si>
  <si>
    <t>Mes 1</t>
  </si>
  <si>
    <t>Mes 6</t>
  </si>
  <si>
    <t>Mes 12</t>
  </si>
  <si>
    <t>Mes 24</t>
  </si>
  <si>
    <t>Mes 36</t>
  </si>
  <si>
    <t>Mes 60</t>
  </si>
  <si>
    <t>Usuarios Premium Activos (#)</t>
  </si>
  <si>
    <t>Ingresos Totales Mensuales (EUR)</t>
  </si>
  <si>
    <t>EBITDA Proyectado (EUR)</t>
  </si>
  <si>
    <t>Beneficio /(Pérdida) Neto (EUR)</t>
  </si>
  <si>
    <t>Caja Disponible Final (EUR)</t>
  </si>
  <si>
    <t>2. EVOLUCIÓN COMPARTIDA DE SUSCRIPTORES PREMIUM (3 AÑOS)</t>
  </si>
  <si>
    <t>Mes / Escenario</t>
  </si>
  <si>
    <t>Negativo</t>
  </si>
  <si>
    <t>Equilibrio</t>
  </si>
  <si>
    <t>Positivo</t>
  </si>
  <si>
    <t>Mes 2</t>
  </si>
  <si>
    <t>Mes 3</t>
  </si>
  <si>
    <t>Mes 4</t>
  </si>
  <si>
    <t>Mes 5</t>
  </si>
  <si>
    <t>Mes 7</t>
  </si>
  <si>
    <t>Mes 8</t>
  </si>
  <si>
    <t>Mes 9</t>
  </si>
  <si>
    <t>Mes 10</t>
  </si>
  <si>
    <t>Mes 11</t>
  </si>
  <si>
    <t>Mes 13</t>
  </si>
  <si>
    <t>Mes 14</t>
  </si>
  <si>
    <t>Mes 15</t>
  </si>
  <si>
    <t>Mes 16</t>
  </si>
  <si>
    <t>Mes 17</t>
  </si>
  <si>
    <t>Mes 18</t>
  </si>
  <si>
    <t>Mes 19</t>
  </si>
  <si>
    <t>Mes 20</t>
  </si>
  <si>
    <t>Mes 21</t>
  </si>
  <si>
    <t>Mes 22</t>
  </si>
  <si>
    <t>Mes 23</t>
  </si>
  <si>
    <t>Mes 25</t>
  </si>
  <si>
    <t>Mes 26</t>
  </si>
  <si>
    <t>Mes 27</t>
  </si>
  <si>
    <t>Mes 28</t>
  </si>
  <si>
    <t>Mes 29</t>
  </si>
  <si>
    <t>Mes 30</t>
  </si>
  <si>
    <t>Mes 31</t>
  </si>
  <si>
    <t>Mes 32</t>
  </si>
  <si>
    <t>Mes 33</t>
  </si>
  <si>
    <t>Mes 34</t>
  </si>
  <si>
    <t>Mes 35</t>
  </si>
  <si>
    <t>3. COMPARATIVA DE EBITDA ACUMULADO POR AÑO (EUR)</t>
  </si>
  <si>
    <t>Año / Escenario</t>
  </si>
  <si>
    <t>4. COMPOSICIÓN DE LA CAP TABLE (DISTRIBUCIÓN DE SOCIOS)</t>
  </si>
  <si>
    <t>Socio / Escenario</t>
  </si>
  <si>
    <t>Bootstrap</t>
  </si>
  <si>
    <t>Híbrido</t>
  </si>
  <si>
    <t>VC &amp; Crowdfunding</t>
  </si>
  <si>
    <t>Venture Capital / Crowdfund %</t>
  </si>
  <si>
    <t>TOTAL CAP TABLE</t>
  </si>
  <si>
    <t>5. ESTRUCTURA DE INGRESOS (DIVERSIFICACIÓN AÑO 3 - ESCENARIO ACTIVO)</t>
  </si>
  <si>
    <t>Línea de Negocio / Categoría</t>
  </si>
  <si>
    <t>Facturación Año 3 (EUR)</t>
  </si>
  <si>
    <t>% Share</t>
  </si>
  <si>
    <t>Ingresos B2B, Publicidad y Afiliación</t>
  </si>
  <si>
    <t>TOTAL FACTURACIÓN AÑO 3</t>
  </si>
  <si>
    <t>6. DESGLOSE DE INGRESOS MENSUALES (ESCENARIO ACTIVO) - 3 AÑOS</t>
  </si>
  <si>
    <t>SaaS Premium</t>
  </si>
  <si>
    <t>CUDI Shield Basic</t>
  </si>
  <si>
    <t>Smart Collars GPS</t>
  </si>
  <si>
    <t>VetHome Express</t>
  </si>
  <si>
    <t>Marketplace B2C</t>
  </si>
  <si>
    <t>SaaS Clínicas B2B</t>
  </si>
  <si>
    <t>SaaS Pet-Services B2B</t>
  </si>
  <si>
    <t>Afiliación Ecom</t>
  </si>
  <si>
    <t>Publicidad In-App</t>
  </si>
  <si>
    <t>Patrocinios B2B</t>
  </si>
  <si>
    <t>MANUAL DE CONCEPTOS DE MONETIZACIÓN (10 FUENTES DE INGRESO)</t>
  </si>
  <si>
    <t>1. MONETIZACIÓN DIRECTA B2C (Canales Clave de Usuarios):
   - SaaS Premium Care (Fila 26): Suscripción recurrente base de 30,00 €/mes (o 25,50 € en pago anual) para servicios veterinarios avanzados e IA.
   - CUDI Shield Basic (Fila 27): Corretaje de pólizas de seguro Barkibu (18,00 €/mes con 30% de attachment rate; incluye comisiones por lead cerrado + recurrente).
   - Smart Collars GPS (Fila 28): Venta directa de hardware a 89,50 € (margen de +48 € sobre coste landed de fabricación/envío, cobrado en el Mes 1).
   - VetHome Express (Fila 29): Payout del 30% retenido por visitas veterinarias presenciales a domicilio agendadas en la app (ticket de 75,00 €).
   - Marketplace B2C (Fila 30): Take-rate del 15% cobrado a proveedores de servicios locales (paseos/estética) por reservas directas de la comunidad.
2. MONETIZACIÓN COLABORATIVA Y B2B (Estructura Auxiliar):
   - SaaS Clínicas B2B (Fila 31): Cuota mensual fija (80,00 €/mes) cobrada a clínicas para acceder al dashboard de interoperabilidad veterinaria.
   - SaaS Profesionales Petme (Fila 32): Cuota de 39,99 €/mes cobrada a cuidadores, educadores y peluqueros locales por anunciarse en la plataforma.
   - Afiliación E-commerce (Fila 33): Comisión (CPA) del 4.0% por compras redirigidas de alimentos/accesorios (Kiwoko/Zooplus, ticket medio de 55 €).
   - Publicidad In-App (Fila 34): Monetización publicitaria in-app en nivel Freemium (0.18 €/usuario/mes cobrado por CPM in-app a redes de publicidad).
   - Patrocinios B2B (Fila 35): Alianzas y patrocinios comerciales mensuales con grandes marcas de nutrición y laboratorios de salud animal.</t>
  </si>
  <si>
    <t>7. EVOLUCIÓN DE CAJA Y FLUJO NETO (ESCENARIO ACTIVO) - 3 AÑOS</t>
  </si>
  <si>
    <t>Net Cash Flow (Flujo Neto)</t>
  </si>
  <si>
    <t>GUÍA DE INTERPRETACIÓN DE GRÁFICOS FINANCIEROS Y DE NEGOCIO</t>
  </si>
  <si>
    <t>1. INTERPRETACIÓN DE LOS 6 GRÁFICOS ESTRATÉGICOS DEL MODELO:
   - **Gráfico 1: Evolución de Caja y Flujo Neto:** Visualiza la liquidez del proyecto y la curva de caja (punto mínimo y recuperación).
   - **Gráfico 2: Composición del Ingreso (Mes 12):** Desglose sectorial de la monetización (SaaS Premium Care vs. Hardware y otros).
   - **Gráfico 3: Estructura OPEX y Margen Bruto:** Relación entre el margen generado por las ventas y el gasto operativo mensual.
   - **Gráfico 4: Coste RRHH y Estructura Salarial:** Evolución mensual de los costes de nóminas, fundadores, RETA y contrataciones.
   - **Gráfico 5: Funnel y Adquisición de Clientes:** Crecimiento mensual de la base activa y la aportación de altas orgánicas vs. paid.
   - **Gráfico 6: EBITDA Mensual y Punto de Equilibrio:** Muestra gráficamente el mes exacto del break-even (EBITDA &gt;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</si>
</sst>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quot; €&quot;"/>
    <numFmt numFmtId="166" formatCode="#,##0.00&quot; €&quot;"/>
    <numFmt numFmtId="167" formatCode="0.0"/>
    <numFmt numFmtId="168" formatCode="\+0.0%;\-0.0%;0.0%"/>
  </numFmts>
  <fonts count="21">
    <font>
      <sz val="11"/>
      <color theme="1"/>
      <name val="Calibri"/>
      <family val="2"/>
      <scheme val="minor"/>
    </font>
    <font>
      <b/>
      <sz val="24"/>
      <color rgb="FF0284C7"/>
      <name val="Segoe UI"/>
    </font>
    <font>
      <i/>
      <sz val="11"/>
      <color rgb="FF4B5563"/>
      <name val="Segoe UI"/>
    </font>
    <font>
      <sz val="10"/>
      <name val="Segoe UI"/>
    </font>
    <font>
      <b/>
      <sz val="10"/>
      <name val="Segoe UI"/>
    </font>
    <font>
      <b/>
      <sz val="18"/>
      <color rgb="FF1E3A8A"/>
      <name val="Segoe UI"/>
    </font>
    <font>
      <b/>
      <sz val="10"/>
      <color rgb="FF059669"/>
      <name val="Segoe UI"/>
    </font>
    <font>
      <b/>
      <sz val="12"/>
      <color rgb="FFFFFFFF"/>
      <name val="Segoe UI"/>
    </font>
    <font>
      <b/>
      <sz val="16"/>
      <color rgb="FF1E3A8A"/>
      <name val="Segoe UI"/>
    </font>
    <font>
      <b/>
      <sz val="16"/>
      <color rgb="FF059669"/>
      <name val="Segoe UI"/>
    </font>
    <font>
      <b/>
      <sz val="14"/>
      <color rgb="FF1E3A8A"/>
      <name val="Segoe UI"/>
    </font>
    <font>
      <i/>
      <sz val="9"/>
      <color rgb="FF334155"/>
      <name val="Segoe UI"/>
    </font>
    <font>
      <b/>
      <sz val="9"/>
      <color rgb="FF475569"/>
      <name val="Segoe UI"/>
    </font>
    <font>
      <b/>
      <sz val="20"/>
      <color rgb="FF0F172A"/>
      <name val="Segoe UI"/>
    </font>
    <font>
      <sz val="9"/>
      <name val="Segoe UI"/>
    </font>
    <font>
      <b/>
      <sz val="14"/>
      <color rgb="FF059669"/>
      <name val="Segoe UI"/>
    </font>
    <font>
      <b/>
      <sz val="11"/>
      <color rgb="FF059669"/>
      <name val="Segoe UI"/>
    </font>
    <font>
      <b/>
      <sz val="14"/>
      <color rgb="FFDC2626"/>
      <name val="Segoe UI"/>
    </font>
    <font>
      <b/>
      <sz val="11"/>
      <color rgb="FF1E3A8A"/>
      <name val="Segoe UI"/>
    </font>
    <font>
      <b/>
      <sz val="10"/>
      <color rgb="FF1E3A8A"/>
      <name val="Segoe UI"/>
    </font>
    <font>
      <sz val="9"/>
      <color rgb="FF334155"/>
      <name val="Segoe UI"/>
    </font>
  </fonts>
  <fills count="13">
    <fill>
      <patternFill patternType="none"/>
    </fill>
    <fill>
      <patternFill patternType="gray125"/>
    </fill>
    <fill>
      <patternFill patternType="solid">
        <fgColor rgb="FFE0F2FE"/>
        <bgColor rgb="FFE0F2FE"/>
      </patternFill>
    </fill>
    <fill>
      <patternFill patternType="solid">
        <fgColor rgb="FFF1F5F9"/>
        <bgColor rgb="FFF1F5F9"/>
      </patternFill>
    </fill>
    <fill>
      <patternFill patternType="solid">
        <fgColor rgb="FFD1FAE5"/>
        <bgColor rgb="FFD1FAE5"/>
      </patternFill>
    </fill>
    <fill>
      <patternFill patternType="solid">
        <fgColor rgb="FFFEE2E2"/>
        <bgColor rgb="FFFEE2E2"/>
      </patternFill>
    </fill>
    <fill>
      <patternFill patternType="solid">
        <fgColor rgb="FFDBEAFE"/>
        <bgColor rgb="FFDBEAFE"/>
      </patternFill>
    </fill>
    <fill>
      <patternFill patternType="solid">
        <fgColor rgb="FF1E3A8A"/>
        <bgColor rgb="FF1E3A8A"/>
      </patternFill>
    </fill>
    <fill>
      <patternFill patternType="solid">
        <fgColor rgb="FF059669"/>
        <bgColor rgb="FF059669"/>
      </patternFill>
    </fill>
    <fill>
      <patternFill patternType="solid">
        <fgColor rgb="FFDC2626"/>
        <bgColor rgb="FFDC2626"/>
      </patternFill>
    </fill>
    <fill>
      <patternFill patternType="solid">
        <fgColor rgb="FFFEF3C7"/>
        <bgColor rgb="FFFEF3C7"/>
      </patternFill>
    </fill>
    <fill>
      <patternFill patternType="solid">
        <fgColor rgb="FFF8FAFC"/>
        <bgColor rgb="FFF8FAFC"/>
      </patternFill>
    </fill>
    <fill>
      <patternFill patternType="solid">
        <fgColor rgb="FFEFF6FF"/>
        <bgColor rgb="FFEFF6FF"/>
      </patternFill>
    </fill>
  </fills>
  <borders count="21">
    <border>
      <left/>
      <right/>
      <top/>
      <bottom/>
      <diagonal/>
    </border>
    <border>
      <left style="thin">
        <color rgb="FFCBD5E1"/>
      </left>
      <right style="thin">
        <color rgb="FFCBD5E1"/>
      </right>
      <top style="thin">
        <color rgb="FFCBD5E1"/>
      </top>
      <bottom style="thin">
        <color rgb="FFCBD5E1"/>
      </bottom>
      <diagonal/>
    </border>
    <border>
      <left/>
      <right/>
      <top/>
      <bottom style="medium">
        <color rgb="FF1E3A8A"/>
      </bottom>
      <diagonal/>
    </border>
    <border>
      <left/>
      <right/>
      <top style="thin">
        <color rgb="FFCBD5E1"/>
      </top>
      <bottom/>
      <diagonal/>
    </border>
    <border>
      <left/>
      <right style="thin">
        <color rgb="FFCBD5E1"/>
      </right>
      <top style="thin">
        <color rgb="FFCBD5E1"/>
      </top>
      <bottom/>
      <diagonal/>
    </border>
    <border>
      <left/>
      <right style="thin">
        <color rgb="FFCBD5E1"/>
      </right>
      <top style="thin">
        <color rgb="FFCBD5E1"/>
      </top>
      <bottom style="thin">
        <color rgb="FFCBD5E1"/>
      </bottom>
      <diagonal/>
    </border>
    <border>
      <left/>
      <right/>
      <top style="thin">
        <color rgb="FFCBD5E1"/>
      </top>
      <bottom style="thin">
        <color rgb="FFCBD5E1"/>
      </bottom>
      <diagonal/>
    </border>
    <border>
      <left/>
      <right/>
      <top style="thin">
        <color rgb="FF94A3B8"/>
      </top>
      <bottom style="double">
        <color rgb="FF1E3A8A"/>
      </bottom>
      <diagonal/>
    </border>
    <border>
      <left style="thin">
        <color rgb="FFCBD5E1"/>
      </left>
      <right/>
      <top/>
      <bottom/>
      <diagonal/>
    </border>
    <border>
      <left/>
      <right style="thin">
        <color rgb="FFCBD5E1"/>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CBD5E1"/>
      </left>
      <right style="thin">
        <color rgb="FFCBD5E1"/>
      </right>
      <top style="medium">
        <color rgb="FF1E3A8A"/>
      </top>
      <bottom style="thin">
        <color rgb="FFCBD5E1"/>
      </bottom>
      <diagonal/>
    </border>
    <border>
      <left/>
      <right/>
      <top style="medium">
        <color rgb="FF1E3A8A"/>
      </top>
      <bottom style="thin">
        <color rgb="FFCBD5E1"/>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top style="thin">
        <color rgb="FFCBD5E1"/>
      </top>
      <bottom style="double">
        <color rgb="FF1E3A8A"/>
      </bottom>
      <diagonal/>
    </border>
    <border>
      <left/>
      <right/>
      <top style="thin">
        <color rgb="FFCBD5E1"/>
      </top>
      <bottom style="double">
        <color rgb="FF1E3A8A"/>
      </bottom>
      <diagonal/>
    </border>
    <border>
      <left/>
      <right style="thin">
        <color rgb="FFCBD5E1"/>
      </right>
      <top style="thin">
        <color rgb="FFCBD5E1"/>
      </top>
      <bottom style="double">
        <color rgb="FF1E3A8A"/>
      </bottom>
      <diagonal/>
    </border>
  </borders>
  <cellStyleXfs count="1">
    <xf numFmtId="0" fontId="0" fillId="0" borderId="0"/>
  </cellStyleXfs>
  <cellXfs count="14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1" xfId="0" applyFont="1" applyBorder="1"/>
    <xf numFmtId="0" fontId="3" fillId="0" borderId="1" xfId="0" applyFont="1" applyBorder="1"/>
    <xf numFmtId="0" fontId="4" fillId="2" borderId="1" xfId="0" applyFont="1" applyFill="1" applyBorder="1"/>
    <xf numFmtId="0" fontId="4" fillId="3" borderId="1" xfId="0" applyFont="1" applyFill="1" applyBorder="1"/>
    <xf numFmtId="0" fontId="4" fillId="4" borderId="1" xfId="0" applyFont="1" applyFill="1" applyBorder="1"/>
    <xf numFmtId="0" fontId="4" fillId="5" borderId="1" xfId="0" applyFont="1" applyFill="1" applyBorder="1"/>
    <xf numFmtId="0" fontId="4" fillId="6" borderId="1" xfId="0" applyFont="1" applyFill="1" applyBorder="1"/>
    <xf numFmtId="0" fontId="5" fillId="0" borderId="0" xfId="0" applyFont="1"/>
    <xf numFmtId="0" fontId="4" fillId="2" borderId="1" xfId="0" applyFont="1" applyFill="1" applyBorder="1" applyAlignment="1">
      <alignment horizontal="center"/>
    </xf>
    <xf numFmtId="0" fontId="6" fillId="0" borderId="0" xfId="0" applyFont="1"/>
    <xf numFmtId="0" fontId="0" fillId="0" borderId="1" xfId="0" applyBorder="1"/>
    <xf numFmtId="164" fontId="3" fillId="2" borderId="1" xfId="0" applyNumberFormat="1" applyFont="1" applyFill="1" applyBorder="1"/>
    <xf numFmtId="0" fontId="2" fillId="0" borderId="1" xfId="0" applyFont="1" applyBorder="1"/>
    <xf numFmtId="165" fontId="3" fillId="2" borderId="1" xfId="0" applyNumberFormat="1" applyFont="1" applyFill="1" applyBorder="1"/>
    <xf numFmtId="3" fontId="3" fillId="2" borderId="1" xfId="0" applyNumberFormat="1" applyFont="1" applyFill="1" applyBorder="1"/>
    <xf numFmtId="165" fontId="4" fillId="3" borderId="1" xfId="0" applyNumberFormat="1" applyFont="1" applyFill="1" applyBorder="1"/>
    <xf numFmtId="164" fontId="3" fillId="3" borderId="1" xfId="0" applyNumberFormat="1" applyFont="1" applyFill="1" applyBorder="1"/>
    <xf numFmtId="0" fontId="8" fillId="0" borderId="0" xfId="0" applyFont="1"/>
    <xf numFmtId="0" fontId="12" fillId="0" borderId="0" xfId="0" applyFont="1" applyAlignment="1">
      <alignment horizontal="right" vertical="center"/>
    </xf>
    <xf numFmtId="0" fontId="19" fillId="6" borderId="1" xfId="0" applyFont="1" applyFill="1" applyBorder="1" applyAlignment="1">
      <alignment horizontal="center" vertical="center"/>
    </xf>
    <xf numFmtId="165" fontId="3" fillId="3" borderId="1" xfId="0" applyNumberFormat="1" applyFont="1" applyFill="1" applyBorder="1"/>
    <xf numFmtId="3" fontId="3" fillId="3" borderId="1" xfId="0" applyNumberFormat="1" applyFont="1" applyFill="1" applyBorder="1"/>
    <xf numFmtId="0" fontId="9" fillId="0" borderId="0" xfId="0" applyFont="1"/>
    <xf numFmtId="0" fontId="10" fillId="0" borderId="0" xfId="0" applyFont="1"/>
    <xf numFmtId="0" fontId="4" fillId="0" borderId="2" xfId="0" applyFont="1" applyBorder="1" applyAlignment="1">
      <alignment horizontal="center"/>
    </xf>
    <xf numFmtId="0" fontId="3" fillId="0" borderId="1" xfId="0" applyFont="1" applyBorder="1" applyAlignment="1">
      <alignment horizontal="center"/>
    </xf>
    <xf numFmtId="164" fontId="3" fillId="0" borderId="1" xfId="0" applyNumberFormat="1" applyFont="1" applyBorder="1"/>
    <xf numFmtId="3" fontId="3" fillId="0" borderId="1" xfId="0" applyNumberFormat="1" applyFont="1" applyBorder="1"/>
    <xf numFmtId="165" fontId="3" fillId="0" borderId="1" xfId="0" applyNumberFormat="1" applyFont="1" applyBorder="1"/>
    <xf numFmtId="164" fontId="4" fillId="0" borderId="1" xfId="0" applyNumberFormat="1" applyFont="1" applyBorder="1"/>
    <xf numFmtId="3" fontId="4" fillId="0" borderId="1" xfId="0" applyNumberFormat="1" applyFont="1" applyBorder="1"/>
    <xf numFmtId="165" fontId="4" fillId="0" borderId="1" xfId="0" applyNumberFormat="1" applyFont="1" applyBorder="1"/>
    <xf numFmtId="0" fontId="15" fillId="0" borderId="0" xfId="0" applyFont="1"/>
    <xf numFmtId="0" fontId="12" fillId="0" borderId="1" xfId="0" applyFont="1" applyBorder="1" applyAlignment="1">
      <alignment horizontal="left" vertical="center"/>
    </xf>
    <xf numFmtId="0" fontId="16" fillId="0" borderId="0" xfId="0" applyFont="1"/>
    <xf numFmtId="0" fontId="17" fillId="0" borderId="0" xfId="0" applyFont="1"/>
    <xf numFmtId="165" fontId="4" fillId="0" borderId="7" xfId="0" applyNumberFormat="1" applyFont="1" applyBorder="1"/>
    <xf numFmtId="164" fontId="4" fillId="3" borderId="1" xfId="0" applyNumberFormat="1" applyFont="1" applyFill="1" applyBorder="1"/>
    <xf numFmtId="3" fontId="4" fillId="3" borderId="1" xfId="0" applyNumberFormat="1" applyFont="1" applyFill="1" applyBorder="1" applyAlignment="1">
      <alignment horizontal="center"/>
    </xf>
    <xf numFmtId="165" fontId="2" fillId="0" borderId="1" xfId="0" applyNumberFormat="1" applyFont="1" applyBorder="1"/>
    <xf numFmtId="0" fontId="18" fillId="0" borderId="0" xfId="0" applyFont="1"/>
    <xf numFmtId="165" fontId="4" fillId="4" borderId="1" xfId="0" applyNumberFormat="1" applyFont="1" applyFill="1" applyBorder="1"/>
    <xf numFmtId="0" fontId="4" fillId="3" borderId="1" xfId="0" applyFont="1" applyFill="1" applyBorder="1" applyAlignment="1">
      <alignment horizontal="center" vertical="center" wrapText="1"/>
    </xf>
    <xf numFmtId="165" fontId="3" fillId="0" borderId="1" xfId="0" applyNumberFormat="1" applyFont="1" applyBorder="1" applyAlignment="1">
      <alignment horizontal="right"/>
    </xf>
    <xf numFmtId="0" fontId="2" fillId="0" borderId="1" xfId="0" applyFont="1" applyBorder="1" applyAlignment="1">
      <alignment wrapText="1"/>
    </xf>
    <xf numFmtId="0" fontId="4" fillId="0" borderId="7" xfId="0" applyFont="1" applyBorder="1"/>
    <xf numFmtId="0" fontId="3" fillId="0" borderId="7" xfId="0" applyFont="1" applyBorder="1" applyAlignment="1">
      <alignment horizontal="center"/>
    </xf>
    <xf numFmtId="165" fontId="4" fillId="3" borderId="7" xfId="0" applyNumberFormat="1" applyFont="1" applyFill="1" applyBorder="1" applyAlignment="1">
      <alignment horizontal="right"/>
    </xf>
    <xf numFmtId="0" fontId="2" fillId="0" borderId="7" xfId="0" applyFont="1" applyBorder="1" applyAlignment="1">
      <alignment wrapText="1"/>
    </xf>
    <xf numFmtId="165" fontId="4" fillId="6" borderId="7" xfId="0" applyNumberFormat="1" applyFont="1" applyFill="1" applyBorder="1" applyAlignment="1">
      <alignment horizontal="right"/>
    </xf>
    <xf numFmtId="165" fontId="4" fillId="5" borderId="7" xfId="0" applyNumberFormat="1" applyFont="1" applyFill="1" applyBorder="1" applyAlignment="1">
      <alignment horizontal="right"/>
    </xf>
    <xf numFmtId="165" fontId="4" fillId="4" borderId="7" xfId="0" applyNumberFormat="1" applyFont="1" applyFill="1" applyBorder="1" applyAlignment="1">
      <alignment horizontal="right"/>
    </xf>
    <xf numFmtId="164" fontId="3" fillId="5" borderId="1" xfId="0" applyNumberFormat="1" applyFont="1" applyFill="1" applyBorder="1"/>
    <xf numFmtId="164" fontId="3" fillId="10" borderId="1" xfId="0" applyNumberFormat="1" applyFont="1" applyFill="1" applyBorder="1"/>
    <xf numFmtId="164" fontId="3" fillId="4" borderId="1" xfId="0" applyNumberFormat="1" applyFont="1" applyFill="1" applyBorder="1"/>
    <xf numFmtId="165" fontId="3" fillId="5" borderId="1" xfId="0" applyNumberFormat="1" applyFont="1" applyFill="1" applyBorder="1"/>
    <xf numFmtId="165" fontId="3" fillId="10" borderId="1" xfId="0" applyNumberFormat="1" applyFont="1" applyFill="1" applyBorder="1"/>
    <xf numFmtId="165" fontId="3" fillId="4" borderId="1" xfId="0" applyNumberFormat="1" applyFont="1" applyFill="1" applyBorder="1"/>
    <xf numFmtId="0" fontId="4" fillId="6" borderId="1" xfId="0" applyFont="1" applyFill="1" applyBorder="1" applyAlignment="1">
      <alignment horizontal="center"/>
    </xf>
    <xf numFmtId="0" fontId="4" fillId="5" borderId="7" xfId="0" applyFont="1" applyFill="1" applyBorder="1"/>
    <xf numFmtId="0" fontId="4" fillId="10" borderId="7" xfId="0" applyFont="1" applyFill="1" applyBorder="1"/>
    <xf numFmtId="0" fontId="4" fillId="4" borderId="7" xfId="0" applyFont="1" applyFill="1" applyBorder="1"/>
    <xf numFmtId="165" fontId="4" fillId="6" borderId="1" xfId="0" applyNumberFormat="1" applyFont="1" applyFill="1" applyBorder="1"/>
    <xf numFmtId="165" fontId="0" fillId="0" borderId="1" xfId="0" applyNumberFormat="1" applyBorder="1"/>
    <xf numFmtId="164" fontId="3" fillId="0" borderId="1" xfId="0" applyNumberFormat="1" applyFont="1" applyBorder="1" applyAlignment="1">
      <alignment horizontal="right"/>
    </xf>
    <xf numFmtId="164" fontId="4" fillId="4" borderId="7" xfId="0" applyNumberFormat="1" applyFont="1" applyFill="1" applyBorder="1" applyAlignment="1">
      <alignment horizontal="right"/>
    </xf>
    <xf numFmtId="3" fontId="4" fillId="6" borderId="7" xfId="0" applyNumberFormat="1" applyFont="1" applyFill="1" applyBorder="1" applyAlignment="1">
      <alignment horizontal="right"/>
    </xf>
    <xf numFmtId="0" fontId="4" fillId="3" borderId="1" xfId="0" applyFont="1" applyFill="1" applyBorder="1" applyAlignment="1">
      <alignment horizontal="center"/>
    </xf>
    <xf numFmtId="3" fontId="3" fillId="0" borderId="1" xfId="0" applyNumberFormat="1" applyFont="1" applyBorder="1" applyAlignment="1">
      <alignment horizontal="right"/>
    </xf>
    <xf numFmtId="166" fontId="4" fillId="6" borderId="1" xfId="0" applyNumberFormat="1" applyFont="1" applyFill="1" applyBorder="1" applyAlignment="1">
      <alignment horizontal="right"/>
    </xf>
    <xf numFmtId="166" fontId="3" fillId="0" borderId="1" xfId="0" applyNumberFormat="1" applyFont="1" applyBorder="1" applyAlignment="1">
      <alignment horizontal="right"/>
    </xf>
    <xf numFmtId="166" fontId="4" fillId="4" borderId="1" xfId="0" applyNumberFormat="1" applyFont="1" applyFill="1" applyBorder="1" applyAlignment="1">
      <alignment horizontal="right"/>
    </xf>
    <xf numFmtId="166" fontId="4" fillId="10" borderId="1" xfId="0" applyNumberFormat="1" applyFont="1" applyFill="1" applyBorder="1" applyAlignment="1">
      <alignment horizontal="right"/>
    </xf>
    <xf numFmtId="166" fontId="4" fillId="5" borderId="1" xfId="0" applyNumberFormat="1" applyFont="1" applyFill="1" applyBorder="1" applyAlignment="1">
      <alignment horizontal="right"/>
    </xf>
    <xf numFmtId="166" fontId="3" fillId="11" borderId="1" xfId="0" applyNumberFormat="1" applyFont="1" applyFill="1" applyBorder="1" applyAlignment="1">
      <alignment horizontal="right"/>
    </xf>
    <xf numFmtId="0" fontId="12" fillId="3" borderId="1" xfId="0" applyFont="1" applyFill="1" applyBorder="1" applyAlignment="1">
      <alignment horizontal="center" vertical="center"/>
    </xf>
    <xf numFmtId="3" fontId="13" fillId="3" borderId="1" xfId="0" applyNumberFormat="1" applyFont="1" applyFill="1" applyBorder="1" applyAlignment="1">
      <alignment horizontal="center" vertical="center"/>
    </xf>
    <xf numFmtId="165" fontId="13"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65" fontId="4" fillId="6" borderId="1" xfId="0" applyNumberFormat="1" applyFont="1" applyFill="1" applyBorder="1" applyAlignment="1">
      <alignment horizontal="right"/>
    </xf>
    <xf numFmtId="164" fontId="4" fillId="6" borderId="1" xfId="0" applyNumberFormat="1" applyFont="1" applyFill="1" applyBorder="1" applyAlignment="1">
      <alignment horizontal="right"/>
    </xf>
    <xf numFmtId="165" fontId="4" fillId="3" borderId="1" xfId="0" applyNumberFormat="1" applyFont="1" applyFill="1" applyBorder="1" applyAlignment="1">
      <alignment horizontal="right"/>
    </xf>
    <xf numFmtId="165" fontId="4" fillId="4" borderId="1" xfId="0" applyNumberFormat="1" applyFont="1" applyFill="1" applyBorder="1" applyAlignment="1">
      <alignment horizontal="right"/>
    </xf>
    <xf numFmtId="167" fontId="4" fillId="3" borderId="1" xfId="0" applyNumberFormat="1" applyFont="1" applyFill="1" applyBorder="1" applyAlignment="1">
      <alignment horizontal="center"/>
    </xf>
    <xf numFmtId="167" fontId="4" fillId="4" borderId="1" xfId="0" applyNumberFormat="1" applyFont="1" applyFill="1" applyBorder="1" applyAlignment="1">
      <alignment horizontal="right"/>
    </xf>
    <xf numFmtId="167" fontId="3" fillId="0" borderId="1" xfId="0" applyNumberFormat="1" applyFont="1" applyBorder="1" applyAlignment="1">
      <alignment horizontal="right"/>
    </xf>
    <xf numFmtId="0" fontId="14" fillId="3" borderId="1" xfId="0" applyFont="1" applyFill="1" applyBorder="1" applyAlignment="1">
      <alignment horizontal="center"/>
    </xf>
    <xf numFmtId="0" fontId="14" fillId="0" borderId="1" xfId="0" applyFont="1" applyBorder="1" applyAlignment="1">
      <alignment horizontal="center"/>
    </xf>
    <xf numFmtId="165" fontId="14" fillId="0" borderId="1" xfId="0" applyNumberFormat="1" applyFont="1" applyBorder="1" applyAlignment="1">
      <alignment horizontal="right"/>
    </xf>
    <xf numFmtId="0" fontId="14" fillId="0" borderId="1" xfId="0" applyFont="1" applyBorder="1" applyAlignment="1">
      <alignment wrapText="1"/>
    </xf>
    <xf numFmtId="3" fontId="4" fillId="2" borderId="1" xfId="0" applyNumberFormat="1" applyFont="1" applyFill="1" applyBorder="1" applyAlignment="1">
      <alignment horizontal="right"/>
    </xf>
    <xf numFmtId="0" fontId="4" fillId="0" borderId="1" xfId="0" applyFont="1" applyBorder="1" applyAlignment="1">
      <alignment horizontal="center"/>
    </xf>
    <xf numFmtId="168" fontId="4" fillId="0" borderId="1" xfId="0" applyNumberFormat="1" applyFont="1" applyBorder="1" applyAlignment="1">
      <alignment horizontal="right"/>
    </xf>
    <xf numFmtId="165"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165" fontId="4" fillId="6" borderId="7" xfId="0" applyNumberFormat="1" applyFont="1" applyFill="1" applyBorder="1"/>
    <xf numFmtId="164" fontId="4" fillId="6" borderId="7" xfId="0" applyNumberFormat="1" applyFont="1" applyFill="1" applyBorder="1" applyAlignment="1">
      <alignment horizontal="right"/>
    </xf>
    <xf numFmtId="0" fontId="20" fillId="11" borderId="15" xfId="0" applyFont="1" applyFill="1" applyBorder="1" applyAlignment="1">
      <alignment horizontal="left" vertical="top" wrapText="1" indent="1"/>
    </xf>
    <xf numFmtId="0" fontId="0" fillId="11" borderId="16" xfId="0" applyFill="1" applyBorder="1"/>
    <xf numFmtId="0" fontId="0" fillId="11" borderId="17" xfId="0" applyFill="1" applyBorder="1"/>
    <xf numFmtId="0" fontId="0" fillId="11" borderId="15" xfId="0" applyFill="1" applyBorder="1"/>
    <xf numFmtId="0" fontId="0" fillId="11" borderId="18" xfId="0" applyFill="1" applyBorder="1"/>
    <xf numFmtId="0" fontId="0" fillId="11" borderId="19" xfId="0" applyFill="1" applyBorder="1"/>
    <xf numFmtId="0" fontId="0" fillId="11" borderId="20" xfId="0" applyFill="1" applyBorder="1"/>
    <xf numFmtId="0" fontId="18" fillId="12" borderId="13" xfId="0" applyFont="1" applyFill="1" applyBorder="1" applyAlignment="1">
      <alignment horizontal="left" vertical="center" wrapText="1" indent="1"/>
    </xf>
    <xf numFmtId="0" fontId="0" fillId="12" borderId="14" xfId="0" applyFill="1" applyBorder="1"/>
    <xf numFmtId="0" fontId="7" fillId="7" borderId="1" xfId="0" applyFont="1" applyFill="1" applyBorder="1" applyAlignment="1">
      <alignment horizontal="left" indent="1"/>
    </xf>
    <xf numFmtId="0" fontId="0" fillId="0" borderId="6" xfId="0" applyBorder="1"/>
    <xf numFmtId="0" fontId="0" fillId="0" borderId="5" xfId="0" applyBorder="1"/>
    <xf numFmtId="0" fontId="7" fillId="9" borderId="1" xfId="0" applyFont="1" applyFill="1" applyBorder="1" applyAlignment="1">
      <alignment horizontal="left" indent="1"/>
    </xf>
    <xf numFmtId="0" fontId="7" fillId="8" borderId="1" xfId="0" applyFont="1" applyFill="1" applyBorder="1" applyAlignment="1">
      <alignment horizontal="left" indent="1"/>
    </xf>
    <xf numFmtId="0" fontId="11" fillId="11" borderId="1" xfId="0" applyFont="1" applyFill="1" applyBorder="1" applyAlignment="1">
      <alignment horizontal="left" vertical="center" wrapText="1" indent="1"/>
    </xf>
    <xf numFmtId="0" fontId="0" fillId="0" borderId="3" xfId="0" applyBorder="1"/>
    <xf numFmtId="0" fontId="0" fillId="0" borderId="4" xfId="0" applyBorder="1"/>
    <xf numFmtId="0" fontId="0" fillId="0" borderId="8" xfId="0" applyBorder="1"/>
    <xf numFmtId="0" fontId="0" fillId="0" borderId="0" xfId="0"/>
    <xf numFmtId="0" fontId="0" fillId="0" borderId="9" xfId="0" applyBorder="1"/>
    <xf numFmtId="0" fontId="0" fillId="0" borderId="10" xfId="0" applyBorder="1"/>
    <xf numFmtId="0" fontId="0" fillId="0" borderId="11" xfId="0" applyBorder="1"/>
    <xf numFmtId="0" fontId="0" fillId="0" borderId="12" xfId="0" applyBorder="1"/>
    <xf numFmtId="0" fontId="4" fillId="5" borderId="0" xfId="0" applyFont="1" applyFill="1"/>
    <xf numFmtId="0" fontId="4" fillId="3" borderId="1" xfId="0" applyFont="1" applyFill="1" applyBorder="1"/>
    <xf numFmtId="0" fontId="4" fillId="6" borderId="0" xfId="0" applyFont="1" applyFill="1"/>
    <xf numFmtId="0" fontId="4" fillId="10" borderId="0" xfId="0" applyFont="1" applyFill="1"/>
    <xf numFmtId="0" fontId="4" fillId="4" borderId="0" xfId="0" applyFont="1" applyFill="1"/>
    <xf numFmtId="0" fontId="19" fillId="6" borderId="1" xfId="0" applyFont="1" applyFill="1" applyBorder="1" applyAlignment="1">
      <alignment horizontal="center" vertical="center"/>
    </xf>
    <xf numFmtId="0" fontId="4" fillId="6" borderId="1" xfId="0" applyFont="1" applyFill="1" applyBorder="1"/>
    <xf numFmtId="0" fontId="4" fillId="4" borderId="1" xfId="0" applyFont="1" applyFill="1" applyBorder="1"/>
    <xf numFmtId="0" fontId="4" fillId="10" borderId="1" xfId="0" applyFont="1" applyFill="1" applyBorder="1"/>
    <xf numFmtId="0" fontId="4" fillId="5" borderId="1" xfId="0" applyFont="1" applyFill="1" applyBorder="1"/>
    <xf numFmtId="0" fontId="2" fillId="0" borderId="1" xfId="0" applyFont="1" applyBorder="1"/>
    <xf numFmtId="0" fontId="12" fillId="3" borderId="1" xfId="0" applyFont="1" applyFill="1" applyBorder="1" applyAlignment="1">
      <alignment horizontal="center" vertical="center"/>
    </xf>
    <xf numFmtId="0" fontId="4" fillId="3" borderId="1" xfId="0" applyFont="1" applyFill="1" applyBorder="1" applyAlignment="1">
      <alignment horizontal="center"/>
    </xf>
    <xf numFmtId="0" fontId="2" fillId="3" borderId="1" xfId="0" applyFont="1" applyFill="1" applyBorder="1" applyAlignment="1">
      <alignment horizontal="center" vertical="center"/>
    </xf>
    <xf numFmtId="165" fontId="13" fillId="3" borderId="1" xfId="0" applyNumberFormat="1" applyFont="1" applyFill="1" applyBorder="1" applyAlignment="1">
      <alignment horizontal="center" vertical="center"/>
    </xf>
  </cellXfs>
  <cellStyles count="1">
    <cellStyle name="Normal" xfId="0" builtinId="0"/>
  </cellStyles>
  <dxfs count="2">
    <dxf>
      <font>
        <b/>
        <sz val="10"/>
        <color rgb="FF991B1B"/>
        <name val="Segoe UI"/>
      </font>
      <fill>
        <patternFill patternType="solid">
          <fgColor rgb="FFFEE2E2"/>
          <bgColor rgb="FFFEE2E2"/>
        </patternFill>
      </fill>
    </dxf>
    <dxf>
      <font>
        <b/>
        <sz val="10"/>
        <color rgb="FF065F46"/>
        <name val="Segoe UI"/>
      </font>
      <fill>
        <patternFill patternType="solid">
          <fgColor rgb="FFD1FAE5"/>
          <b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Distribución de Coste de Personal en Año 1</a:t>
            </a:r>
          </a:p>
        </c:rich>
      </c:tx>
      <c:overlay val="1"/>
    </c:title>
    <c:autoTitleDeleted val="0"/>
    <c:plotArea>
      <c:layout/>
      <c:barChart>
        <c:barDir val="bar"/>
        <c:grouping val="clustered"/>
        <c:varyColors val="1"/>
        <c:ser>
          <c:idx val="0"/>
          <c:order val="0"/>
          <c:tx>
            <c:strRef>
              <c:f>'7_EQUIPO_RRHH'!$B$111</c:f>
              <c:strCache>
                <c:ptCount val="1"/>
                <c:pt idx="0">
                  <c:v>Coste Año 1 (EUR)</c:v>
                </c:pt>
              </c:strCache>
            </c:strRef>
          </c:tx>
          <c:spPr>
            <a:ln>
              <a:prstDash val="solid"/>
            </a:ln>
          </c:spPr>
          <c:invertIfNegative val="1"/>
          <c:cat>
            <c:strRef>
              <c:f>'7_EQUIPO_RRHH'!$A$112:$A$119</c:f>
              <c:strCache>
                <c:ptCount val="8"/>
                <c:pt idx="0">
                  <c:v>CEO (Socio Fundador)</c:v>
                </c:pt>
                <c:pt idx="1">
                  <c:v>CTO (Socio Fundador)</c:v>
                </c:pt>
                <c:pt idx="2">
                  <c:v>CMO (Socio Fundador)</c:v>
                </c:pt>
                <c:pt idx="3">
                  <c:v>COO (Socio Fundador)</c:v>
                </c:pt>
                <c:pt idx="4">
                  <c:v>Senior Software &amp; Cloud Eng.</c:v>
                </c:pt>
                <c:pt idx="5">
                  <c:v>Customer Success Specialist</c:v>
                </c:pt>
                <c:pt idx="6">
                  <c:v>Sales &amp; Marketing B2B Spec.</c:v>
                </c:pt>
                <c:pt idx="7">
                  <c:v>Operations &amp; Logistics Mgr</c:v>
                </c:pt>
              </c:strCache>
            </c:strRef>
          </c:cat>
          <c:val>
            <c:numRef>
              <c:f>'7_EQUIPO_RRHH'!$B$112:$B$119</c:f>
              <c:numCache>
                <c:formatCode>#,##0" €"</c:formatCode>
                <c:ptCount val="8"/>
                <c:pt idx="0">
                  <c:v>23384.28</c:v>
                </c:pt>
                <c:pt idx="1">
                  <c:v>23384.28</c:v>
                </c:pt>
                <c:pt idx="2">
                  <c:v>23384.28</c:v>
                </c:pt>
                <c:pt idx="3">
                  <c:v>23384.28</c:v>
                </c:pt>
                <c:pt idx="4">
                  <c:v>0</c:v>
                </c:pt>
                <c:pt idx="5">
                  <c:v>0</c:v>
                </c:pt>
                <c:pt idx="6">
                  <c:v>0</c:v>
                </c:pt>
                <c:pt idx="7">
                  <c:v>0</c:v>
                </c:pt>
              </c:numCache>
            </c:numRef>
          </c:val>
          <c:extLst>
            <c:ext xmlns:c16="http://schemas.microsoft.com/office/drawing/2014/chart" uri="{C3380CC4-5D6E-409C-BE32-E72D297353CC}">
              <c16:uniqueId val="{00000000-822A-4983-A8FB-A26D2ABE9EC2}"/>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t>EUR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title>
          <c:tx>
            <c:rich>
              <a:bodyPr/>
              <a:lstStyle/>
              <a:p>
                <a:pPr>
                  <a:defRPr/>
                </a:pPr>
                <a:r>
                  <a:t>Rol</a:t>
                </a:r>
              </a:p>
            </c:rich>
          </c:tx>
          <c:overlay val="1"/>
        </c:title>
        <c:numFmt formatCode="#,##0&quot; €&quot;"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Punto de Equilibrio: Ingresos vs Costes Totales (3 Años)</a:t>
            </a:r>
          </a:p>
        </c:rich>
      </c:tx>
      <c:overlay val="1"/>
    </c:title>
    <c:autoTitleDeleted val="0"/>
    <c:plotArea>
      <c:layout/>
      <c:lineChart>
        <c:grouping val="standard"/>
        <c:varyColors val="1"/>
        <c:ser>
          <c:idx val="0"/>
          <c:order val="0"/>
          <c:tx>
            <c:strRef>
              <c:f>'15_DASHBOARD_KPI'!$C$61</c:f>
              <c:strCache>
                <c:ptCount val="1"/>
                <c:pt idx="0">
                  <c:v>Ingresos Mensuales</c:v>
                </c:pt>
              </c:strCache>
            </c:strRef>
          </c:tx>
          <c:spPr>
            <a:ln>
              <a:prstDash val="solid"/>
            </a:ln>
          </c:spPr>
          <c:marker>
            <c:symbol val="none"/>
          </c:marker>
          <c:cat>
            <c:strRef>
              <c:f>'15_DASHBOARD_KPI'!$B$62:$B$97</c:f>
              <c:strCache>
                <c:ptCount val="36"/>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2">
                  <c:v>Ene-27</c:v>
                </c:pt>
                <c:pt idx="13">
                  <c:v>Feb-27</c:v>
                </c:pt>
                <c:pt idx="14">
                  <c:v>Mar-27</c:v>
                </c:pt>
                <c:pt idx="15">
                  <c:v>Abr-27</c:v>
                </c:pt>
                <c:pt idx="16">
                  <c:v>May-27</c:v>
                </c:pt>
                <c:pt idx="17">
                  <c:v>Jun-27</c:v>
                </c:pt>
                <c:pt idx="18">
                  <c:v>Jul-27</c:v>
                </c:pt>
                <c:pt idx="19">
                  <c:v>Ago-27</c:v>
                </c:pt>
                <c:pt idx="20">
                  <c:v>Sep-27</c:v>
                </c:pt>
                <c:pt idx="21">
                  <c:v>Oct-27</c:v>
                </c:pt>
                <c:pt idx="22">
                  <c:v>Nov-27</c:v>
                </c:pt>
                <c:pt idx="23">
                  <c:v>Dic-27</c:v>
                </c:pt>
                <c:pt idx="24">
                  <c:v>Ene-28</c:v>
                </c:pt>
                <c:pt idx="25">
                  <c:v>Feb-28</c:v>
                </c:pt>
                <c:pt idx="26">
                  <c:v>Mar-28</c:v>
                </c:pt>
                <c:pt idx="27">
                  <c:v>Abr-28</c:v>
                </c:pt>
                <c:pt idx="28">
                  <c:v>May-28</c:v>
                </c:pt>
                <c:pt idx="29">
                  <c:v>Jun-28</c:v>
                </c:pt>
                <c:pt idx="30">
                  <c:v>Jul-28</c:v>
                </c:pt>
                <c:pt idx="31">
                  <c:v>Ago-28</c:v>
                </c:pt>
                <c:pt idx="32">
                  <c:v>Sep-28</c:v>
                </c:pt>
                <c:pt idx="33">
                  <c:v>Oct-28</c:v>
                </c:pt>
                <c:pt idx="34">
                  <c:v>Nov-28</c:v>
                </c:pt>
                <c:pt idx="35">
                  <c:v>Dic-28</c:v>
                </c:pt>
              </c:strCache>
            </c:strRef>
          </c:cat>
          <c:val>
            <c:numRef>
              <c:f>'15_DASHBOARD_KPI'!$C$62:$C$97</c:f>
              <c:numCache>
                <c:formatCode>#,##0" €"</c:formatCode>
                <c:ptCount val="36"/>
                <c:pt idx="0">
                  <c:v>12116.7173</c:v>
                </c:pt>
                <c:pt idx="1">
                  <c:v>14168.269100000001</c:v>
                </c:pt>
                <c:pt idx="2">
                  <c:v>16247.140004000001</c:v>
                </c:pt>
                <c:pt idx="3">
                  <c:v>18539.141820320001</c:v>
                </c:pt>
                <c:pt idx="4">
                  <c:v>20856.325301945602</c:v>
                </c:pt>
                <c:pt idx="5">
                  <c:v>23300.803342101248</c:v>
                </c:pt>
                <c:pt idx="6">
                  <c:v>25787.801265469345</c:v>
                </c:pt>
                <c:pt idx="7">
                  <c:v>28478.8132227069</c:v>
                </c:pt>
                <c:pt idx="8">
                  <c:v>31350.351696523445</c:v>
                </c:pt>
                <c:pt idx="9">
                  <c:v>34360.834128245326</c:v>
                </c:pt>
                <c:pt idx="10">
                  <c:v>37562.459674504949</c:v>
                </c:pt>
                <c:pt idx="11">
                  <c:v>40974.945104465347</c:v>
                </c:pt>
                <c:pt idx="12">
                  <c:v>44516.157848822571</c:v>
                </c:pt>
                <c:pt idx="13">
                  <c:v>48204.646212728374</c:v>
                </c:pt>
                <c:pt idx="14">
                  <c:v>52229.559765746642</c:v>
                </c:pt>
                <c:pt idx="15">
                  <c:v>56465.10292300638</c:v>
                </c:pt>
                <c:pt idx="16">
                  <c:v>60893.658732846889</c:v>
                </c:pt>
                <c:pt idx="17">
                  <c:v>65608.900887474636</c:v>
                </c:pt>
                <c:pt idx="18">
                  <c:v>70677.639974472608</c:v>
                </c:pt>
                <c:pt idx="19">
                  <c:v>76071.781988430419</c:v>
                </c:pt>
                <c:pt idx="20">
                  <c:v>81925.736123504859</c:v>
                </c:pt>
                <c:pt idx="21">
                  <c:v>88163.99886938525</c:v>
                </c:pt>
                <c:pt idx="22">
                  <c:v>94792.376434936072</c:v>
                </c:pt>
                <c:pt idx="23">
                  <c:v>102047.33252573095</c:v>
                </c:pt>
                <c:pt idx="24">
                  <c:v>109855.41650378943</c:v>
                </c:pt>
                <c:pt idx="25">
                  <c:v>118278.25296009259</c:v>
                </c:pt>
                <c:pt idx="26">
                  <c:v>127293.81373289999</c:v>
                </c:pt>
                <c:pt idx="27">
                  <c:v>136980.12640753199</c:v>
                </c:pt>
                <c:pt idx="28">
                  <c:v>147459.70433613454</c:v>
                </c:pt>
                <c:pt idx="29">
                  <c:v>158748.9132190253</c:v>
                </c:pt>
                <c:pt idx="30">
                  <c:v>170920.46329254733</c:v>
                </c:pt>
                <c:pt idx="31">
                  <c:v>184027.82517195112</c:v>
                </c:pt>
                <c:pt idx="32">
                  <c:v>198185.83240170722</c:v>
                </c:pt>
                <c:pt idx="33">
                  <c:v>213379.47376984378</c:v>
                </c:pt>
                <c:pt idx="34">
                  <c:v>229845.73144743126</c:v>
                </c:pt>
                <c:pt idx="35">
                  <c:v>247550.53201922579</c:v>
                </c:pt>
              </c:numCache>
            </c:numRef>
          </c:val>
          <c:smooth val="1"/>
          <c:extLst>
            <c:ext xmlns:c16="http://schemas.microsoft.com/office/drawing/2014/chart" uri="{C3380CC4-5D6E-409C-BE32-E72D297353CC}">
              <c16:uniqueId val="{00000000-4E06-49FF-AC46-479621F4B913}"/>
            </c:ext>
          </c:extLst>
        </c:ser>
        <c:ser>
          <c:idx val="1"/>
          <c:order val="1"/>
          <c:tx>
            <c:strRef>
              <c:f>'15_DASHBOARD_KPI'!$D$61</c:f>
              <c:strCache>
                <c:ptCount val="1"/>
                <c:pt idx="0">
                  <c:v>Costes Totales (COGS + OPEX)</c:v>
                </c:pt>
              </c:strCache>
            </c:strRef>
          </c:tx>
          <c:spPr>
            <a:ln>
              <a:prstDash val="solid"/>
            </a:ln>
          </c:spPr>
          <c:marker>
            <c:symbol val="none"/>
          </c:marker>
          <c:cat>
            <c:strRef>
              <c:f>'15_DASHBOARD_KPI'!$B$62:$B$97</c:f>
              <c:strCache>
                <c:ptCount val="36"/>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pt idx="12">
                  <c:v>Ene-27</c:v>
                </c:pt>
                <c:pt idx="13">
                  <c:v>Feb-27</c:v>
                </c:pt>
                <c:pt idx="14">
                  <c:v>Mar-27</c:v>
                </c:pt>
                <c:pt idx="15">
                  <c:v>Abr-27</c:v>
                </c:pt>
                <c:pt idx="16">
                  <c:v>May-27</c:v>
                </c:pt>
                <c:pt idx="17">
                  <c:v>Jun-27</c:v>
                </c:pt>
                <c:pt idx="18">
                  <c:v>Jul-27</c:v>
                </c:pt>
                <c:pt idx="19">
                  <c:v>Ago-27</c:v>
                </c:pt>
                <c:pt idx="20">
                  <c:v>Sep-27</c:v>
                </c:pt>
                <c:pt idx="21">
                  <c:v>Oct-27</c:v>
                </c:pt>
                <c:pt idx="22">
                  <c:v>Nov-27</c:v>
                </c:pt>
                <c:pt idx="23">
                  <c:v>Dic-27</c:v>
                </c:pt>
                <c:pt idx="24">
                  <c:v>Ene-28</c:v>
                </c:pt>
                <c:pt idx="25">
                  <c:v>Feb-28</c:v>
                </c:pt>
                <c:pt idx="26">
                  <c:v>Mar-28</c:v>
                </c:pt>
                <c:pt idx="27">
                  <c:v>Abr-28</c:v>
                </c:pt>
                <c:pt idx="28">
                  <c:v>May-28</c:v>
                </c:pt>
                <c:pt idx="29">
                  <c:v>Jun-28</c:v>
                </c:pt>
                <c:pt idx="30">
                  <c:v>Jul-28</c:v>
                </c:pt>
                <c:pt idx="31">
                  <c:v>Ago-28</c:v>
                </c:pt>
                <c:pt idx="32">
                  <c:v>Sep-28</c:v>
                </c:pt>
                <c:pt idx="33">
                  <c:v>Oct-28</c:v>
                </c:pt>
                <c:pt idx="34">
                  <c:v>Nov-28</c:v>
                </c:pt>
                <c:pt idx="35">
                  <c:v>Dic-28</c:v>
                </c:pt>
              </c:strCache>
            </c:strRef>
          </c:cat>
          <c:val>
            <c:numRef>
              <c:f>'15_DASHBOARD_KPI'!$D$62:$D$97</c:f>
              <c:numCache>
                <c:formatCode>#,##0" €"</c:formatCode>
                <c:ptCount val="36"/>
                <c:pt idx="0">
                  <c:v>24156.117932499994</c:v>
                </c:pt>
                <c:pt idx="1">
                  <c:v>28383.496727499994</c:v>
                </c:pt>
                <c:pt idx="2">
                  <c:v>28032.378500099992</c:v>
                </c:pt>
                <c:pt idx="3">
                  <c:v>25303.358545507996</c:v>
                </c:pt>
                <c:pt idx="4">
                  <c:v>25729.758132548635</c:v>
                </c:pt>
                <c:pt idx="5">
                  <c:v>26208.780083552527</c:v>
                </c:pt>
                <c:pt idx="6">
                  <c:v>26655.30503163673</c:v>
                </c:pt>
                <c:pt idx="7">
                  <c:v>27156.370330567668</c:v>
                </c:pt>
                <c:pt idx="8">
                  <c:v>27719.328792413082</c:v>
                </c:pt>
                <c:pt idx="9">
                  <c:v>30097.670853206128</c:v>
                </c:pt>
                <c:pt idx="10">
                  <c:v>28938.171491862617</c:v>
                </c:pt>
                <c:pt idx="11">
                  <c:v>29595.853627611628</c:v>
                </c:pt>
                <c:pt idx="12">
                  <c:v>45670.883946220565</c:v>
                </c:pt>
                <c:pt idx="13">
                  <c:v>46408.726155318211</c:v>
                </c:pt>
                <c:pt idx="14">
                  <c:v>47216.328994143667</c:v>
                </c:pt>
                <c:pt idx="15">
                  <c:v>48094.517573075165</c:v>
                </c:pt>
                <c:pt idx="16">
                  <c:v>49001.351468321176</c:v>
                </c:pt>
                <c:pt idx="17">
                  <c:v>49980.672522186869</c:v>
                </c:pt>
                <c:pt idx="18">
                  <c:v>54124.424332695155</c:v>
                </c:pt>
                <c:pt idx="19">
                  <c:v>55263.2678830441</c:v>
                </c:pt>
                <c:pt idx="20">
                  <c:v>56490.836736420955</c:v>
                </c:pt>
                <c:pt idx="21">
                  <c:v>57805.243305067968</c:v>
                </c:pt>
                <c:pt idx="22">
                  <c:v>59206.632744206741</c:v>
                </c:pt>
                <c:pt idx="23">
                  <c:v>60750.356646476612</c:v>
                </c:pt>
                <c:pt idx="24">
                  <c:v>65897.04874592807</c:v>
                </c:pt>
                <c:pt idx="25">
                  <c:v>67693.719657335649</c:v>
                </c:pt>
                <c:pt idx="26">
                  <c:v>69598.318676655836</c:v>
                </c:pt>
                <c:pt idx="27">
                  <c:v>71662.236493521632</c:v>
                </c:pt>
                <c:pt idx="28">
                  <c:v>73892.505941736701</c:v>
                </c:pt>
                <c:pt idx="29">
                  <c:v>76293.506163808968</c:v>
                </c:pt>
                <c:pt idx="30">
                  <c:v>78874.994915647025</c:v>
                </c:pt>
                <c:pt idx="31">
                  <c:v>81683.778962632117</c:v>
                </c:pt>
                <c:pt idx="32">
                  <c:v>84689.169143376013</c:v>
                </c:pt>
                <c:pt idx="33">
                  <c:v>87936.260177579432</c:v>
                </c:pt>
                <c:pt idx="34">
                  <c:v>91442.886619519122</c:v>
                </c:pt>
                <c:pt idx="35">
                  <c:v>95212.166633813991</c:v>
                </c:pt>
              </c:numCache>
            </c:numRef>
          </c:val>
          <c:smooth val="1"/>
          <c:extLst>
            <c:ext xmlns:c16="http://schemas.microsoft.com/office/drawing/2014/chart" uri="{C3380CC4-5D6E-409C-BE32-E72D297353CC}">
              <c16:uniqueId val="{00000001-4E06-49FF-AC46-479621F4B913}"/>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Mes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EUR</a:t>
                </a:r>
              </a:p>
            </c:rich>
          </c:tx>
          <c:overlay val="1"/>
        </c:title>
        <c:numFmt formatCode="#,##0&quot; €&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Clientes Activos Premium (3 Escenarios)</a:t>
            </a:r>
          </a:p>
        </c:rich>
      </c:tx>
      <c:overlay val="1"/>
    </c:title>
    <c:autoTitleDeleted val="0"/>
    <c:plotArea>
      <c:layout/>
      <c:lineChart>
        <c:grouping val="standard"/>
        <c:varyColors val="1"/>
        <c:ser>
          <c:idx val="0"/>
          <c:order val="0"/>
          <c:tx>
            <c:strRef>
              <c:f>'17_ANALISIS_GRAFICO'!$C$17</c:f>
              <c:strCache>
                <c:ptCount val="1"/>
                <c:pt idx="0">
                  <c:v>Negativo</c:v>
                </c:pt>
              </c:strCache>
            </c:strRef>
          </c:tx>
          <c:spPr>
            <a:ln>
              <a:prstDash val="solid"/>
            </a:ln>
          </c:spPr>
          <c:marker>
            <c:symbol val="none"/>
          </c:marker>
          <c:cat>
            <c:strRef>
              <c:f>'17_ANALISIS_GRAFICO'!$B$18:$B$53</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'17_ANALISIS_GRAFICO'!$C$18:$C$53</c:f>
              <c:numCache>
                <c:formatCode>#,##0</c:formatCode>
                <c:ptCount val="36"/>
                <c:pt idx="0">
                  <c:v>25</c:v>
                </c:pt>
                <c:pt idx="1">
                  <c:v>49</c:v>
                </c:pt>
                <c:pt idx="2">
                  <c:v>72</c:v>
                </c:pt>
                <c:pt idx="3">
                  <c:v>95</c:v>
                </c:pt>
                <c:pt idx="4">
                  <c:v>117</c:v>
                </c:pt>
                <c:pt idx="5">
                  <c:v>139</c:v>
                </c:pt>
                <c:pt idx="6">
                  <c:v>161</c:v>
                </c:pt>
                <c:pt idx="7">
                  <c:v>182</c:v>
                </c:pt>
                <c:pt idx="8">
                  <c:v>202</c:v>
                </c:pt>
                <c:pt idx="9">
                  <c:v>223</c:v>
                </c:pt>
                <c:pt idx="10">
                  <c:v>244</c:v>
                </c:pt>
                <c:pt idx="11">
                  <c:v>264</c:v>
                </c:pt>
                <c:pt idx="12">
                  <c:v>285</c:v>
                </c:pt>
                <c:pt idx="13">
                  <c:v>306</c:v>
                </c:pt>
                <c:pt idx="14">
                  <c:v>328</c:v>
                </c:pt>
                <c:pt idx="15">
                  <c:v>350</c:v>
                </c:pt>
                <c:pt idx="16">
                  <c:v>372</c:v>
                </c:pt>
                <c:pt idx="17">
                  <c:v>395</c:v>
                </c:pt>
                <c:pt idx="18">
                  <c:v>418</c:v>
                </c:pt>
                <c:pt idx="19">
                  <c:v>443</c:v>
                </c:pt>
                <c:pt idx="20">
                  <c:v>469</c:v>
                </c:pt>
                <c:pt idx="21">
                  <c:v>494</c:v>
                </c:pt>
                <c:pt idx="22">
                  <c:v>520</c:v>
                </c:pt>
                <c:pt idx="23">
                  <c:v>547</c:v>
                </c:pt>
                <c:pt idx="24">
                  <c:v>576</c:v>
                </c:pt>
                <c:pt idx="25">
                  <c:v>606</c:v>
                </c:pt>
                <c:pt idx="26">
                  <c:v>638</c:v>
                </c:pt>
                <c:pt idx="27">
                  <c:v>671</c:v>
                </c:pt>
                <c:pt idx="28">
                  <c:v>704</c:v>
                </c:pt>
                <c:pt idx="29">
                  <c:v>740</c:v>
                </c:pt>
                <c:pt idx="30">
                  <c:v>777</c:v>
                </c:pt>
                <c:pt idx="31">
                  <c:v>816</c:v>
                </c:pt>
                <c:pt idx="32">
                  <c:v>856</c:v>
                </c:pt>
                <c:pt idx="33">
                  <c:v>899</c:v>
                </c:pt>
                <c:pt idx="34">
                  <c:v>943</c:v>
                </c:pt>
                <c:pt idx="35">
                  <c:v>989</c:v>
                </c:pt>
              </c:numCache>
            </c:numRef>
          </c:val>
          <c:smooth val="1"/>
          <c:extLst>
            <c:ext xmlns:c16="http://schemas.microsoft.com/office/drawing/2014/chart" uri="{C3380CC4-5D6E-409C-BE32-E72D297353CC}">
              <c16:uniqueId val="{00000000-E796-4623-A966-045C1925B2CD}"/>
            </c:ext>
          </c:extLst>
        </c:ser>
        <c:ser>
          <c:idx val="1"/>
          <c:order val="1"/>
          <c:tx>
            <c:strRef>
              <c:f>'17_ANALISIS_GRAFICO'!$D$17</c:f>
              <c:strCache>
                <c:ptCount val="1"/>
                <c:pt idx="0">
                  <c:v>Equilibrio</c:v>
                </c:pt>
              </c:strCache>
            </c:strRef>
          </c:tx>
          <c:spPr>
            <a:ln>
              <a:prstDash val="solid"/>
            </a:ln>
          </c:spPr>
          <c:marker>
            <c:symbol val="none"/>
          </c:marker>
          <c:cat>
            <c:strRef>
              <c:f>'17_ANALISIS_GRAFICO'!$B$18:$B$53</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'17_ANALISIS_GRAFICO'!$D$18:$D$53</c:f>
              <c:numCache>
                <c:formatCode>#,##0</c:formatCode>
                <c:ptCount val="36"/>
                <c:pt idx="0">
                  <c:v>46</c:v>
                </c:pt>
                <c:pt idx="1">
                  <c:v>93</c:v>
                </c:pt>
                <c:pt idx="2">
                  <c:v>141</c:v>
                </c:pt>
                <c:pt idx="3">
                  <c:v>190</c:v>
                </c:pt>
                <c:pt idx="4">
                  <c:v>241</c:v>
                </c:pt>
                <c:pt idx="5">
                  <c:v>294</c:v>
                </c:pt>
                <c:pt idx="6">
                  <c:v>349</c:v>
                </c:pt>
                <c:pt idx="7">
                  <c:v>406</c:v>
                </c:pt>
                <c:pt idx="8">
                  <c:v>467</c:v>
                </c:pt>
                <c:pt idx="9">
                  <c:v>531</c:v>
                </c:pt>
                <c:pt idx="10">
                  <c:v>599</c:v>
                </c:pt>
                <c:pt idx="11">
                  <c:v>670</c:v>
                </c:pt>
                <c:pt idx="12">
                  <c:v>745</c:v>
                </c:pt>
                <c:pt idx="13">
                  <c:v>824</c:v>
                </c:pt>
                <c:pt idx="14">
                  <c:v>908</c:v>
                </c:pt>
                <c:pt idx="15">
                  <c:v>998</c:v>
                </c:pt>
                <c:pt idx="16">
                  <c:v>1094</c:v>
                </c:pt>
                <c:pt idx="17">
                  <c:v>1196</c:v>
                </c:pt>
                <c:pt idx="18">
                  <c:v>1306</c:v>
                </c:pt>
                <c:pt idx="19">
                  <c:v>1423</c:v>
                </c:pt>
                <c:pt idx="20">
                  <c:v>1549</c:v>
                </c:pt>
                <c:pt idx="21">
                  <c:v>1684</c:v>
                </c:pt>
                <c:pt idx="22">
                  <c:v>1828</c:v>
                </c:pt>
                <c:pt idx="23">
                  <c:v>1983</c:v>
                </c:pt>
                <c:pt idx="24">
                  <c:v>2150</c:v>
                </c:pt>
                <c:pt idx="25">
                  <c:v>2330</c:v>
                </c:pt>
                <c:pt idx="26">
                  <c:v>2523</c:v>
                </c:pt>
                <c:pt idx="27">
                  <c:v>2731</c:v>
                </c:pt>
                <c:pt idx="28">
                  <c:v>2955</c:v>
                </c:pt>
                <c:pt idx="29">
                  <c:v>3196</c:v>
                </c:pt>
                <c:pt idx="30">
                  <c:v>3456</c:v>
                </c:pt>
                <c:pt idx="31">
                  <c:v>3736</c:v>
                </c:pt>
                <c:pt idx="32">
                  <c:v>4038</c:v>
                </c:pt>
                <c:pt idx="33">
                  <c:v>4363</c:v>
                </c:pt>
                <c:pt idx="34">
                  <c:v>4714</c:v>
                </c:pt>
                <c:pt idx="35">
                  <c:v>5092</c:v>
                </c:pt>
              </c:numCache>
            </c:numRef>
          </c:val>
          <c:smooth val="1"/>
          <c:extLst>
            <c:ext xmlns:c16="http://schemas.microsoft.com/office/drawing/2014/chart" uri="{C3380CC4-5D6E-409C-BE32-E72D297353CC}">
              <c16:uniqueId val="{00000001-E796-4623-A966-045C1925B2CD}"/>
            </c:ext>
          </c:extLst>
        </c:ser>
        <c:ser>
          <c:idx val="2"/>
          <c:order val="2"/>
          <c:tx>
            <c:strRef>
              <c:f>'17_ANALISIS_GRAFICO'!$E$17</c:f>
              <c:strCache>
                <c:ptCount val="1"/>
                <c:pt idx="0">
                  <c:v>Positivo</c:v>
                </c:pt>
              </c:strCache>
            </c:strRef>
          </c:tx>
          <c:spPr>
            <a:ln>
              <a:prstDash val="solid"/>
            </a:ln>
          </c:spPr>
          <c:marker>
            <c:symbol val="none"/>
          </c:marker>
          <c:cat>
            <c:strRef>
              <c:f>'17_ANALISIS_GRAFICO'!$B$18:$B$53</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'17_ANALISIS_GRAFICO'!$E$18:$E$53</c:f>
              <c:numCache>
                <c:formatCode>#,##0</c:formatCode>
                <c:ptCount val="36"/>
                <c:pt idx="0">
                  <c:v>114</c:v>
                </c:pt>
                <c:pt idx="1">
                  <c:v>237</c:v>
                </c:pt>
                <c:pt idx="2">
                  <c:v>370</c:v>
                </c:pt>
                <c:pt idx="3">
                  <c:v>515</c:v>
                </c:pt>
                <c:pt idx="4">
                  <c:v>674</c:v>
                </c:pt>
                <c:pt idx="5">
                  <c:v>849</c:v>
                </c:pt>
                <c:pt idx="6">
                  <c:v>1043</c:v>
                </c:pt>
                <c:pt idx="7">
                  <c:v>1259</c:v>
                </c:pt>
                <c:pt idx="8">
                  <c:v>1500</c:v>
                </c:pt>
                <c:pt idx="9">
                  <c:v>1770</c:v>
                </c:pt>
                <c:pt idx="10">
                  <c:v>2075</c:v>
                </c:pt>
                <c:pt idx="11">
                  <c:v>2419</c:v>
                </c:pt>
                <c:pt idx="12">
                  <c:v>2808</c:v>
                </c:pt>
                <c:pt idx="13">
                  <c:v>3250</c:v>
                </c:pt>
                <c:pt idx="14">
                  <c:v>3753</c:v>
                </c:pt>
                <c:pt idx="15">
                  <c:v>4325</c:v>
                </c:pt>
                <c:pt idx="16">
                  <c:v>4978</c:v>
                </c:pt>
                <c:pt idx="17">
                  <c:v>5724</c:v>
                </c:pt>
                <c:pt idx="18">
                  <c:v>6576</c:v>
                </c:pt>
                <c:pt idx="19">
                  <c:v>7552</c:v>
                </c:pt>
                <c:pt idx="20">
                  <c:v>8668</c:v>
                </c:pt>
                <c:pt idx="21">
                  <c:v>9948</c:v>
                </c:pt>
                <c:pt idx="22">
                  <c:v>11416</c:v>
                </c:pt>
                <c:pt idx="23">
                  <c:v>13099</c:v>
                </c:pt>
                <c:pt idx="24">
                  <c:v>15030</c:v>
                </c:pt>
                <c:pt idx="25">
                  <c:v>17247</c:v>
                </c:pt>
                <c:pt idx="26">
                  <c:v>19793</c:v>
                </c:pt>
                <c:pt idx="27">
                  <c:v>22716</c:v>
                </c:pt>
                <c:pt idx="28">
                  <c:v>26074</c:v>
                </c:pt>
                <c:pt idx="29">
                  <c:v>29932</c:v>
                </c:pt>
                <c:pt idx="30">
                  <c:v>34365</c:v>
                </c:pt>
                <c:pt idx="31">
                  <c:v>39459</c:v>
                </c:pt>
                <c:pt idx="32">
                  <c:v>45314</c:v>
                </c:pt>
                <c:pt idx="33">
                  <c:v>52045</c:v>
                </c:pt>
                <c:pt idx="34">
                  <c:v>59782</c:v>
                </c:pt>
                <c:pt idx="35">
                  <c:v>68677</c:v>
                </c:pt>
              </c:numCache>
            </c:numRef>
          </c:val>
          <c:smooth val="1"/>
          <c:extLst>
            <c:ext xmlns:c16="http://schemas.microsoft.com/office/drawing/2014/chart" uri="{C3380CC4-5D6E-409C-BE32-E72D297353CC}">
              <c16:uniqueId val="{00000002-E796-4623-A966-045C1925B2CD}"/>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Mes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Clientes</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EBITDA Proyectado por Escenario</a:t>
            </a:r>
          </a:p>
        </c:rich>
      </c:tx>
      <c:overlay val="1"/>
    </c:title>
    <c:autoTitleDeleted val="0"/>
    <c:plotArea>
      <c:layout/>
      <c:barChart>
        <c:barDir val="col"/>
        <c:grouping val="clustered"/>
        <c:varyColors val="1"/>
        <c:ser>
          <c:idx val="0"/>
          <c:order val="0"/>
          <c:tx>
            <c:strRef>
              <c:f>'17_ANALISIS_GRAFICO'!$C$58</c:f>
              <c:strCache>
                <c:ptCount val="1"/>
                <c:pt idx="0">
                  <c:v>Negativo</c:v>
                </c:pt>
              </c:strCache>
            </c:strRef>
          </c:tx>
          <c:spPr>
            <a:ln>
              <a:prstDash val="solid"/>
            </a:ln>
          </c:spPr>
          <c:invertIfNegative val="1"/>
          <c:dLbls>
            <c:spPr>
              <a:noFill/>
              <a:ln>
                <a:noFill/>
              </a:ln>
              <a:effectLst/>
            </c:spPr>
            <c:showLegendKey val="1"/>
            <c:showVal val="1"/>
            <c:showCatName val="0"/>
            <c:showSerName val="0"/>
            <c:showPercent val="1"/>
            <c:showBubbleSize val="1"/>
            <c:showLeaderLines val="0"/>
            <c:extLst>
              <c:ext xmlns:c15="http://schemas.microsoft.com/office/drawing/2012/chart" uri="{CE6537A1-D6FC-4f65-9D91-7224C49458BB}">
                <c15:showLeaderLines val="0"/>
              </c:ext>
            </c:extLst>
          </c:dLbls>
          <c:cat>
            <c:strRef>
              <c:f>'17_ANALISIS_GRAFICO'!$B$59:$B$61</c:f>
              <c:strCache>
                <c:ptCount val="3"/>
                <c:pt idx="0">
                  <c:v>Año 1</c:v>
                </c:pt>
                <c:pt idx="1">
                  <c:v>Año 2</c:v>
                </c:pt>
                <c:pt idx="2">
                  <c:v>Año 3</c:v>
                </c:pt>
              </c:strCache>
            </c:strRef>
          </c:cat>
          <c:val>
            <c:numRef>
              <c:f>'17_ANALISIS_GRAFICO'!$C$59:$C$61</c:f>
              <c:numCache>
                <c:formatCode>#,##0" €"</c:formatCode>
                <c:ptCount val="3"/>
                <c:pt idx="0">
                  <c:v>-186634.33000000002</c:v>
                </c:pt>
                <c:pt idx="1">
                  <c:v>-265254.31</c:v>
                </c:pt>
                <c:pt idx="2">
                  <c:v>-160168.47</c:v>
                </c:pt>
              </c:numCache>
            </c:numRef>
          </c:val>
          <c:extLst>
            <c:ext xmlns:c16="http://schemas.microsoft.com/office/drawing/2014/chart" uri="{C3380CC4-5D6E-409C-BE32-E72D297353CC}">
              <c16:uniqueId val="{00000000-EF61-4F89-99ED-F4367F3D1C1C}"/>
            </c:ext>
          </c:extLst>
        </c:ser>
        <c:ser>
          <c:idx val="1"/>
          <c:order val="1"/>
          <c:tx>
            <c:strRef>
              <c:f>'17_ANALISIS_GRAFICO'!$D$58</c:f>
              <c:strCache>
                <c:ptCount val="1"/>
                <c:pt idx="0">
                  <c:v>Equilibrio</c:v>
                </c:pt>
              </c:strCache>
            </c:strRef>
          </c:tx>
          <c:spPr>
            <a:ln>
              <a:prstDash val="solid"/>
            </a:ln>
          </c:spPr>
          <c:invertIfNegative val="1"/>
          <c:dLbls>
            <c:spPr>
              <a:noFill/>
              <a:ln>
                <a:noFill/>
              </a:ln>
              <a:effectLst/>
            </c:spPr>
            <c:showLegendKey val="1"/>
            <c:showVal val="1"/>
            <c:showCatName val="0"/>
            <c:showSerName val="0"/>
            <c:showPercent val="1"/>
            <c:showBubbleSize val="1"/>
            <c:showLeaderLines val="0"/>
            <c:extLst>
              <c:ext xmlns:c15="http://schemas.microsoft.com/office/drawing/2012/chart" uri="{CE6537A1-D6FC-4f65-9D91-7224C49458BB}">
                <c15:showLeaderLines val="0"/>
              </c:ext>
            </c:extLst>
          </c:dLbls>
          <c:cat>
            <c:strRef>
              <c:f>'17_ANALISIS_GRAFICO'!$B$59:$B$61</c:f>
              <c:strCache>
                <c:ptCount val="3"/>
                <c:pt idx="0">
                  <c:v>Año 1</c:v>
                </c:pt>
                <c:pt idx="1">
                  <c:v>Año 2</c:v>
                </c:pt>
                <c:pt idx="2">
                  <c:v>Año 3</c:v>
                </c:pt>
              </c:strCache>
            </c:strRef>
          </c:cat>
          <c:val>
            <c:numRef>
              <c:f>'17_ANALISIS_GRAFICO'!$D$59:$D$61</c:f>
              <c:numCache>
                <c:formatCode>#,##0" €"</c:formatCode>
                <c:ptCount val="3"/>
                <c:pt idx="0">
                  <c:v>-24232.988088724756</c:v>
                </c:pt>
                <c:pt idx="1">
                  <c:v>211583.64997990843</c:v>
                </c:pt>
                <c:pt idx="2">
                  <c:v>1097649.4931306262</c:v>
                </c:pt>
              </c:numCache>
            </c:numRef>
          </c:val>
          <c:extLst>
            <c:ext xmlns:c16="http://schemas.microsoft.com/office/drawing/2014/chart" uri="{C3380CC4-5D6E-409C-BE32-E72D297353CC}">
              <c16:uniqueId val="{00000001-EF61-4F89-99ED-F4367F3D1C1C}"/>
            </c:ext>
          </c:extLst>
        </c:ser>
        <c:ser>
          <c:idx val="2"/>
          <c:order val="2"/>
          <c:tx>
            <c:strRef>
              <c:f>'17_ANALISIS_GRAFICO'!$E$58</c:f>
              <c:strCache>
                <c:ptCount val="1"/>
                <c:pt idx="0">
                  <c:v>Positivo</c:v>
                </c:pt>
              </c:strCache>
            </c:strRef>
          </c:tx>
          <c:spPr>
            <a:ln>
              <a:prstDash val="solid"/>
            </a:ln>
          </c:spPr>
          <c:invertIfNegative val="1"/>
          <c:dLbls>
            <c:spPr>
              <a:noFill/>
              <a:ln>
                <a:noFill/>
              </a:ln>
              <a:effectLst/>
            </c:spPr>
            <c:showLegendKey val="1"/>
            <c:showVal val="1"/>
            <c:showCatName val="0"/>
            <c:showSerName val="0"/>
            <c:showPercent val="1"/>
            <c:showBubbleSize val="1"/>
            <c:showLeaderLines val="0"/>
            <c:extLst>
              <c:ext xmlns:c15="http://schemas.microsoft.com/office/drawing/2012/chart" uri="{CE6537A1-D6FC-4f65-9D91-7224C49458BB}">
                <c15:showLeaderLines val="0"/>
              </c:ext>
            </c:extLst>
          </c:dLbls>
          <c:cat>
            <c:strRef>
              <c:f>'17_ANALISIS_GRAFICO'!$B$59:$B$61</c:f>
              <c:strCache>
                <c:ptCount val="3"/>
                <c:pt idx="0">
                  <c:v>Año 1</c:v>
                </c:pt>
                <c:pt idx="1">
                  <c:v>Año 2</c:v>
                </c:pt>
                <c:pt idx="2">
                  <c:v>Año 3</c:v>
                </c:pt>
              </c:strCache>
            </c:strRef>
          </c:cat>
          <c:val>
            <c:numRef>
              <c:f>'17_ANALISIS_GRAFICO'!$E$59:$E$61</c:f>
              <c:numCache>
                <c:formatCode>#,##0" €"</c:formatCode>
                <c:ptCount val="3"/>
                <c:pt idx="0">
                  <c:v>691555.06</c:v>
                </c:pt>
                <c:pt idx="1">
                  <c:v>3693558.01</c:v>
                </c:pt>
                <c:pt idx="2">
                  <c:v>19803049.649999999</c:v>
                </c:pt>
              </c:numCache>
            </c:numRef>
          </c:val>
          <c:extLst>
            <c:ext xmlns:c16="http://schemas.microsoft.com/office/drawing/2014/chart" uri="{C3380CC4-5D6E-409C-BE32-E72D297353CC}">
              <c16:uniqueId val="{00000002-EF61-4F89-99ED-F4367F3D1C1C}"/>
            </c:ext>
          </c:extLst>
        </c:ser>
        <c:dLbls>
          <c:showLegendKey val="1"/>
          <c:showVal val="1"/>
          <c:showCatName val="0"/>
          <c:showSerName val="0"/>
          <c:showPercent val="1"/>
          <c:showBubbleSize val="1"/>
        </c:dLbls>
        <c:gapWidth val="150"/>
        <c:axId val="10"/>
        <c:axId val="100"/>
      </c:barChart>
      <c:catAx>
        <c:axId val="10"/>
        <c:scaling>
          <c:orientation val="minMax"/>
        </c:scaling>
        <c:delete val="0"/>
        <c:axPos val="b"/>
        <c:title>
          <c:tx>
            <c:rich>
              <a:bodyPr/>
              <a:lstStyle/>
              <a:p>
                <a:pPr>
                  <a:defRPr/>
                </a:pPr>
                <a:r>
                  <a:t>Año</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EUR</a:t>
                </a:r>
              </a:p>
            </c:rich>
          </c:tx>
          <c:overlay val="1"/>
        </c:title>
        <c:numFmt formatCode="#,##0&quot; €&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Distribución Accionarial por Escenario</a:t>
            </a:r>
          </a:p>
        </c:rich>
      </c:tx>
      <c:overlay val="1"/>
    </c:title>
    <c:autoTitleDeleted val="0"/>
    <c:plotArea>
      <c:layout/>
      <c:barChart>
        <c:barDir val="col"/>
        <c:grouping val="stacked"/>
        <c:varyColors val="1"/>
        <c:ser>
          <c:idx val="0"/>
          <c:order val="0"/>
          <c:tx>
            <c:strRef>
              <c:f>'17_ANALISIS_GRAFICO'!$C$82</c:f>
              <c:strCache>
                <c:ptCount val="1"/>
                <c:pt idx="0">
                  <c:v>Bootstrap</c:v>
                </c:pt>
              </c:strCache>
            </c:strRef>
          </c:tx>
          <c:spPr>
            <a:ln>
              <a:prstDash val="solid"/>
            </a:ln>
          </c:spPr>
          <c:invertIfNegative val="1"/>
          <c:cat>
            <c:strRef>
              <c:f>'17_ANALISIS_GRAFICO'!$B$83:$B$85</c:f>
              <c:strCache>
                <c:ptCount val="3"/>
                <c:pt idx="0">
                  <c:v>Fundadores %</c:v>
                </c:pt>
                <c:pt idx="1">
                  <c:v>Inversores Business Angels %</c:v>
                </c:pt>
                <c:pt idx="2">
                  <c:v>Venture Capital / Crowdfund %</c:v>
                </c:pt>
              </c:strCache>
            </c:strRef>
          </c:cat>
          <c:val>
            <c:numRef>
              <c:f>'17_ANALISIS_GRAFICO'!$C$83:$C$85</c:f>
              <c:numCache>
                <c:formatCode>0.0%</c:formatCode>
                <c:ptCount val="3"/>
                <c:pt idx="0">
                  <c:v>1</c:v>
                </c:pt>
                <c:pt idx="1">
                  <c:v>0</c:v>
                </c:pt>
                <c:pt idx="2">
                  <c:v>0</c:v>
                </c:pt>
              </c:numCache>
            </c:numRef>
          </c:val>
          <c:extLst>
            <c:ext xmlns:c16="http://schemas.microsoft.com/office/drawing/2014/chart" uri="{C3380CC4-5D6E-409C-BE32-E72D297353CC}">
              <c16:uniqueId val="{00000000-7E6F-44A6-A666-18CE8A481305}"/>
            </c:ext>
          </c:extLst>
        </c:ser>
        <c:ser>
          <c:idx val="1"/>
          <c:order val="1"/>
          <c:tx>
            <c:strRef>
              <c:f>'17_ANALISIS_GRAFICO'!$D$82</c:f>
              <c:strCache>
                <c:ptCount val="1"/>
                <c:pt idx="0">
                  <c:v>Híbrido</c:v>
                </c:pt>
              </c:strCache>
            </c:strRef>
          </c:tx>
          <c:spPr>
            <a:ln>
              <a:prstDash val="solid"/>
            </a:ln>
          </c:spPr>
          <c:invertIfNegative val="1"/>
          <c:cat>
            <c:strRef>
              <c:f>'17_ANALISIS_GRAFICO'!$B$83:$B$85</c:f>
              <c:strCache>
                <c:ptCount val="3"/>
                <c:pt idx="0">
                  <c:v>Fundadores %</c:v>
                </c:pt>
                <c:pt idx="1">
                  <c:v>Inversores Business Angels %</c:v>
                </c:pt>
                <c:pt idx="2">
                  <c:v>Venture Capital / Crowdfund %</c:v>
                </c:pt>
              </c:strCache>
            </c:strRef>
          </c:cat>
          <c:val>
            <c:numRef>
              <c:f>'17_ANALISIS_GRAFICO'!$D$83:$D$85</c:f>
              <c:numCache>
                <c:formatCode>0.0%</c:formatCode>
                <c:ptCount val="3"/>
                <c:pt idx="0">
                  <c:v>0.42857142857142855</c:v>
                </c:pt>
                <c:pt idx="1">
                  <c:v>0.5714285714285714</c:v>
                </c:pt>
                <c:pt idx="2">
                  <c:v>0</c:v>
                </c:pt>
              </c:numCache>
            </c:numRef>
          </c:val>
          <c:extLst>
            <c:ext xmlns:c16="http://schemas.microsoft.com/office/drawing/2014/chart" uri="{C3380CC4-5D6E-409C-BE32-E72D297353CC}">
              <c16:uniqueId val="{00000001-7E6F-44A6-A666-18CE8A481305}"/>
            </c:ext>
          </c:extLst>
        </c:ser>
        <c:ser>
          <c:idx val="2"/>
          <c:order val="2"/>
          <c:tx>
            <c:strRef>
              <c:f>'17_ANALISIS_GRAFICO'!$E$82</c:f>
              <c:strCache>
                <c:ptCount val="1"/>
                <c:pt idx="0">
                  <c:v>VC &amp; Crowdfunding</c:v>
                </c:pt>
              </c:strCache>
            </c:strRef>
          </c:tx>
          <c:spPr>
            <a:ln>
              <a:prstDash val="solid"/>
            </a:ln>
          </c:spPr>
          <c:invertIfNegative val="1"/>
          <c:cat>
            <c:strRef>
              <c:f>'17_ANALISIS_GRAFICO'!$B$83:$B$85</c:f>
              <c:strCache>
                <c:ptCount val="3"/>
                <c:pt idx="0">
                  <c:v>Fundadores %</c:v>
                </c:pt>
                <c:pt idx="1">
                  <c:v>Inversores Business Angels %</c:v>
                </c:pt>
                <c:pt idx="2">
                  <c:v>Venture Capital / Crowdfund %</c:v>
                </c:pt>
              </c:strCache>
            </c:strRef>
          </c:cat>
          <c:val>
            <c:numRef>
              <c:f>'17_ANALISIS_GRAFICO'!$E$83:$E$85</c:f>
              <c:numCache>
                <c:formatCode>0.0%</c:formatCode>
                <c:ptCount val="3"/>
                <c:pt idx="0">
                  <c:v>0.31578947368421051</c:v>
                </c:pt>
                <c:pt idx="1">
                  <c:v>0.57894736842105265</c:v>
                </c:pt>
                <c:pt idx="2">
                  <c:v>0.10526315789473684</c:v>
                </c:pt>
              </c:numCache>
            </c:numRef>
          </c:val>
          <c:extLst>
            <c:ext xmlns:c16="http://schemas.microsoft.com/office/drawing/2014/chart" uri="{C3380CC4-5D6E-409C-BE32-E72D297353CC}">
              <c16:uniqueId val="{00000002-7E6F-44A6-A666-18CE8A481305}"/>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t>Escenario</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Porcentaje (%)</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Estructura de Ingresos Consolidados (Año 3)</a:t>
            </a:r>
          </a:p>
        </c:rich>
      </c:tx>
      <c:overlay val="1"/>
    </c:title>
    <c:autoTitleDeleted val="0"/>
    <c:plotArea>
      <c:layout/>
      <c:pieChart>
        <c:varyColors val="1"/>
        <c:ser>
          <c:idx val="0"/>
          <c:order val="0"/>
          <c:tx>
            <c:strRef>
              <c:f>'17_ANALISIS_GRAFICO'!$C$107</c:f>
              <c:strCache>
                <c:ptCount val="1"/>
                <c:pt idx="0">
                  <c:v>Facturación Año 3 (EUR)</c:v>
                </c:pt>
              </c:strCache>
            </c:strRef>
          </c:tx>
          <c:spPr>
            <a:ln>
              <a:prstDash val="solid"/>
            </a:ln>
          </c:spPr>
          <c:dLbls>
            <c:spPr>
              <a:noFill/>
              <a:ln>
                <a:noFill/>
              </a:ln>
              <a:effectLst/>
            </c:spPr>
            <c:showLegendKey val="1"/>
            <c:showVal val="0"/>
            <c:showCatName val="1"/>
            <c:showSerName val="0"/>
            <c:showPercent val="1"/>
            <c:showBubbleSize val="1"/>
            <c:showLeaderLines val="1"/>
            <c:extLst>
              <c:ext xmlns:c15="http://schemas.microsoft.com/office/drawing/2012/chart" uri="{CE6537A1-D6FC-4f65-9D91-7224C49458BB}"/>
            </c:extLst>
          </c:dLbls>
          <c:cat>
            <c:strRef>
              <c:f>'17_ANALISIS_GRAFICO'!$B$108:$B$113</c:f>
              <c:strCache>
                <c:ptCount val="6"/>
                <c:pt idx="0">
                  <c:v>Suscripciones Premium Care (SaaS)</c:v>
                </c:pt>
                <c:pt idx="1">
                  <c:v>Seguro CUDI Shield Basic</c:v>
                </c:pt>
                <c:pt idx="2">
                  <c:v>Venta Collares (Hardware)</c:v>
                </c:pt>
                <c:pt idx="3">
                  <c:v>Servicios VetHome CUDI</c:v>
                </c:pt>
                <c:pt idx="4">
                  <c:v>Comisiones Marketplace</c:v>
                </c:pt>
                <c:pt idx="5">
                  <c:v>Ingresos B2B, Publicidad y Afiliación</c:v>
                </c:pt>
              </c:strCache>
            </c:strRef>
          </c:cat>
          <c:val>
            <c:numRef>
              <c:f>'17_ANALISIS_GRAFICO'!$C$108:$C$113</c:f>
              <c:numCache>
                <c:formatCode>#,##0" €"</c:formatCode>
                <c:ptCount val="6"/>
                <c:pt idx="0">
                  <c:v>1182786.5999999999</c:v>
                </c:pt>
                <c:pt idx="1">
                  <c:v>104537.5</c:v>
                </c:pt>
                <c:pt idx="2">
                  <c:v>442130</c:v>
                </c:pt>
                <c:pt idx="3">
                  <c:v>139425</c:v>
                </c:pt>
                <c:pt idx="4">
                  <c:v>30963.75</c:v>
                </c:pt>
                <c:pt idx="5">
                  <c:v>142683.23526218042</c:v>
                </c:pt>
              </c:numCache>
            </c:numRef>
          </c:val>
          <c:extLst>
            <c:ext xmlns:c16="http://schemas.microsoft.com/office/drawing/2014/chart" uri="{C3380CC4-5D6E-409C-BE32-E72D297353CC}">
              <c16:uniqueId val="{00000000-4A45-4154-9B0D-9D43788E5663}"/>
            </c:ext>
          </c:extLst>
        </c:ser>
        <c:dLbls>
          <c:showLegendKey val="1"/>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Evolución Mensual de Ingresos (Escenario Activo)</a:t>
            </a:r>
          </a:p>
        </c:rich>
      </c:tx>
      <c:overlay val="1"/>
    </c:title>
    <c:autoTitleDeleted val="0"/>
    <c:plotArea>
      <c:layout/>
      <c:lineChart>
        <c:grouping val="standard"/>
        <c:varyColors val="1"/>
        <c:ser>
          <c:idx val="0"/>
          <c:order val="0"/>
          <c:tx>
            <c:strRef>
              <c:f>'17_ANALISIS_GRAFICO'!$C$132</c:f>
              <c:strCache>
                <c:ptCount val="1"/>
                <c:pt idx="0">
                  <c:v>SaaS Premium</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'17_ANALISIS_GRAFICO'!$C$133:$C$168</c:f>
              <c:numCache>
                <c:formatCode>#,##0" €"</c:formatCode>
                <c:ptCount val="36"/>
                <c:pt idx="0">
                  <c:v>1317.8999999999999</c:v>
                </c:pt>
                <c:pt idx="1">
                  <c:v>2664.45</c:v>
                </c:pt>
                <c:pt idx="2">
                  <c:v>4039.6499999999996</c:v>
                </c:pt>
                <c:pt idx="3">
                  <c:v>5443.5</c:v>
                </c:pt>
                <c:pt idx="4">
                  <c:v>6904.65</c:v>
                </c:pt>
                <c:pt idx="5">
                  <c:v>8423.0999999999985</c:v>
                </c:pt>
                <c:pt idx="6">
                  <c:v>9998.8499999999985</c:v>
                </c:pt>
                <c:pt idx="7">
                  <c:v>11631.9</c:v>
                </c:pt>
                <c:pt idx="8">
                  <c:v>13379.55</c:v>
                </c:pt>
                <c:pt idx="9">
                  <c:v>15213.15</c:v>
                </c:pt>
                <c:pt idx="10">
                  <c:v>17161.349999999999</c:v>
                </c:pt>
                <c:pt idx="11">
                  <c:v>19195.5</c:v>
                </c:pt>
                <c:pt idx="12">
                  <c:v>21344.25</c:v>
                </c:pt>
                <c:pt idx="13">
                  <c:v>23607.599999999999</c:v>
                </c:pt>
                <c:pt idx="14">
                  <c:v>26014.199999999997</c:v>
                </c:pt>
                <c:pt idx="15">
                  <c:v>28592.699999999997</c:v>
                </c:pt>
                <c:pt idx="16">
                  <c:v>31343.1</c:v>
                </c:pt>
                <c:pt idx="17">
                  <c:v>34265.399999999994</c:v>
                </c:pt>
                <c:pt idx="18">
                  <c:v>37416.899999999994</c:v>
                </c:pt>
                <c:pt idx="19">
                  <c:v>40768.949999999997</c:v>
                </c:pt>
                <c:pt idx="20">
                  <c:v>44378.85</c:v>
                </c:pt>
                <c:pt idx="21">
                  <c:v>48246.6</c:v>
                </c:pt>
                <c:pt idx="22">
                  <c:v>52372.2</c:v>
                </c:pt>
                <c:pt idx="23">
                  <c:v>56812.95</c:v>
                </c:pt>
                <c:pt idx="24">
                  <c:v>61597.5</c:v>
                </c:pt>
                <c:pt idx="25">
                  <c:v>66754.5</c:v>
                </c:pt>
                <c:pt idx="26">
                  <c:v>72283.95</c:v>
                </c:pt>
                <c:pt idx="27">
                  <c:v>78243.149999999994</c:v>
                </c:pt>
                <c:pt idx="28">
                  <c:v>84660.75</c:v>
                </c:pt>
                <c:pt idx="29">
                  <c:v>91565.4</c:v>
                </c:pt>
                <c:pt idx="30">
                  <c:v>99014.399999999994</c:v>
                </c:pt>
                <c:pt idx="31">
                  <c:v>107036.4</c:v>
                </c:pt>
                <c:pt idx="32">
                  <c:v>115688.7</c:v>
                </c:pt>
                <c:pt idx="33">
                  <c:v>124999.94999999998</c:v>
                </c:pt>
                <c:pt idx="34">
                  <c:v>135056.09999999998</c:v>
                </c:pt>
                <c:pt idx="35">
                  <c:v>145885.79999999999</c:v>
                </c:pt>
              </c:numCache>
            </c:numRef>
          </c:val>
          <c:smooth val="1"/>
          <c:extLst>
            <c:ext xmlns:c16="http://schemas.microsoft.com/office/drawing/2014/chart" uri="{C3380CC4-5D6E-409C-BE32-E72D297353CC}">
              <c16:uniqueId val="{00000000-4DB2-4D89-9356-B8F9F0E85BCA}"/>
            </c:ext>
          </c:extLst>
        </c:ser>
        <c:ser>
          <c:idx val="1"/>
          <c:order val="1"/>
          <c:tx>
            <c:strRef>
              <c:f>'17_ANALISIS_GRAFICO'!$D$132</c:f>
              <c:strCache>
                <c:ptCount val="1"/>
                <c:pt idx="0">
                  <c:v>CUDI Shield Basic</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'17_ANALISIS_GRAFICO'!$D$133:$D$168</c:f>
              <c:numCache>
                <c:formatCode>#,##0" €"</c:formatCode>
                <c:ptCount val="36"/>
                <c:pt idx="0">
                  <c:v>466.75</c:v>
                </c:pt>
                <c:pt idx="1">
                  <c:v>562.625</c:v>
                </c:pt>
                <c:pt idx="2">
                  <c:v>658.5</c:v>
                </c:pt>
                <c:pt idx="3">
                  <c:v>768</c:v>
                </c:pt>
                <c:pt idx="4">
                  <c:v>877.5</c:v>
                </c:pt>
                <c:pt idx="5">
                  <c:v>1000.625</c:v>
                </c:pt>
                <c:pt idx="6">
                  <c:v>1120.125</c:v>
                </c:pt>
                <c:pt idx="7">
                  <c:v>1248.25</c:v>
                </c:pt>
                <c:pt idx="8">
                  <c:v>1390</c:v>
                </c:pt>
                <c:pt idx="9">
                  <c:v>1536.75</c:v>
                </c:pt>
                <c:pt idx="10">
                  <c:v>1702.125</c:v>
                </c:pt>
                <c:pt idx="11">
                  <c:v>1867.5</c:v>
                </c:pt>
                <c:pt idx="12">
                  <c:v>2042.875</c:v>
                </c:pt>
                <c:pt idx="13">
                  <c:v>2226.875</c:v>
                </c:pt>
                <c:pt idx="14">
                  <c:v>2429.5</c:v>
                </c:pt>
                <c:pt idx="15">
                  <c:v>2650.75</c:v>
                </c:pt>
                <c:pt idx="16">
                  <c:v>2882</c:v>
                </c:pt>
                <c:pt idx="17">
                  <c:v>3131.875</c:v>
                </c:pt>
                <c:pt idx="18">
                  <c:v>3400.375</c:v>
                </c:pt>
                <c:pt idx="19">
                  <c:v>3687.5</c:v>
                </c:pt>
                <c:pt idx="20">
                  <c:v>3998.25</c:v>
                </c:pt>
                <c:pt idx="21">
                  <c:v>4327.625</c:v>
                </c:pt>
                <c:pt idx="22">
                  <c:v>4680.625</c:v>
                </c:pt>
                <c:pt idx="23">
                  <c:v>5070.875</c:v>
                </c:pt>
                <c:pt idx="24">
                  <c:v>5484.75</c:v>
                </c:pt>
                <c:pt idx="25">
                  <c:v>5935.875</c:v>
                </c:pt>
                <c:pt idx="26">
                  <c:v>6415.625</c:v>
                </c:pt>
                <c:pt idx="27">
                  <c:v>6932.625</c:v>
                </c:pt>
                <c:pt idx="28">
                  <c:v>7496.875</c:v>
                </c:pt>
                <c:pt idx="29">
                  <c:v>8098.375</c:v>
                </c:pt>
                <c:pt idx="30">
                  <c:v>8747.125</c:v>
                </c:pt>
                <c:pt idx="31">
                  <c:v>9451.75</c:v>
                </c:pt>
                <c:pt idx="32">
                  <c:v>10203.625</c:v>
                </c:pt>
                <c:pt idx="33">
                  <c:v>11021.375</c:v>
                </c:pt>
                <c:pt idx="34">
                  <c:v>11900</c:v>
                </c:pt>
                <c:pt idx="35">
                  <c:v>12849.5</c:v>
                </c:pt>
              </c:numCache>
            </c:numRef>
          </c:val>
          <c:smooth val="1"/>
          <c:extLst>
            <c:ext xmlns:c16="http://schemas.microsoft.com/office/drawing/2014/chart" uri="{C3380CC4-5D6E-409C-BE32-E72D297353CC}">
              <c16:uniqueId val="{00000001-4DB2-4D89-9356-B8F9F0E85BCA}"/>
            </c:ext>
          </c:extLst>
        </c:ser>
        <c:ser>
          <c:idx val="2"/>
          <c:order val="2"/>
          <c:tx>
            <c:strRef>
              <c:f>'17_ANALISIS_GRAFICO'!$E$132</c:f>
              <c:strCache>
                <c:ptCount val="1"/>
                <c:pt idx="0">
                  <c:v>Smart Collars GPS</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'17_ANALISIS_GRAFICO'!$E$133:$E$168</c:f>
              <c:numCache>
                <c:formatCode>#,##0" €"</c:formatCode>
                <c:ptCount val="36"/>
                <c:pt idx="0">
                  <c:v>4117</c:v>
                </c:pt>
                <c:pt idx="1">
                  <c:v>4385.5</c:v>
                </c:pt>
                <c:pt idx="2">
                  <c:v>4654</c:v>
                </c:pt>
                <c:pt idx="3">
                  <c:v>5012</c:v>
                </c:pt>
                <c:pt idx="4">
                  <c:v>5370</c:v>
                </c:pt>
                <c:pt idx="5">
                  <c:v>5817.5</c:v>
                </c:pt>
                <c:pt idx="6">
                  <c:v>6175.5</c:v>
                </c:pt>
                <c:pt idx="7">
                  <c:v>6623</c:v>
                </c:pt>
                <c:pt idx="8">
                  <c:v>7160</c:v>
                </c:pt>
                <c:pt idx="9">
                  <c:v>7697</c:v>
                </c:pt>
                <c:pt idx="10">
                  <c:v>8323.5</c:v>
                </c:pt>
                <c:pt idx="11">
                  <c:v>8950</c:v>
                </c:pt>
                <c:pt idx="12">
                  <c:v>9576.5</c:v>
                </c:pt>
                <c:pt idx="13">
                  <c:v>10292.5</c:v>
                </c:pt>
                <c:pt idx="14">
                  <c:v>11098</c:v>
                </c:pt>
                <c:pt idx="15">
                  <c:v>11993</c:v>
                </c:pt>
                <c:pt idx="16">
                  <c:v>12888</c:v>
                </c:pt>
                <c:pt idx="17">
                  <c:v>13872.5</c:v>
                </c:pt>
                <c:pt idx="18">
                  <c:v>14946.5</c:v>
                </c:pt>
                <c:pt idx="19">
                  <c:v>16110</c:v>
                </c:pt>
                <c:pt idx="20">
                  <c:v>17363</c:v>
                </c:pt>
                <c:pt idx="21">
                  <c:v>18705.5</c:v>
                </c:pt>
                <c:pt idx="22">
                  <c:v>20137.5</c:v>
                </c:pt>
                <c:pt idx="23">
                  <c:v>21748.5</c:v>
                </c:pt>
                <c:pt idx="24">
                  <c:v>23449</c:v>
                </c:pt>
                <c:pt idx="25">
                  <c:v>25328.5</c:v>
                </c:pt>
                <c:pt idx="26">
                  <c:v>27297.5</c:v>
                </c:pt>
                <c:pt idx="27">
                  <c:v>29445.5</c:v>
                </c:pt>
                <c:pt idx="28">
                  <c:v>31772.5</c:v>
                </c:pt>
                <c:pt idx="29">
                  <c:v>34278.5</c:v>
                </c:pt>
                <c:pt idx="30">
                  <c:v>36963.5</c:v>
                </c:pt>
                <c:pt idx="31">
                  <c:v>39917</c:v>
                </c:pt>
                <c:pt idx="32">
                  <c:v>43049.5</c:v>
                </c:pt>
                <c:pt idx="33">
                  <c:v>46450.5</c:v>
                </c:pt>
                <c:pt idx="34">
                  <c:v>50120</c:v>
                </c:pt>
                <c:pt idx="35">
                  <c:v>54058</c:v>
                </c:pt>
              </c:numCache>
            </c:numRef>
          </c:val>
          <c:smooth val="1"/>
          <c:extLst>
            <c:ext xmlns:c16="http://schemas.microsoft.com/office/drawing/2014/chart" uri="{C3380CC4-5D6E-409C-BE32-E72D297353CC}">
              <c16:uniqueId val="{00000002-4DB2-4D89-9356-B8F9F0E85BCA}"/>
            </c:ext>
          </c:extLst>
        </c:ser>
        <c:ser>
          <c:idx val="3"/>
          <c:order val="3"/>
          <c:tx>
            <c:strRef>
              <c:f>'17_ANALISIS_GRAFICO'!$F$132</c:f>
              <c:strCache>
                <c:ptCount val="1"/>
                <c:pt idx="0">
                  <c:v>VetHome Express</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'17_ANALISIS_GRAFICO'!$F$133:$F$168</c:f>
              <c:numCache>
                <c:formatCode>#,##0" €"</c:formatCode>
                <c:ptCount val="36"/>
                <c:pt idx="0">
                  <c:v>150</c:v>
                </c:pt>
                <c:pt idx="1">
                  <c:v>300</c:v>
                </c:pt>
                <c:pt idx="2">
                  <c:v>450</c:v>
                </c:pt>
                <c:pt idx="3">
                  <c:v>675</c:v>
                </c:pt>
                <c:pt idx="4">
                  <c:v>825</c:v>
                </c:pt>
                <c:pt idx="5">
                  <c:v>975</c:v>
                </c:pt>
                <c:pt idx="6">
                  <c:v>1200</c:v>
                </c:pt>
                <c:pt idx="7">
                  <c:v>1350</c:v>
                </c:pt>
                <c:pt idx="8">
                  <c:v>1575</c:v>
                </c:pt>
                <c:pt idx="9">
                  <c:v>1800</c:v>
                </c:pt>
                <c:pt idx="10">
                  <c:v>2025</c:v>
                </c:pt>
                <c:pt idx="11">
                  <c:v>2250</c:v>
                </c:pt>
                <c:pt idx="12">
                  <c:v>2550</c:v>
                </c:pt>
                <c:pt idx="13">
                  <c:v>2775</c:v>
                </c:pt>
                <c:pt idx="14">
                  <c:v>3075</c:v>
                </c:pt>
                <c:pt idx="15">
                  <c:v>3375</c:v>
                </c:pt>
                <c:pt idx="16">
                  <c:v>3675</c:v>
                </c:pt>
                <c:pt idx="17">
                  <c:v>4050</c:v>
                </c:pt>
                <c:pt idx="18">
                  <c:v>4425</c:v>
                </c:pt>
                <c:pt idx="19">
                  <c:v>4800</c:v>
                </c:pt>
                <c:pt idx="20">
                  <c:v>5250</c:v>
                </c:pt>
                <c:pt idx="21">
                  <c:v>5700</c:v>
                </c:pt>
                <c:pt idx="22">
                  <c:v>6150</c:v>
                </c:pt>
                <c:pt idx="23">
                  <c:v>6675</c:v>
                </c:pt>
                <c:pt idx="24">
                  <c:v>7275</c:v>
                </c:pt>
                <c:pt idx="25">
                  <c:v>7875</c:v>
                </c:pt>
                <c:pt idx="26">
                  <c:v>8550</c:v>
                </c:pt>
                <c:pt idx="27">
                  <c:v>9225</c:v>
                </c:pt>
                <c:pt idx="28">
                  <c:v>9975</c:v>
                </c:pt>
                <c:pt idx="29">
                  <c:v>10800</c:v>
                </c:pt>
                <c:pt idx="30">
                  <c:v>11700</c:v>
                </c:pt>
                <c:pt idx="31">
                  <c:v>12600</c:v>
                </c:pt>
                <c:pt idx="32">
                  <c:v>13650</c:v>
                </c:pt>
                <c:pt idx="33">
                  <c:v>14700</c:v>
                </c:pt>
                <c:pt idx="34">
                  <c:v>15900</c:v>
                </c:pt>
                <c:pt idx="35">
                  <c:v>17175</c:v>
                </c:pt>
              </c:numCache>
            </c:numRef>
          </c:val>
          <c:smooth val="1"/>
          <c:extLst>
            <c:ext xmlns:c16="http://schemas.microsoft.com/office/drawing/2014/chart" uri="{C3380CC4-5D6E-409C-BE32-E72D297353CC}">
              <c16:uniqueId val="{00000003-4DB2-4D89-9356-B8F9F0E85BCA}"/>
            </c:ext>
          </c:extLst>
        </c:ser>
        <c:ser>
          <c:idx val="4"/>
          <c:order val="4"/>
          <c:tx>
            <c:strRef>
              <c:f>'17_ANALISIS_GRAFICO'!$G$132</c:f>
              <c:strCache>
                <c:ptCount val="1"/>
                <c:pt idx="0">
                  <c:v>Marketplace B2C</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'17_ANALISIS_GRAFICO'!$G$133:$G$168</c:f>
              <c:numCache>
                <c:formatCode>#,##0" €"</c:formatCode>
                <c:ptCount val="36"/>
                <c:pt idx="0">
                  <c:v>33.75</c:v>
                </c:pt>
                <c:pt idx="1">
                  <c:v>71.25</c:v>
                </c:pt>
                <c:pt idx="2">
                  <c:v>105</c:v>
                </c:pt>
                <c:pt idx="3">
                  <c:v>142.5</c:v>
                </c:pt>
                <c:pt idx="4">
                  <c:v>180</c:v>
                </c:pt>
                <c:pt idx="5">
                  <c:v>221.25</c:v>
                </c:pt>
                <c:pt idx="6">
                  <c:v>262.5</c:v>
                </c:pt>
                <c:pt idx="7">
                  <c:v>303.75</c:v>
                </c:pt>
                <c:pt idx="8">
                  <c:v>348.75</c:v>
                </c:pt>
                <c:pt idx="9">
                  <c:v>397.5</c:v>
                </c:pt>
                <c:pt idx="10">
                  <c:v>450</c:v>
                </c:pt>
                <c:pt idx="11">
                  <c:v>502.5</c:v>
                </c:pt>
                <c:pt idx="12">
                  <c:v>558.75</c:v>
                </c:pt>
                <c:pt idx="13">
                  <c:v>618.75</c:v>
                </c:pt>
                <c:pt idx="14">
                  <c:v>682.5</c:v>
                </c:pt>
                <c:pt idx="15">
                  <c:v>750</c:v>
                </c:pt>
                <c:pt idx="16">
                  <c:v>821.25</c:v>
                </c:pt>
                <c:pt idx="17">
                  <c:v>896.25</c:v>
                </c:pt>
                <c:pt idx="18">
                  <c:v>978.75</c:v>
                </c:pt>
                <c:pt idx="19">
                  <c:v>1068.75</c:v>
                </c:pt>
                <c:pt idx="20">
                  <c:v>1162.5</c:v>
                </c:pt>
                <c:pt idx="21">
                  <c:v>1263.75</c:v>
                </c:pt>
                <c:pt idx="22">
                  <c:v>1372.5</c:v>
                </c:pt>
                <c:pt idx="23">
                  <c:v>1488.75</c:v>
                </c:pt>
                <c:pt idx="24">
                  <c:v>1612.5</c:v>
                </c:pt>
                <c:pt idx="25">
                  <c:v>1747.5</c:v>
                </c:pt>
                <c:pt idx="26">
                  <c:v>1893.75</c:v>
                </c:pt>
                <c:pt idx="27">
                  <c:v>2047.5</c:v>
                </c:pt>
                <c:pt idx="28">
                  <c:v>2216.25</c:v>
                </c:pt>
                <c:pt idx="29">
                  <c:v>2396.25</c:v>
                </c:pt>
                <c:pt idx="30">
                  <c:v>2591.25</c:v>
                </c:pt>
                <c:pt idx="31">
                  <c:v>2801.25</c:v>
                </c:pt>
                <c:pt idx="32">
                  <c:v>3030</c:v>
                </c:pt>
                <c:pt idx="33">
                  <c:v>3273.75</c:v>
                </c:pt>
                <c:pt idx="34">
                  <c:v>3536.25</c:v>
                </c:pt>
                <c:pt idx="35">
                  <c:v>3817.5</c:v>
                </c:pt>
              </c:numCache>
            </c:numRef>
          </c:val>
          <c:smooth val="1"/>
          <c:extLst>
            <c:ext xmlns:c16="http://schemas.microsoft.com/office/drawing/2014/chart" uri="{C3380CC4-5D6E-409C-BE32-E72D297353CC}">
              <c16:uniqueId val="{00000004-4DB2-4D89-9356-B8F9F0E85BCA}"/>
            </c:ext>
          </c:extLst>
        </c:ser>
        <c:ser>
          <c:idx val="5"/>
          <c:order val="5"/>
          <c:tx>
            <c:strRef>
              <c:f>'17_ANALISIS_GRAFICO'!$H$132</c:f>
              <c:strCache>
                <c:ptCount val="1"/>
                <c:pt idx="0">
                  <c:v>SaaS Clínicas B2B</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'17_ANALISIS_GRAFICO'!$H$133:$H$168</c:f>
              <c:numCache>
                <c:formatCode>#,##0" €"</c:formatCode>
                <c:ptCount val="36"/>
                <c:pt idx="0">
                  <c:v>800</c:v>
                </c:pt>
                <c:pt idx="1">
                  <c:v>880</c:v>
                </c:pt>
                <c:pt idx="2">
                  <c:v>960</c:v>
                </c:pt>
                <c:pt idx="3">
                  <c:v>1040</c:v>
                </c:pt>
                <c:pt idx="4">
                  <c:v>1120</c:v>
                </c:pt>
                <c:pt idx="5">
                  <c:v>1200</c:v>
                </c:pt>
                <c:pt idx="6">
                  <c:v>1280</c:v>
                </c:pt>
                <c:pt idx="7">
                  <c:v>1440</c:v>
                </c:pt>
                <c:pt idx="8">
                  <c:v>1520</c:v>
                </c:pt>
                <c:pt idx="9">
                  <c:v>1600</c:v>
                </c:pt>
                <c:pt idx="10">
                  <c:v>1680</c:v>
                </c:pt>
                <c:pt idx="11">
                  <c:v>1840</c:v>
                </c:pt>
                <c:pt idx="12">
                  <c:v>1920</c:v>
                </c:pt>
                <c:pt idx="13">
                  <c:v>2080</c:v>
                </c:pt>
                <c:pt idx="14">
                  <c:v>2240</c:v>
                </c:pt>
                <c:pt idx="15">
                  <c:v>2320</c:v>
                </c:pt>
                <c:pt idx="16">
                  <c:v>2400</c:v>
                </c:pt>
                <c:pt idx="17">
                  <c:v>2400</c:v>
                </c:pt>
                <c:pt idx="18">
                  <c:v>2400</c:v>
                </c:pt>
                <c:pt idx="19">
                  <c:v>2400</c:v>
                </c:pt>
                <c:pt idx="20">
                  <c:v>2400</c:v>
                </c:pt>
                <c:pt idx="21">
                  <c:v>2400</c:v>
                </c:pt>
                <c:pt idx="22">
                  <c:v>2400</c:v>
                </c:pt>
                <c:pt idx="23">
                  <c:v>2400</c:v>
                </c:pt>
                <c:pt idx="24">
                  <c:v>2400</c:v>
                </c:pt>
                <c:pt idx="25">
                  <c:v>2400</c:v>
                </c:pt>
                <c:pt idx="26">
                  <c:v>2400</c:v>
                </c:pt>
                <c:pt idx="27">
                  <c:v>2400</c:v>
                </c:pt>
                <c:pt idx="28">
                  <c:v>2400</c:v>
                </c:pt>
                <c:pt idx="29">
                  <c:v>2400</c:v>
                </c:pt>
                <c:pt idx="30">
                  <c:v>2400</c:v>
                </c:pt>
                <c:pt idx="31">
                  <c:v>2400</c:v>
                </c:pt>
                <c:pt idx="32">
                  <c:v>2400</c:v>
                </c:pt>
                <c:pt idx="33">
                  <c:v>2400</c:v>
                </c:pt>
                <c:pt idx="34">
                  <c:v>2400</c:v>
                </c:pt>
                <c:pt idx="35">
                  <c:v>2400</c:v>
                </c:pt>
              </c:numCache>
            </c:numRef>
          </c:val>
          <c:smooth val="1"/>
          <c:extLst>
            <c:ext xmlns:c16="http://schemas.microsoft.com/office/drawing/2014/chart" uri="{C3380CC4-5D6E-409C-BE32-E72D297353CC}">
              <c16:uniqueId val="{00000005-4DB2-4D89-9356-B8F9F0E85BCA}"/>
            </c:ext>
          </c:extLst>
        </c:ser>
        <c:ser>
          <c:idx val="6"/>
          <c:order val="6"/>
          <c:tx>
            <c:strRef>
              <c:f>'17_ANALISIS_GRAFICO'!$I$132</c:f>
              <c:strCache>
                <c:ptCount val="1"/>
                <c:pt idx="0">
                  <c:v>SaaS Pet-Services B2B</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'17_ANALISIS_GRAFICO'!$I$133:$I$168</c:f>
              <c:numCache>
                <c:formatCode>#,##0" €"</c:formatCode>
                <c:ptCount val="36"/>
                <c:pt idx="0">
                  <c:v>119.97</c:v>
                </c:pt>
                <c:pt idx="1">
                  <c:v>159.96</c:v>
                </c:pt>
                <c:pt idx="2">
                  <c:v>199.95000000000002</c:v>
                </c:pt>
                <c:pt idx="3">
                  <c:v>239.94</c:v>
                </c:pt>
                <c:pt idx="4">
                  <c:v>319.92</c:v>
                </c:pt>
                <c:pt idx="5">
                  <c:v>359.91</c:v>
                </c:pt>
                <c:pt idx="6">
                  <c:v>399.90000000000003</c:v>
                </c:pt>
                <c:pt idx="7">
                  <c:v>479.88</c:v>
                </c:pt>
                <c:pt idx="8">
                  <c:v>519.87</c:v>
                </c:pt>
                <c:pt idx="9">
                  <c:v>599.85</c:v>
                </c:pt>
                <c:pt idx="10">
                  <c:v>639.84</c:v>
                </c:pt>
                <c:pt idx="11">
                  <c:v>719.82</c:v>
                </c:pt>
                <c:pt idx="12">
                  <c:v>799.80000000000007</c:v>
                </c:pt>
                <c:pt idx="13">
                  <c:v>799.80000000000007</c:v>
                </c:pt>
                <c:pt idx="14">
                  <c:v>799.80000000000007</c:v>
                </c:pt>
                <c:pt idx="15">
                  <c:v>799.80000000000007</c:v>
                </c:pt>
                <c:pt idx="16">
                  <c:v>799.80000000000007</c:v>
                </c:pt>
                <c:pt idx="17">
                  <c:v>799.80000000000007</c:v>
                </c:pt>
                <c:pt idx="18">
                  <c:v>799.80000000000007</c:v>
                </c:pt>
                <c:pt idx="19">
                  <c:v>799.80000000000007</c:v>
                </c:pt>
                <c:pt idx="20">
                  <c:v>799.80000000000007</c:v>
                </c:pt>
                <c:pt idx="21">
                  <c:v>799.80000000000007</c:v>
                </c:pt>
                <c:pt idx="22">
                  <c:v>799.80000000000007</c:v>
                </c:pt>
                <c:pt idx="23">
                  <c:v>799.80000000000007</c:v>
                </c:pt>
                <c:pt idx="24">
                  <c:v>799.80000000000007</c:v>
                </c:pt>
                <c:pt idx="25">
                  <c:v>799.80000000000007</c:v>
                </c:pt>
                <c:pt idx="26">
                  <c:v>799.80000000000007</c:v>
                </c:pt>
                <c:pt idx="27">
                  <c:v>799.80000000000007</c:v>
                </c:pt>
                <c:pt idx="28">
                  <c:v>799.80000000000007</c:v>
                </c:pt>
                <c:pt idx="29">
                  <c:v>799.80000000000007</c:v>
                </c:pt>
                <c:pt idx="30">
                  <c:v>799.80000000000007</c:v>
                </c:pt>
                <c:pt idx="31">
                  <c:v>799.80000000000007</c:v>
                </c:pt>
                <c:pt idx="32">
                  <c:v>799.80000000000007</c:v>
                </c:pt>
                <c:pt idx="33">
                  <c:v>799.80000000000007</c:v>
                </c:pt>
                <c:pt idx="34">
                  <c:v>799.80000000000007</c:v>
                </c:pt>
                <c:pt idx="35">
                  <c:v>799.80000000000007</c:v>
                </c:pt>
              </c:numCache>
            </c:numRef>
          </c:val>
          <c:smooth val="1"/>
          <c:extLst>
            <c:ext xmlns:c16="http://schemas.microsoft.com/office/drawing/2014/chart" uri="{C3380CC4-5D6E-409C-BE32-E72D297353CC}">
              <c16:uniqueId val="{00000006-4DB2-4D89-9356-B8F9F0E85BCA}"/>
            </c:ext>
          </c:extLst>
        </c:ser>
        <c:ser>
          <c:idx val="7"/>
          <c:order val="7"/>
          <c:tx>
            <c:strRef>
              <c:f>'17_ANALISIS_GRAFICO'!$J$132</c:f>
              <c:strCache>
                <c:ptCount val="1"/>
                <c:pt idx="0">
                  <c:v>Afiliación Ecom</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'17_ANALISIS_GRAFICO'!$J$133:$J$168</c:f>
              <c:numCache>
                <c:formatCode>#,##0" €"</c:formatCode>
                <c:ptCount val="36"/>
                <c:pt idx="0">
                  <c:v>12.143999999999998</c:v>
                </c:pt>
                <c:pt idx="1">
                  <c:v>24.552</c:v>
                </c:pt>
                <c:pt idx="2">
                  <c:v>37.223999999999997</c:v>
                </c:pt>
                <c:pt idx="3">
                  <c:v>50.160000000000004</c:v>
                </c:pt>
                <c:pt idx="4">
                  <c:v>63.623999999999995</c:v>
                </c:pt>
                <c:pt idx="5">
                  <c:v>77.616</c:v>
                </c:pt>
                <c:pt idx="6">
                  <c:v>92.135999999999981</c:v>
                </c:pt>
                <c:pt idx="7">
                  <c:v>107.184</c:v>
                </c:pt>
                <c:pt idx="8">
                  <c:v>123.288</c:v>
                </c:pt>
                <c:pt idx="9">
                  <c:v>140.184</c:v>
                </c:pt>
                <c:pt idx="10">
                  <c:v>158.136</c:v>
                </c:pt>
                <c:pt idx="11">
                  <c:v>176.87999999999997</c:v>
                </c:pt>
                <c:pt idx="12">
                  <c:v>196.67999999999998</c:v>
                </c:pt>
                <c:pt idx="13">
                  <c:v>217.536</c:v>
                </c:pt>
                <c:pt idx="14">
                  <c:v>239.71199999999999</c:v>
                </c:pt>
                <c:pt idx="15">
                  <c:v>263.47199999999998</c:v>
                </c:pt>
                <c:pt idx="16">
                  <c:v>288.81599999999997</c:v>
                </c:pt>
                <c:pt idx="17">
                  <c:v>315.74399999999997</c:v>
                </c:pt>
                <c:pt idx="18">
                  <c:v>344.78400000000005</c:v>
                </c:pt>
                <c:pt idx="19">
                  <c:v>375.67199999999997</c:v>
                </c:pt>
                <c:pt idx="20">
                  <c:v>408.93599999999998</c:v>
                </c:pt>
                <c:pt idx="21">
                  <c:v>444.57600000000002</c:v>
                </c:pt>
                <c:pt idx="22">
                  <c:v>482.59199999999998</c:v>
                </c:pt>
                <c:pt idx="23">
                  <c:v>523.51199999999994</c:v>
                </c:pt>
                <c:pt idx="24">
                  <c:v>567.6</c:v>
                </c:pt>
                <c:pt idx="25">
                  <c:v>615.11999999999989</c:v>
                </c:pt>
                <c:pt idx="26">
                  <c:v>666.072</c:v>
                </c:pt>
                <c:pt idx="27">
                  <c:v>720.98399999999992</c:v>
                </c:pt>
                <c:pt idx="28">
                  <c:v>780.11999999999989</c:v>
                </c:pt>
                <c:pt idx="29">
                  <c:v>843.74399999999991</c:v>
                </c:pt>
                <c:pt idx="30">
                  <c:v>912.38400000000001</c:v>
                </c:pt>
                <c:pt idx="31">
                  <c:v>986.30399999999997</c:v>
                </c:pt>
                <c:pt idx="32">
                  <c:v>1066.0319999999999</c:v>
                </c:pt>
                <c:pt idx="33">
                  <c:v>1151.8319999999999</c:v>
                </c:pt>
                <c:pt idx="34">
                  <c:v>1244.4959999999999</c:v>
                </c:pt>
                <c:pt idx="35">
                  <c:v>1344.288</c:v>
                </c:pt>
              </c:numCache>
            </c:numRef>
          </c:val>
          <c:smooth val="1"/>
          <c:extLst>
            <c:ext xmlns:c16="http://schemas.microsoft.com/office/drawing/2014/chart" uri="{C3380CC4-5D6E-409C-BE32-E72D297353CC}">
              <c16:uniqueId val="{00000007-4DB2-4D89-9356-B8F9F0E85BCA}"/>
            </c:ext>
          </c:extLst>
        </c:ser>
        <c:ser>
          <c:idx val="8"/>
          <c:order val="8"/>
          <c:tx>
            <c:strRef>
              <c:f>'17_ANALISIS_GRAFICO'!$K$132</c:f>
              <c:strCache>
                <c:ptCount val="1"/>
                <c:pt idx="0">
                  <c:v>Publicidad In-App</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'17_ANALISIS_GRAFICO'!$K$133:$K$168</c:f>
              <c:numCache>
                <c:formatCode>#,##0" €"</c:formatCode>
                <c:ptCount val="36"/>
                <c:pt idx="0">
                  <c:v>356.58</c:v>
                </c:pt>
                <c:pt idx="1">
                  <c:v>377.30880000000002</c:v>
                </c:pt>
                <c:pt idx="2">
                  <c:v>400.19270400000011</c:v>
                </c:pt>
                <c:pt idx="3">
                  <c:v>425.41852032000014</c:v>
                </c:pt>
                <c:pt idx="4">
                  <c:v>453.00800194560014</c:v>
                </c:pt>
                <c:pt idx="5">
                  <c:v>483.17904210124823</c:v>
                </c:pt>
                <c:pt idx="6">
                  <c:v>516.16696546934816</c:v>
                </c:pt>
                <c:pt idx="7">
                  <c:v>552.22592270689597</c:v>
                </c:pt>
                <c:pt idx="8">
                  <c:v>591.27039652344774</c:v>
                </c:pt>
                <c:pt idx="9">
                  <c:v>633.7768282453236</c:v>
                </c:pt>
                <c:pt idx="10">
                  <c:v>679.88537450494937</c:v>
                </c:pt>
                <c:pt idx="11">
                  <c:v>730.12180446534535</c:v>
                </c:pt>
                <c:pt idx="12">
                  <c:v>784.67954882257311</c:v>
                </c:pt>
                <c:pt idx="13">
                  <c:v>843.96191272837905</c:v>
                </c:pt>
                <c:pt idx="14">
                  <c:v>908.22446574664934</c:v>
                </c:pt>
                <c:pt idx="15">
                  <c:v>977.75762300638144</c:v>
                </c:pt>
                <c:pt idx="16">
                  <c:v>1053.0694328468921</c:v>
                </c:pt>
                <c:pt idx="17">
                  <c:v>1134.7085874746435</c:v>
                </c:pt>
                <c:pt idx="18">
                  <c:v>1222.9076744726151</c:v>
                </c:pt>
                <c:pt idx="19">
                  <c:v>1318.4866884304245</c:v>
                </c:pt>
                <c:pt idx="20">
                  <c:v>1421.7768235048586</c:v>
                </c:pt>
                <c:pt idx="21">
                  <c:v>1533.5245693852476</c:v>
                </c:pt>
                <c:pt idx="22">
                  <c:v>1654.5361349360676</c:v>
                </c:pt>
                <c:pt idx="23">
                  <c:v>1785.3222257309531</c:v>
                </c:pt>
                <c:pt idx="24">
                  <c:v>1926.6432037894292</c:v>
                </c:pt>
                <c:pt idx="25">
                  <c:v>2079.3346600925838</c:v>
                </c:pt>
                <c:pt idx="26">
                  <c:v>2244.4934328999907</c:v>
                </c:pt>
                <c:pt idx="27">
                  <c:v>2422.9441075319901</c:v>
                </c:pt>
                <c:pt idx="28">
                  <c:v>2615.7860361345492</c:v>
                </c:pt>
                <c:pt idx="29">
                  <c:v>2824.2209190253129</c:v>
                </c:pt>
                <c:pt idx="30">
                  <c:v>3049.3809925473379</c:v>
                </c:pt>
                <c:pt idx="31">
                  <c:v>3292.6978719511253</c:v>
                </c:pt>
                <c:pt idx="32">
                  <c:v>3555.5521017072156</c:v>
                </c:pt>
                <c:pt idx="33">
                  <c:v>3839.6434698437929</c:v>
                </c:pt>
                <c:pt idx="34">
                  <c:v>4146.4621474312971</c:v>
                </c:pt>
                <c:pt idx="35">
                  <c:v>4478.0207192258013</c:v>
                </c:pt>
              </c:numCache>
            </c:numRef>
          </c:val>
          <c:smooth val="1"/>
          <c:extLst>
            <c:ext xmlns:c16="http://schemas.microsoft.com/office/drawing/2014/chart" uri="{C3380CC4-5D6E-409C-BE32-E72D297353CC}">
              <c16:uniqueId val="{00000008-4DB2-4D89-9356-B8F9F0E85BCA}"/>
            </c:ext>
          </c:extLst>
        </c:ser>
        <c:ser>
          <c:idx val="9"/>
          <c:order val="9"/>
          <c:tx>
            <c:strRef>
              <c:f>'17_ANALISIS_GRAFICO'!$L$132</c:f>
              <c:strCache>
                <c:ptCount val="1"/>
                <c:pt idx="0">
                  <c:v>Patrocinios B2B</c:v>
                </c:pt>
              </c:strCache>
            </c:strRef>
          </c:tx>
          <c:spPr>
            <a:ln>
              <a:prstDash val="solid"/>
            </a:ln>
          </c:spPr>
          <c:marker>
            <c:symbol val="none"/>
          </c:marker>
          <c:cat>
            <c:strRef>
              <c:f>'17_ANALISIS_GRAFICO'!$B$133:$B$168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'17_ANALISIS_GRAFICO'!$L$133:$L$168</c:f>
              <c:numCache>
                <c:formatCode>#,##0" €"</c:formatCode>
                <c:ptCount val="36"/>
                <c:pt idx="0">
                  <c:v>4742.6233000000002</c:v>
                </c:pt>
                <c:pt idx="1">
                  <c:v>4742.6233000000002</c:v>
                </c:pt>
                <c:pt idx="2">
                  <c:v>4742.6233000000002</c:v>
                </c:pt>
                <c:pt idx="3">
                  <c:v>4742.6233000000002</c:v>
                </c:pt>
                <c:pt idx="4">
                  <c:v>4742.6233000000002</c:v>
                </c:pt>
                <c:pt idx="5">
                  <c:v>4742.6233000000002</c:v>
                </c:pt>
                <c:pt idx="6">
                  <c:v>4742.6233000000002</c:v>
                </c:pt>
                <c:pt idx="7">
                  <c:v>4742.6233000000002</c:v>
                </c:pt>
                <c:pt idx="8">
                  <c:v>4742.6233000000002</c:v>
                </c:pt>
                <c:pt idx="9">
                  <c:v>4742.6233000000002</c:v>
                </c:pt>
                <c:pt idx="10">
                  <c:v>4742.6233000000002</c:v>
                </c:pt>
                <c:pt idx="11">
                  <c:v>4742.6233000000002</c:v>
                </c:pt>
                <c:pt idx="12">
                  <c:v>4742.6233000000002</c:v>
                </c:pt>
                <c:pt idx="13">
                  <c:v>4742.6233000000002</c:v>
                </c:pt>
                <c:pt idx="14">
                  <c:v>4742.6233000000002</c:v>
                </c:pt>
                <c:pt idx="15">
                  <c:v>4742.6233000000002</c:v>
                </c:pt>
                <c:pt idx="16">
                  <c:v>4742.6233000000002</c:v>
                </c:pt>
                <c:pt idx="17">
                  <c:v>4742.6233000000002</c:v>
                </c:pt>
                <c:pt idx="18">
                  <c:v>4742.6233000000002</c:v>
                </c:pt>
                <c:pt idx="19">
                  <c:v>4742.6233000000002</c:v>
                </c:pt>
                <c:pt idx="20">
                  <c:v>4742.6233000000002</c:v>
                </c:pt>
                <c:pt idx="21">
                  <c:v>4742.6233000000002</c:v>
                </c:pt>
                <c:pt idx="22">
                  <c:v>4742.6233000000002</c:v>
                </c:pt>
                <c:pt idx="23">
                  <c:v>4742.6233000000002</c:v>
                </c:pt>
                <c:pt idx="24">
                  <c:v>4742.6233000000002</c:v>
                </c:pt>
                <c:pt idx="25">
                  <c:v>4742.6233000000002</c:v>
                </c:pt>
                <c:pt idx="26">
                  <c:v>4742.6233000000002</c:v>
                </c:pt>
                <c:pt idx="27">
                  <c:v>4742.6233000000002</c:v>
                </c:pt>
                <c:pt idx="28">
                  <c:v>4742.6233000000002</c:v>
                </c:pt>
                <c:pt idx="29">
                  <c:v>4742.6233000000002</c:v>
                </c:pt>
                <c:pt idx="30">
                  <c:v>4742.6233000000002</c:v>
                </c:pt>
                <c:pt idx="31">
                  <c:v>4742.6233000000002</c:v>
                </c:pt>
                <c:pt idx="32">
                  <c:v>4742.6233000000002</c:v>
                </c:pt>
                <c:pt idx="33">
                  <c:v>4742.6233000000002</c:v>
                </c:pt>
                <c:pt idx="34">
                  <c:v>4742.6233000000002</c:v>
                </c:pt>
                <c:pt idx="35">
                  <c:v>4742.6233000000002</c:v>
                </c:pt>
              </c:numCache>
            </c:numRef>
          </c:val>
          <c:smooth val="1"/>
          <c:extLst>
            <c:ext xmlns:c16="http://schemas.microsoft.com/office/drawing/2014/chart" uri="{C3380CC4-5D6E-409C-BE32-E72D297353CC}">
              <c16:uniqueId val="{00000009-4DB2-4D89-9356-B8F9F0E85BCA}"/>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Mes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EUR</a:t>
                </a:r>
              </a:p>
            </c:rich>
          </c:tx>
          <c:overlay val="1"/>
        </c:title>
        <c:numFmt formatCode="#,##0&quot; €&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Evolución de Caja vs Flujo Neto</a:t>
            </a:r>
          </a:p>
        </c:rich>
      </c:tx>
      <c:overlay val="1"/>
    </c:title>
    <c:autoTitleDeleted val="0"/>
    <c:plotArea>
      <c:layout/>
      <c:lineChart>
        <c:grouping val="standard"/>
        <c:varyColors val="1"/>
        <c:ser>
          <c:idx val="0"/>
          <c:order val="0"/>
          <c:tx>
            <c:strRef>
              <c:f>'17_ANALISIS_GRAFICO'!$C$182</c:f>
              <c:strCache>
                <c:ptCount val="1"/>
                <c:pt idx="0">
                  <c:v>Caja Disponible Acumulada</c:v>
                </c:pt>
              </c:strCache>
            </c:strRef>
          </c:tx>
          <c:spPr>
            <a:ln>
              <a:prstDash val="solid"/>
            </a:ln>
          </c:spPr>
          <c:marker>
            <c:symbol val="none"/>
          </c:marker>
          <c:cat>
            <c:strRef>
              <c:f>'17_ANALISIS_GRAFICO'!$B$183:$B$218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'17_ANALISIS_GRAFICO'!$C$183:$C$218</c:f>
              <c:numCache>
                <c:formatCode>#,##0" €"</c:formatCode>
                <c:ptCount val="36"/>
                <c:pt idx="0">
                  <c:v>160450.49936750002</c:v>
                </c:pt>
                <c:pt idx="1">
                  <c:v>149647.02174000003</c:v>
                </c:pt>
                <c:pt idx="2">
                  <c:v>141181.73324390003</c:v>
                </c:pt>
                <c:pt idx="3">
                  <c:v>137729.81651871203</c:v>
                </c:pt>
                <c:pt idx="4">
                  <c:v>136145.733688109</c:v>
                </c:pt>
                <c:pt idx="5">
                  <c:v>136580.65694665772</c:v>
                </c:pt>
                <c:pt idx="6">
                  <c:v>139002.50318049034</c:v>
                </c:pt>
                <c:pt idx="7">
                  <c:v>143637.24607262955</c:v>
                </c:pt>
                <c:pt idx="8">
                  <c:v>150664.71897673991</c:v>
                </c:pt>
                <c:pt idx="9">
                  <c:v>158385.53225177911</c:v>
                </c:pt>
                <c:pt idx="10">
                  <c:v>170589.87043442143</c:v>
                </c:pt>
                <c:pt idx="11">
                  <c:v>185648.46191127517</c:v>
                </c:pt>
                <c:pt idx="12">
                  <c:v>186679.58581387717</c:v>
                </c:pt>
                <c:pt idx="13">
                  <c:v>190799.21837128734</c:v>
                </c:pt>
                <c:pt idx="14">
                  <c:v>198327.57414289031</c:v>
                </c:pt>
                <c:pt idx="15">
                  <c:v>209450.59699282155</c:v>
                </c:pt>
                <c:pt idx="16">
                  <c:v>224286.75425734726</c:v>
                </c:pt>
                <c:pt idx="17">
                  <c:v>243096.14512263503</c:v>
                </c:pt>
                <c:pt idx="18">
                  <c:v>263098.43576441251</c:v>
                </c:pt>
                <c:pt idx="19">
                  <c:v>287662.18736979883</c:v>
                </c:pt>
                <c:pt idx="20">
                  <c:v>317181.4367568827</c:v>
                </c:pt>
                <c:pt idx="21">
                  <c:v>351976.60482119996</c:v>
                </c:pt>
                <c:pt idx="22">
                  <c:v>392373.77351192932</c:v>
                </c:pt>
                <c:pt idx="23">
                  <c:v>438956.63689118368</c:v>
                </c:pt>
                <c:pt idx="24">
                  <c:v>488675.35464904504</c:v>
                </c:pt>
                <c:pt idx="25">
                  <c:v>545578.8504518019</c:v>
                </c:pt>
                <c:pt idx="26">
                  <c:v>610144.27050804603</c:v>
                </c:pt>
                <c:pt idx="27">
                  <c:v>682951.89792205638</c:v>
                </c:pt>
                <c:pt idx="28">
                  <c:v>764689.84631645423</c:v>
                </c:pt>
                <c:pt idx="29">
                  <c:v>856050.56587167061</c:v>
                </c:pt>
                <c:pt idx="30">
                  <c:v>957774.15924857091</c:v>
                </c:pt>
                <c:pt idx="31">
                  <c:v>1070691.5429578898</c:v>
                </c:pt>
                <c:pt idx="32">
                  <c:v>1195672.0562162211</c:v>
                </c:pt>
                <c:pt idx="33">
                  <c:v>1333609.0823084854</c:v>
                </c:pt>
                <c:pt idx="34">
                  <c:v>1485592.2021363976</c:v>
                </c:pt>
                <c:pt idx="35">
                  <c:v>1652666.1550218095</c:v>
                </c:pt>
              </c:numCache>
            </c:numRef>
          </c:val>
          <c:smooth val="1"/>
          <c:extLst>
            <c:ext xmlns:c16="http://schemas.microsoft.com/office/drawing/2014/chart" uri="{C3380CC4-5D6E-409C-BE32-E72D297353CC}">
              <c16:uniqueId val="{00000000-65A7-4FDE-B5B0-11BF1837897E}"/>
            </c:ext>
          </c:extLst>
        </c:ser>
        <c:ser>
          <c:idx val="1"/>
          <c:order val="1"/>
          <c:tx>
            <c:strRef>
              <c:f>'17_ANALISIS_GRAFICO'!$D$182</c:f>
              <c:strCache>
                <c:ptCount val="1"/>
                <c:pt idx="0">
                  <c:v>Net Cash Flow (Flujo Neto)</c:v>
                </c:pt>
              </c:strCache>
            </c:strRef>
          </c:tx>
          <c:spPr>
            <a:ln>
              <a:prstDash val="solid"/>
            </a:ln>
          </c:spPr>
          <c:marker>
            <c:symbol val="none"/>
          </c:marker>
          <c:cat>
            <c:strRef>
              <c:f>'17_ANALISIS_GRAFICO'!$B$183:$B$218</c:f>
              <c:strCache>
                <c:ptCount val="36"/>
                <c:pt idx="0">
                  <c:v>Mes 1</c:v>
                </c:pt>
                <c:pt idx="1">
                  <c:v>Mes 2</c:v>
                </c:pt>
                <c:pt idx="2">
                  <c:v>Mes 3</c:v>
                </c:pt>
                <c:pt idx="3">
                  <c:v>Mes 4</c:v>
                </c:pt>
                <c:pt idx="4">
                  <c:v>Mes 5</c:v>
                </c:pt>
                <c:pt idx="5">
                  <c:v>Mes 6</c:v>
                </c:pt>
                <c:pt idx="6">
                  <c:v>Mes 7</c:v>
                </c:pt>
                <c:pt idx="7">
                  <c:v>Mes 8</c:v>
                </c:pt>
                <c:pt idx="8">
                  <c:v>Mes 9</c:v>
                </c:pt>
                <c:pt idx="9">
                  <c:v>Mes 10</c:v>
                </c:pt>
                <c:pt idx="10">
                  <c:v>Mes 11</c:v>
                </c:pt>
                <c:pt idx="11">
                  <c:v>Mes 12</c:v>
                </c:pt>
                <c:pt idx="12">
                  <c:v>Mes 13</c:v>
                </c:pt>
                <c:pt idx="13">
                  <c:v>Mes 14</c:v>
                </c:pt>
                <c:pt idx="14">
                  <c:v>Mes 15</c:v>
                </c:pt>
                <c:pt idx="15">
                  <c:v>Mes 16</c:v>
                </c:pt>
                <c:pt idx="16">
                  <c:v>Mes 17</c:v>
                </c:pt>
                <c:pt idx="17">
                  <c:v>Mes 18</c:v>
                </c:pt>
                <c:pt idx="18">
                  <c:v>Mes 19</c:v>
                </c:pt>
                <c:pt idx="19">
                  <c:v>Mes 20</c:v>
                </c:pt>
                <c:pt idx="20">
                  <c:v>Mes 21</c:v>
                </c:pt>
                <c:pt idx="21">
                  <c:v>Mes 22</c:v>
                </c:pt>
                <c:pt idx="22">
                  <c:v>Mes 23</c:v>
                </c:pt>
                <c:pt idx="23">
                  <c:v>Mes 24</c:v>
                </c:pt>
                <c:pt idx="24">
                  <c:v>Mes 25</c:v>
                </c:pt>
                <c:pt idx="25">
                  <c:v>Mes 26</c:v>
                </c:pt>
                <c:pt idx="26">
                  <c:v>Mes 27</c:v>
                </c:pt>
                <c:pt idx="27">
                  <c:v>Mes 28</c:v>
                </c:pt>
                <c:pt idx="28">
                  <c:v>Mes 29</c:v>
                </c:pt>
                <c:pt idx="29">
                  <c:v>Mes 30</c:v>
                </c:pt>
                <c:pt idx="30">
                  <c:v>Mes 31</c:v>
                </c:pt>
                <c:pt idx="31">
                  <c:v>Mes 32</c:v>
                </c:pt>
                <c:pt idx="32">
                  <c:v>Mes 33</c:v>
                </c:pt>
                <c:pt idx="33">
                  <c:v>Mes 34</c:v>
                </c:pt>
                <c:pt idx="34">
                  <c:v>Mes 35</c:v>
                </c:pt>
                <c:pt idx="35">
                  <c:v>Mes 36</c:v>
                </c:pt>
              </c:strCache>
            </c:strRef>
          </c:cat>
          <c:val>
            <c:numRef>
              <c:f>'17_ANALISIS_GRAFICO'!$D$183:$D$218</c:f>
              <c:numCache>
                <c:formatCode>#,##0" €"</c:formatCode>
                <c:ptCount val="36"/>
                <c:pt idx="0">
                  <c:v>160450.49936750002</c:v>
                </c:pt>
                <c:pt idx="1">
                  <c:v>-10803.477627499991</c:v>
                </c:pt>
                <c:pt idx="2">
                  <c:v>-8465.2884960999945</c:v>
                </c:pt>
                <c:pt idx="3">
                  <c:v>-3451.9167251879944</c:v>
                </c:pt>
                <c:pt idx="4">
                  <c:v>-1584.0828306030353</c:v>
                </c:pt>
                <c:pt idx="5">
                  <c:v>434.92325854872524</c:v>
                </c:pt>
                <c:pt idx="6">
                  <c:v>2421.8462338326208</c:v>
                </c:pt>
                <c:pt idx="7">
                  <c:v>4634.7428921392266</c:v>
                </c:pt>
                <c:pt idx="8">
                  <c:v>7027.4729041103592</c:v>
                </c:pt>
                <c:pt idx="9">
                  <c:v>7720.8132750391924</c:v>
                </c:pt>
                <c:pt idx="10">
                  <c:v>12204.338182642334</c:v>
                </c:pt>
                <c:pt idx="11">
                  <c:v>15058.591476853719</c:v>
                </c:pt>
                <c:pt idx="12">
                  <c:v>1031.1239026020039</c:v>
                </c:pt>
                <c:pt idx="13">
                  <c:v>4119.6325574101647</c:v>
                </c:pt>
                <c:pt idx="14">
                  <c:v>7528.3557716029754</c:v>
                </c:pt>
                <c:pt idx="15">
                  <c:v>11123.022849931225</c:v>
                </c:pt>
                <c:pt idx="16">
                  <c:v>14836.157264525704</c:v>
                </c:pt>
                <c:pt idx="17">
                  <c:v>18809.390865287773</c:v>
                </c:pt>
                <c:pt idx="18">
                  <c:v>20002.290641777465</c:v>
                </c:pt>
                <c:pt idx="19">
                  <c:v>24563.751605386315</c:v>
                </c:pt>
                <c:pt idx="20">
                  <c:v>29519.249387083884</c:v>
                </c:pt>
                <c:pt idx="21">
                  <c:v>34795.168064317266</c:v>
                </c:pt>
                <c:pt idx="22">
                  <c:v>40397.168690729333</c:v>
                </c:pt>
                <c:pt idx="23">
                  <c:v>46582.863379254326</c:v>
                </c:pt>
                <c:pt idx="24">
                  <c:v>49718.717757861348</c:v>
                </c:pt>
                <c:pt idx="25">
                  <c:v>56903.495802756923</c:v>
                </c:pt>
                <c:pt idx="26">
                  <c:v>64565.420056244126</c:v>
                </c:pt>
                <c:pt idx="27">
                  <c:v>72807.627414010334</c:v>
                </c:pt>
                <c:pt idx="28">
                  <c:v>81737.948394397827</c:v>
                </c:pt>
                <c:pt idx="29">
                  <c:v>91360.719555216347</c:v>
                </c:pt>
                <c:pt idx="30">
                  <c:v>101723.59337690032</c:v>
                </c:pt>
                <c:pt idx="31">
                  <c:v>112917.38370931899</c:v>
                </c:pt>
                <c:pt idx="32">
                  <c:v>124980.51325833121</c:v>
                </c:pt>
                <c:pt idx="33">
                  <c:v>137937.02609226436</c:v>
                </c:pt>
                <c:pt idx="34">
                  <c:v>151983.11982791213</c:v>
                </c:pt>
                <c:pt idx="35">
                  <c:v>167073.9528854118</c:v>
                </c:pt>
              </c:numCache>
            </c:numRef>
          </c:val>
          <c:smooth val="1"/>
          <c:extLst>
            <c:ext xmlns:c16="http://schemas.microsoft.com/office/drawing/2014/chart" uri="{C3380CC4-5D6E-409C-BE32-E72D297353CC}">
              <c16:uniqueId val="{00000001-65A7-4FDE-B5B0-11BF1837897E}"/>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Mes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t>EUR</a:t>
                </a:r>
              </a:p>
            </c:rich>
          </c:tx>
          <c:overlay val="1"/>
        </c:title>
        <c:numFmt formatCode="#,##0&quot; €&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0</xdr:colOff>
      <xdr:row>109</xdr:row>
      <xdr:rowOff>0</xdr:rowOff>
    </xdr:from>
    <xdr:ext cx="7200000" cy="36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5</xdr:row>
      <xdr:rowOff>0</xdr:rowOff>
    </xdr:from>
    <xdr:ext cx="6480000" cy="504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16</xdr:row>
      <xdr:rowOff>0</xdr:rowOff>
    </xdr:from>
    <xdr:ext cx="5760000" cy="288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55</xdr:row>
      <xdr:rowOff>0</xdr:rowOff>
    </xdr:from>
    <xdr:ext cx="7920000" cy="3960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0</xdr:colOff>
      <xdr:row>79</xdr:row>
      <xdr:rowOff>0</xdr:rowOff>
    </xdr:from>
    <xdr:ext cx="7920000" cy="3960000"/>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0</xdr:colOff>
      <xdr:row>104</xdr:row>
      <xdr:rowOff>0</xdr:rowOff>
    </xdr:from>
    <xdr:ext cx="7200000" cy="3960000"/>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13</xdr:col>
      <xdr:colOff>0</xdr:colOff>
      <xdr:row>129</xdr:row>
      <xdr:rowOff>0</xdr:rowOff>
    </xdr:from>
    <xdr:ext cx="6480000" cy="2880000"/>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0</xdr:colOff>
      <xdr:row>179</xdr:row>
      <xdr:rowOff>0</xdr:rowOff>
    </xdr:from>
    <xdr:ext cx="5760000" cy="2880000"/>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75569"/>
  </sheetPr>
  <dimension ref="A3:C42"/>
  <sheetViews>
    <sheetView tabSelected="1" workbookViewId="0"/>
  </sheetViews>
  <sheetFormatPr baseColWidth="10" defaultColWidth="8.7265625" defaultRowHeight="14.5"/>
  <cols>
    <col min="2" max="2" width="32" customWidth="1"/>
    <col min="3" max="3" width="65" customWidth="1"/>
  </cols>
  <sheetData>
    <row r="3" spans="2:3" ht="35">
      <c r="B3" s="1" t="s">
        <v>0</v>
      </c>
    </row>
    <row r="4" spans="2:3" ht="16.5">
      <c r="B4" s="2" t="s">
        <v>1</v>
      </c>
    </row>
    <row r="5" spans="2:3" ht="16">
      <c r="B5" s="3" t="s">
        <v>2</v>
      </c>
    </row>
    <row r="7" spans="2:3" ht="16">
      <c r="B7" s="4" t="s">
        <v>3</v>
      </c>
    </row>
    <row r="9" spans="2:3" ht="16">
      <c r="B9" s="5" t="s">
        <v>4</v>
      </c>
      <c r="C9" s="6" t="s">
        <v>5</v>
      </c>
    </row>
    <row r="10" spans="2:3" ht="16">
      <c r="B10" s="5" t="s">
        <v>6</v>
      </c>
      <c r="C10" s="6" t="s">
        <v>7</v>
      </c>
    </row>
    <row r="11" spans="2:3" ht="16">
      <c r="B11" s="5" t="s">
        <v>8</v>
      </c>
      <c r="C11" s="6" t="s">
        <v>9</v>
      </c>
    </row>
    <row r="12" spans="2:3" ht="16">
      <c r="B12" s="5" t="s">
        <v>10</v>
      </c>
      <c r="C12" s="6" t="s">
        <v>11</v>
      </c>
    </row>
    <row r="13" spans="2:3" ht="16">
      <c r="B13" s="5" t="s">
        <v>12</v>
      </c>
      <c r="C13" s="6" t="s">
        <v>13</v>
      </c>
    </row>
    <row r="14" spans="2:3" ht="16">
      <c r="B14" s="5" t="s">
        <v>14</v>
      </c>
      <c r="C14" s="6" t="s">
        <v>15</v>
      </c>
    </row>
    <row r="15" spans="2:3" ht="16">
      <c r="B15" s="5" t="s">
        <v>16</v>
      </c>
      <c r="C15" s="6" t="s">
        <v>17</v>
      </c>
    </row>
    <row r="16" spans="2:3" ht="16">
      <c r="B16" s="5" t="s">
        <v>18</v>
      </c>
      <c r="C16" s="6" t="s">
        <v>19</v>
      </c>
    </row>
    <row r="17" spans="2:3" ht="16">
      <c r="B17" s="5" t="s">
        <v>20</v>
      </c>
      <c r="C17" s="6" t="s">
        <v>21</v>
      </c>
    </row>
    <row r="18" spans="2:3" ht="16">
      <c r="B18" s="5" t="s">
        <v>22</v>
      </c>
      <c r="C18" s="6" t="s">
        <v>23</v>
      </c>
    </row>
    <row r="19" spans="2:3" ht="16">
      <c r="B19" s="5" t="s">
        <v>24</v>
      </c>
      <c r="C19" s="6" t="s">
        <v>25</v>
      </c>
    </row>
    <row r="20" spans="2:3" ht="16">
      <c r="B20" s="5" t="s">
        <v>26</v>
      </c>
      <c r="C20" s="6" t="s">
        <v>27</v>
      </c>
    </row>
    <row r="21" spans="2:3" ht="16">
      <c r="B21" s="5" t="s">
        <v>28</v>
      </c>
      <c r="C21" s="6" t="s">
        <v>29</v>
      </c>
    </row>
    <row r="22" spans="2:3" ht="16">
      <c r="B22" s="5" t="s">
        <v>30</v>
      </c>
      <c r="C22" s="6" t="s">
        <v>31</v>
      </c>
    </row>
    <row r="23" spans="2:3" ht="16">
      <c r="B23" s="5" t="s">
        <v>32</v>
      </c>
      <c r="C23" s="6" t="s">
        <v>33</v>
      </c>
    </row>
    <row r="24" spans="2:3" ht="16">
      <c r="B24" s="5" t="s">
        <v>34</v>
      </c>
      <c r="C24" s="6" t="s">
        <v>35</v>
      </c>
    </row>
    <row r="25" spans="2:3" ht="16">
      <c r="B25" s="5" t="s">
        <v>36</v>
      </c>
      <c r="C25" s="6" t="s">
        <v>37</v>
      </c>
    </row>
    <row r="26" spans="2:3" ht="16">
      <c r="B26" s="4" t="s">
        <v>38</v>
      </c>
    </row>
    <row r="28" spans="2:3" ht="16">
      <c r="B28" s="7" t="s">
        <v>39</v>
      </c>
      <c r="C28" s="6" t="s">
        <v>40</v>
      </c>
    </row>
    <row r="29" spans="2:3" ht="16">
      <c r="B29" s="8" t="s">
        <v>41</v>
      </c>
      <c r="C29" s="6" t="s">
        <v>42</v>
      </c>
    </row>
    <row r="30" spans="2:3" ht="16">
      <c r="B30" s="9" t="s">
        <v>43</v>
      </c>
      <c r="C30" s="6" t="s">
        <v>44</v>
      </c>
    </row>
    <row r="31" spans="2:3" ht="16">
      <c r="B31" s="10" t="s">
        <v>45</v>
      </c>
      <c r="C31" s="6" t="s">
        <v>46</v>
      </c>
    </row>
    <row r="32" spans="2:3" ht="16">
      <c r="B32" s="11" t="s">
        <v>47</v>
      </c>
      <c r="C32" s="6" t="s">
        <v>48</v>
      </c>
    </row>
    <row r="34" spans="1:3" ht="24" customHeight="1">
      <c r="A34" s="109" t="s">
        <v>49</v>
      </c>
      <c r="B34" s="110"/>
      <c r="C34" s="110"/>
    </row>
    <row r="35" spans="1:3" ht="19" customHeight="1">
      <c r="A35" s="102" t="s">
        <v>50</v>
      </c>
      <c r="B35" s="103"/>
      <c r="C35" s="104"/>
    </row>
    <row r="36" spans="1:3" ht="19" customHeight="1">
      <c r="A36" s="105"/>
      <c r="B36" s="103"/>
      <c r="C36" s="104"/>
    </row>
    <row r="37" spans="1:3" ht="19" customHeight="1">
      <c r="A37" s="105"/>
      <c r="B37" s="103"/>
      <c r="C37" s="104"/>
    </row>
    <row r="38" spans="1:3" ht="19" customHeight="1">
      <c r="A38" s="105"/>
      <c r="B38" s="103"/>
      <c r="C38" s="104"/>
    </row>
    <row r="39" spans="1:3" ht="19" customHeight="1">
      <c r="A39" s="105"/>
      <c r="B39" s="103"/>
      <c r="C39" s="104"/>
    </row>
    <row r="40" spans="1:3" ht="19" customHeight="1">
      <c r="A40" s="105"/>
      <c r="B40" s="103"/>
      <c r="C40" s="104"/>
    </row>
    <row r="41" spans="1:3" ht="19" customHeight="1">
      <c r="A41" s="105"/>
      <c r="B41" s="103"/>
      <c r="C41" s="104"/>
    </row>
    <row r="42" spans="1:3" ht="19" customHeight="1">
      <c r="A42" s="106"/>
      <c r="B42" s="107"/>
      <c r="C42" s="108"/>
    </row>
  </sheetData>
  <mergeCells count="2">
    <mergeCell ref="A35:C42"/>
    <mergeCell ref="A34:C3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3A8A"/>
  </sheetPr>
  <dimension ref="B1:F149"/>
  <sheetViews>
    <sheetView workbookViewId="0">
      <pane xSplit="3" ySplit="4" topLeftCell="D5" activePane="bottomRight" state="frozen"/>
      <selection pane="topRight"/>
      <selection pane="bottomLeft"/>
      <selection pane="bottomRight"/>
    </sheetView>
  </sheetViews>
  <sheetFormatPr baseColWidth="10" defaultColWidth="8.7265625" defaultRowHeight="14.5"/>
  <cols>
    <col min="1" max="1" width="5" customWidth="1"/>
    <col min="2" max="2" width="50" customWidth="1"/>
    <col min="3" max="3" width="25" customWidth="1"/>
    <col min="4" max="4" width="20" customWidth="1"/>
    <col min="5" max="5" width="45" customWidth="1"/>
  </cols>
  <sheetData>
    <row r="1" spans="2:5" ht="20" customHeight="1"/>
    <row r="2" spans="2:5" ht="26" customHeight="1">
      <c r="B2" s="12" t="s">
        <v>51</v>
      </c>
    </row>
    <row r="3" spans="2:5" ht="18" customHeight="1">
      <c r="B3" s="2" t="s">
        <v>52</v>
      </c>
    </row>
    <row r="4" spans="2:5" ht="24" customHeight="1">
      <c r="B4" s="4" t="s">
        <v>53</v>
      </c>
      <c r="C4" s="13">
        <v>2</v>
      </c>
      <c r="D4" s="14" t="s">
        <v>54</v>
      </c>
    </row>
    <row r="5" spans="2:5" ht="48" customHeight="1">
      <c r="B5" s="116" t="str">
        <f>CHOOSE('1_PANEL_CONTROL'!$C$4, "[NEGATIVO] PANEL DE CONTROL en Escenario Negativo. Se estiman bajas tasas de crecimiento (5%) y conversión (2,13%), con churn elevado (8%).", "[EQUILIBRIO] PANEL DE CONTROL en Escenario Equilibrio. Base del proyecto para break-even: 8% crecimiento, 2,00% conversión, 4,8% churn.", "[POSITIVO] PANEL DE CONTROL en Escenario Positivo. Supuestos optimistas: 15% crecimiento, 8% conversión, 3% churn.")</f>
        <v>[EQUILIBRIO] PANEL DE CONTROL en Escenario Equilibrio. Base del proyecto para break-even: 8% crecimiento, 2,00% conversión, 4,8% churn.</v>
      </c>
      <c r="C5" s="112"/>
      <c r="D5" s="112"/>
      <c r="E5" s="113"/>
    </row>
    <row r="6" spans="2:5" ht="20" customHeight="1">
      <c r="B6" s="111" t="s">
        <v>55</v>
      </c>
      <c r="C6" s="112"/>
      <c r="D6" s="112"/>
      <c r="E6" s="113"/>
    </row>
    <row r="7" spans="2:5" ht="20" customHeight="1">
      <c r="B7" s="5" t="s">
        <v>56</v>
      </c>
      <c r="C7" s="16">
        <v>0.21</v>
      </c>
      <c r="D7" s="17" t="s">
        <v>57</v>
      </c>
      <c r="E7" s="15"/>
    </row>
    <row r="8" spans="2:5" ht="20" customHeight="1">
      <c r="B8" s="5" t="s">
        <v>58</v>
      </c>
      <c r="C8" s="16">
        <v>0.1179</v>
      </c>
      <c r="D8" s="17" t="s">
        <v>59</v>
      </c>
      <c r="E8" s="15"/>
    </row>
    <row r="9" spans="2:5" ht="20" customHeight="1">
      <c r="B9" s="5" t="s">
        <v>60</v>
      </c>
      <c r="C9" s="18">
        <v>42000000</v>
      </c>
      <c r="D9" s="17" t="s">
        <v>61</v>
      </c>
      <c r="E9" s="15"/>
    </row>
    <row r="10" spans="2:5" ht="20" customHeight="1">
      <c r="B10" s="5" t="s">
        <v>62</v>
      </c>
      <c r="C10" s="19">
        <v>60</v>
      </c>
      <c r="D10" s="17" t="s">
        <v>63</v>
      </c>
      <c r="E10" s="15"/>
    </row>
    <row r="11" spans="2:5" ht="20" customHeight="1">
      <c r="B11" s="5" t="s">
        <v>64</v>
      </c>
      <c r="C11" s="18">
        <v>500</v>
      </c>
      <c r="D11" s="17" t="s">
        <v>65</v>
      </c>
      <c r="E11" s="15"/>
    </row>
    <row r="12" spans="2:5" ht="20" customHeight="1">
      <c r="B12" s="5" t="s">
        <v>66</v>
      </c>
      <c r="C12" s="16">
        <v>0.03</v>
      </c>
      <c r="D12" s="17" t="s">
        <v>67</v>
      </c>
      <c r="E12" s="15"/>
    </row>
    <row r="13" spans="2:5" ht="20" customHeight="1"/>
    <row r="14" spans="2:5" ht="20" customHeight="1">
      <c r="B14" s="115" t="s">
        <v>68</v>
      </c>
      <c r="C14" s="112"/>
      <c r="D14" s="112"/>
      <c r="E14" s="113"/>
    </row>
    <row r="15" spans="2:5" ht="20" customHeight="1">
      <c r="B15" s="5" t="s">
        <v>69</v>
      </c>
      <c r="C15" s="18">
        <v>30</v>
      </c>
      <c r="D15" s="17" t="s">
        <v>70</v>
      </c>
      <c r="E15" s="15"/>
    </row>
    <row r="16" spans="2:5" ht="20" customHeight="1">
      <c r="B16" s="5" t="s">
        <v>71</v>
      </c>
      <c r="C16" s="18">
        <v>89.5</v>
      </c>
      <c r="D16" s="17" t="s">
        <v>72</v>
      </c>
      <c r="E16" s="15"/>
    </row>
    <row r="17" spans="2:6" ht="20" customHeight="1">
      <c r="B17" s="5" t="s">
        <v>73</v>
      </c>
      <c r="C17" s="18">
        <v>18</v>
      </c>
      <c r="D17" s="17" t="s">
        <v>74</v>
      </c>
      <c r="E17" s="15"/>
    </row>
    <row r="18" spans="2:6" ht="20" customHeight="1">
      <c r="B18" s="5" t="s">
        <v>75</v>
      </c>
      <c r="C18" s="18">
        <v>75</v>
      </c>
      <c r="D18" s="17" t="s">
        <v>76</v>
      </c>
      <c r="E18" s="15"/>
    </row>
    <row r="19" spans="2:6" ht="20" customHeight="1">
      <c r="B19" s="5" t="s">
        <v>77</v>
      </c>
      <c r="C19" s="18">
        <v>25</v>
      </c>
      <c r="D19" s="17" t="s">
        <v>78</v>
      </c>
      <c r="E19" s="15"/>
    </row>
    <row r="20" spans="2:6" ht="20" customHeight="1">
      <c r="B20" s="5" t="s">
        <v>79</v>
      </c>
      <c r="C20" s="16">
        <f>CHOOSE('1_PANEL_CONTROL'!$C$4, 0.1, 0.15, 0.15)</f>
        <v>0.15</v>
      </c>
      <c r="D20" s="17" t="s">
        <v>80</v>
      </c>
      <c r="E20" s="15"/>
    </row>
    <row r="21" spans="2:6" ht="20" customHeight="1">
      <c r="B21" s="5" t="s">
        <v>81</v>
      </c>
      <c r="C21" s="20">
        <f>C19*C20</f>
        <v>3.75</v>
      </c>
      <c r="D21" s="17" t="s">
        <v>82</v>
      </c>
      <c r="E21" s="15"/>
    </row>
    <row r="22" spans="2:6" ht="20" customHeight="1"/>
    <row r="23" spans="2:6" ht="20" customHeight="1">
      <c r="B23" s="114" t="s">
        <v>83</v>
      </c>
      <c r="C23" s="112"/>
      <c r="D23" s="112"/>
      <c r="E23" s="113"/>
    </row>
    <row r="24" spans="2:6" ht="20" customHeight="1">
      <c r="B24" s="5" t="s">
        <v>84</v>
      </c>
      <c r="C24" s="18">
        <v>35</v>
      </c>
      <c r="D24" s="17" t="s">
        <v>85</v>
      </c>
      <c r="E24" s="15"/>
    </row>
    <row r="25" spans="2:6" ht="20" customHeight="1">
      <c r="B25" s="5" t="s">
        <v>86</v>
      </c>
      <c r="C25" s="18">
        <v>6.5</v>
      </c>
      <c r="D25" s="17" t="s">
        <v>87</v>
      </c>
      <c r="E25" s="15"/>
    </row>
    <row r="26" spans="2:6" ht="20" customHeight="1">
      <c r="B26" s="5" t="s">
        <v>88</v>
      </c>
      <c r="C26" s="18">
        <v>0.6</v>
      </c>
      <c r="D26" s="17" t="s">
        <v>89</v>
      </c>
      <c r="E26" s="15"/>
    </row>
    <row r="27" spans="2:6" ht="20" customHeight="1">
      <c r="B27" s="5" t="s">
        <v>90</v>
      </c>
      <c r="C27" s="16">
        <v>2.5000000000000001E-2</v>
      </c>
      <c r="D27" s="17" t="s">
        <v>91</v>
      </c>
      <c r="E27" s="15"/>
    </row>
    <row r="28" spans="2:6" ht="20" customHeight="1">
      <c r="B28" s="5" t="s">
        <v>92</v>
      </c>
      <c r="C28" s="18">
        <v>100</v>
      </c>
      <c r="D28" s="17" t="s">
        <v>93</v>
      </c>
      <c r="E28" s="15"/>
    </row>
    <row r="29" spans="2:6" ht="20" customHeight="1">
      <c r="B29" s="5" t="s">
        <v>94</v>
      </c>
      <c r="C29" s="18">
        <v>0.37</v>
      </c>
      <c r="D29" s="17" t="s">
        <v>95</v>
      </c>
      <c r="E29" s="15"/>
    </row>
    <row r="30" spans="2:6" ht="20" customHeight="1"/>
    <row r="31" spans="2:6" ht="20" customHeight="1">
      <c r="B31" s="111" t="s">
        <v>96</v>
      </c>
      <c r="C31" s="112"/>
      <c r="D31" s="112"/>
      <c r="E31" s="113"/>
    </row>
    <row r="32" spans="2:6" ht="20" customHeight="1">
      <c r="B32" s="5" t="s">
        <v>97</v>
      </c>
      <c r="C32" s="19">
        <v>12</v>
      </c>
      <c r="D32" s="17" t="s">
        <v>98</v>
      </c>
      <c r="E32" s="15"/>
      <c r="F32" s="15"/>
    </row>
    <row r="33" spans="2:6" ht="20" customHeight="1">
      <c r="B33" s="5" t="s">
        <v>99</v>
      </c>
      <c r="C33" s="16">
        <v>0.32100000000000001</v>
      </c>
      <c r="D33" s="17" t="s">
        <v>100</v>
      </c>
      <c r="E33" s="5" t="s">
        <v>101</v>
      </c>
      <c r="F33" s="18">
        <v>448.69</v>
      </c>
    </row>
    <row r="34" spans="2:6" ht="20" customHeight="1">
      <c r="B34" s="5" t="s">
        <v>102</v>
      </c>
      <c r="C34" s="16">
        <v>6.4699999999999994E-2</v>
      </c>
      <c r="D34" s="17" t="s">
        <v>103</v>
      </c>
      <c r="E34" s="5" t="s">
        <v>104</v>
      </c>
      <c r="F34" s="18">
        <v>88.56</v>
      </c>
    </row>
    <row r="35" spans="2:6" ht="20" customHeight="1">
      <c r="B35" s="5" t="s">
        <v>105</v>
      </c>
      <c r="C35" s="18">
        <v>4720.5</v>
      </c>
      <c r="D35" s="17" t="s">
        <v>106</v>
      </c>
      <c r="E35" s="15"/>
      <c r="F35" s="15"/>
    </row>
    <row r="36" spans="2:6" ht="20" customHeight="1">
      <c r="B36" s="5" t="s">
        <v>107</v>
      </c>
      <c r="C36" s="18">
        <v>1300</v>
      </c>
      <c r="D36" s="17" t="s">
        <v>108</v>
      </c>
      <c r="E36" s="15"/>
      <c r="F36" s="15"/>
    </row>
    <row r="37" spans="2:6" ht="20" customHeight="1">
      <c r="E37" s="15"/>
      <c r="F37" s="15"/>
    </row>
    <row r="38" spans="2:6" ht="20" customHeight="1">
      <c r="B38" s="5" t="s">
        <v>109</v>
      </c>
      <c r="C38" s="5" t="s">
        <v>110</v>
      </c>
      <c r="D38" s="5" t="s">
        <v>111</v>
      </c>
      <c r="E38" s="5" t="s">
        <v>112</v>
      </c>
    </row>
    <row r="39" spans="2:6" ht="20" customHeight="1">
      <c r="B39" s="6" t="s">
        <v>113</v>
      </c>
      <c r="C39" s="18">
        <v>18000</v>
      </c>
      <c r="D39" s="19">
        <v>1</v>
      </c>
      <c r="E39" s="16">
        <v>0.15</v>
      </c>
    </row>
    <row r="40" spans="2:6" ht="20" customHeight="1">
      <c r="B40" s="6" t="s">
        <v>114</v>
      </c>
      <c r="C40" s="18">
        <v>18000</v>
      </c>
      <c r="D40" s="19">
        <v>1</v>
      </c>
      <c r="E40" s="16">
        <v>0.15</v>
      </c>
    </row>
    <row r="41" spans="2:6" ht="20" customHeight="1">
      <c r="B41" s="6" t="s">
        <v>115</v>
      </c>
      <c r="C41" s="18">
        <v>18000</v>
      </c>
      <c r="D41" s="19">
        <v>1</v>
      </c>
      <c r="E41" s="16">
        <v>0.15</v>
      </c>
    </row>
    <row r="42" spans="2:6" ht="20" customHeight="1">
      <c r="B42" s="6" t="s">
        <v>116</v>
      </c>
      <c r="C42" s="18">
        <v>18000</v>
      </c>
      <c r="D42" s="19">
        <v>1</v>
      </c>
      <c r="E42" s="16">
        <v>0.15</v>
      </c>
    </row>
    <row r="43" spans="2:6" ht="20" customHeight="1">
      <c r="B43" s="6" t="s">
        <v>117</v>
      </c>
      <c r="C43" s="18">
        <v>45000</v>
      </c>
      <c r="D43" s="19">
        <v>13</v>
      </c>
      <c r="E43" s="16">
        <v>0.15</v>
      </c>
    </row>
    <row r="44" spans="2:6" ht="20" customHeight="1">
      <c r="B44" s="6" t="s">
        <v>118</v>
      </c>
      <c r="C44" s="18">
        <v>24000</v>
      </c>
      <c r="D44" s="19">
        <v>13</v>
      </c>
      <c r="E44" s="16">
        <v>0.14000000000000001</v>
      </c>
    </row>
    <row r="45" spans="2:6" ht="20" customHeight="1">
      <c r="B45" s="6" t="s">
        <v>119</v>
      </c>
      <c r="C45" s="18">
        <v>30000</v>
      </c>
      <c r="D45" s="19">
        <v>13</v>
      </c>
      <c r="E45" s="16">
        <v>0.15</v>
      </c>
    </row>
    <row r="46" spans="2:6" ht="20" customHeight="1">
      <c r="B46" s="6" t="s">
        <v>120</v>
      </c>
      <c r="C46" s="18">
        <v>28000</v>
      </c>
      <c r="D46" s="19">
        <v>19</v>
      </c>
      <c r="E46" s="16">
        <v>0.15</v>
      </c>
    </row>
    <row r="47" spans="2:6" ht="20" customHeight="1"/>
    <row r="48" spans="2:6" ht="20" customHeight="1">
      <c r="B48" s="115" t="s">
        <v>121</v>
      </c>
      <c r="C48" s="112"/>
      <c r="D48" s="112"/>
      <c r="E48" s="113"/>
    </row>
    <row r="49" spans="2:5" ht="20" customHeight="1">
      <c r="B49" s="5" t="s">
        <v>122</v>
      </c>
      <c r="C49" s="18">
        <v>2160</v>
      </c>
      <c r="D49" s="17" t="s">
        <v>123</v>
      </c>
      <c r="E49" s="15"/>
    </row>
    <row r="50" spans="2:5" ht="20" customHeight="1">
      <c r="B50" s="5" t="s">
        <v>124</v>
      </c>
      <c r="C50" s="18">
        <v>100</v>
      </c>
      <c r="D50" s="17" t="s">
        <v>125</v>
      </c>
      <c r="E50" s="15"/>
    </row>
    <row r="51" spans="2:5" ht="20" customHeight="1">
      <c r="B51" s="5" t="s">
        <v>126</v>
      </c>
      <c r="C51" s="18">
        <v>112</v>
      </c>
      <c r="D51" s="17" t="s">
        <v>127</v>
      </c>
      <c r="E51" s="15"/>
    </row>
    <row r="52" spans="2:5" ht="20" customHeight="1">
      <c r="B52" s="5" t="s">
        <v>128</v>
      </c>
      <c r="C52" s="18">
        <v>60</v>
      </c>
      <c r="D52" s="17" t="s">
        <v>129</v>
      </c>
      <c r="E52" s="15"/>
    </row>
    <row r="53" spans="2:5" ht="20" customHeight="1">
      <c r="B53" s="5" t="s">
        <v>130</v>
      </c>
      <c r="C53" s="18">
        <v>400</v>
      </c>
      <c r="D53" s="17" t="s">
        <v>131</v>
      </c>
      <c r="E53" s="15"/>
    </row>
    <row r="54" spans="2:5" ht="20" customHeight="1">
      <c r="B54" s="5" t="s">
        <v>132</v>
      </c>
      <c r="C54" s="18">
        <v>224.4</v>
      </c>
      <c r="D54" s="17" t="s">
        <v>133</v>
      </c>
      <c r="E54" s="15"/>
    </row>
    <row r="55" spans="2:5" ht="20" customHeight="1">
      <c r="B55" s="5" t="s">
        <v>134</v>
      </c>
      <c r="C55" s="18">
        <v>50</v>
      </c>
      <c r="D55" s="17" t="s">
        <v>135</v>
      </c>
      <c r="E55" s="15"/>
    </row>
    <row r="56" spans="2:5" ht="20" customHeight="1">
      <c r="B56" s="5" t="s">
        <v>136</v>
      </c>
      <c r="C56" s="18">
        <v>187</v>
      </c>
      <c r="D56" s="17" t="s">
        <v>137</v>
      </c>
      <c r="E56" s="15"/>
    </row>
    <row r="57" spans="2:5" ht="20" customHeight="1">
      <c r="B57" s="5" t="s">
        <v>138</v>
      </c>
      <c r="C57" s="18">
        <v>49.5</v>
      </c>
      <c r="D57" s="17" t="s">
        <v>139</v>
      </c>
      <c r="E57" s="15"/>
    </row>
    <row r="58" spans="2:5" ht="20" customHeight="1">
      <c r="B58" s="5" t="s">
        <v>140</v>
      </c>
      <c r="C58" s="18">
        <v>400</v>
      </c>
      <c r="D58" s="17" t="s">
        <v>141</v>
      </c>
      <c r="E58" s="15"/>
    </row>
    <row r="59" spans="2:5" ht="20" customHeight="1">
      <c r="B59" s="5" t="s">
        <v>142</v>
      </c>
      <c r="C59" s="18">
        <v>400.05</v>
      </c>
      <c r="D59" s="17" t="s">
        <v>143</v>
      </c>
      <c r="E59" s="15"/>
    </row>
    <row r="60" spans="2:5" ht="20" customHeight="1">
      <c r="B60" s="5" t="s">
        <v>144</v>
      </c>
      <c r="C60" s="18">
        <v>400.05</v>
      </c>
      <c r="D60" s="17" t="s">
        <v>145</v>
      </c>
      <c r="E60" s="15"/>
    </row>
    <row r="61" spans="2:5" ht="20" customHeight="1">
      <c r="B61" s="5" t="s">
        <v>146</v>
      </c>
      <c r="C61" s="18">
        <v>250</v>
      </c>
      <c r="D61" s="17" t="s">
        <v>147</v>
      </c>
      <c r="E61" s="15"/>
    </row>
    <row r="62" spans="2:5" ht="20" customHeight="1">
      <c r="B62" s="5" t="s">
        <v>148</v>
      </c>
      <c r="C62" s="18">
        <v>550</v>
      </c>
      <c r="D62" s="17" t="s">
        <v>149</v>
      </c>
      <c r="E62" s="15"/>
    </row>
    <row r="63" spans="2:5" ht="20" customHeight="1">
      <c r="B63" s="5" t="s">
        <v>150</v>
      </c>
      <c r="C63" s="18">
        <v>880</v>
      </c>
      <c r="D63" s="17" t="s">
        <v>151</v>
      </c>
      <c r="E63" s="15"/>
    </row>
    <row r="64" spans="2:5" ht="20" customHeight="1">
      <c r="B64" s="5" t="s">
        <v>152</v>
      </c>
      <c r="C64" s="18">
        <v>500</v>
      </c>
      <c r="D64" s="17" t="s">
        <v>153</v>
      </c>
      <c r="E64" s="15"/>
    </row>
    <row r="65" spans="2:5" ht="20" customHeight="1">
      <c r="B65" s="5" t="s">
        <v>154</v>
      </c>
      <c r="C65" s="18">
        <v>0</v>
      </c>
      <c r="D65" s="17" t="s">
        <v>155</v>
      </c>
      <c r="E65" s="15"/>
    </row>
    <row r="66" spans="2:5" ht="20" customHeight="1">
      <c r="B66" s="5" t="s">
        <v>156</v>
      </c>
      <c r="C66" s="18">
        <v>400</v>
      </c>
      <c r="D66" s="17" t="s">
        <v>157</v>
      </c>
      <c r="E66" s="15"/>
    </row>
    <row r="67" spans="2:5" ht="20" customHeight="1">
      <c r="B67" s="5" t="s">
        <v>158</v>
      </c>
      <c r="C67" s="18">
        <v>50</v>
      </c>
      <c r="D67" s="17" t="s">
        <v>159</v>
      </c>
      <c r="E67" s="15"/>
    </row>
    <row r="68" spans="2:5" ht="20" customHeight="1">
      <c r="B68" s="5" t="s">
        <v>160</v>
      </c>
      <c r="C68" s="18">
        <v>300</v>
      </c>
      <c r="D68" s="17" t="s">
        <v>161</v>
      </c>
      <c r="E68" s="15"/>
    </row>
    <row r="69" spans="2:5" ht="20" customHeight="1">
      <c r="B69" s="5" t="s">
        <v>162</v>
      </c>
      <c r="C69" s="18">
        <v>655</v>
      </c>
      <c r="D69" s="17" t="s">
        <v>163</v>
      </c>
      <c r="E69" s="15"/>
    </row>
    <row r="70" spans="2:5" ht="20" customHeight="1">
      <c r="B70" s="5" t="s">
        <v>164</v>
      </c>
      <c r="C70" s="18">
        <v>400.05</v>
      </c>
      <c r="D70" s="17" t="s">
        <v>165</v>
      </c>
      <c r="E70" s="15"/>
    </row>
    <row r="71" spans="2:5" ht="20" customHeight="1">
      <c r="B71" s="5" t="s">
        <v>166</v>
      </c>
      <c r="C71" s="18">
        <v>1028</v>
      </c>
      <c r="D71" s="17" t="s">
        <v>167</v>
      </c>
      <c r="E71" s="15"/>
    </row>
    <row r="72" spans="2:5" ht="20" customHeight="1">
      <c r="B72" s="5" t="s">
        <v>168</v>
      </c>
      <c r="C72" s="18">
        <v>539.96</v>
      </c>
      <c r="D72" s="17" t="s">
        <v>169</v>
      </c>
      <c r="E72" s="15"/>
    </row>
    <row r="73" spans="2:5" ht="20" customHeight="1">
      <c r="B73" s="5" t="s">
        <v>170</v>
      </c>
      <c r="C73" s="18">
        <v>150</v>
      </c>
      <c r="D73" s="17" t="s">
        <v>171</v>
      </c>
      <c r="E73" s="15"/>
    </row>
    <row r="74" spans="2:5" ht="20" customHeight="1">
      <c r="B74" s="5" t="s">
        <v>172</v>
      </c>
      <c r="C74" s="18">
        <v>200</v>
      </c>
      <c r="D74" s="17" t="s">
        <v>173</v>
      </c>
      <c r="E74" s="15"/>
    </row>
    <row r="75" spans="2:5" ht="20" customHeight="1">
      <c r="B75" s="5" t="s">
        <v>174</v>
      </c>
      <c r="C75" s="18">
        <v>50</v>
      </c>
      <c r="D75" s="17" t="s">
        <v>175</v>
      </c>
      <c r="E75" s="15"/>
    </row>
    <row r="76" spans="2:5" ht="20" customHeight="1">
      <c r="B76" s="5" t="s">
        <v>176</v>
      </c>
      <c r="C76" s="18">
        <v>100</v>
      </c>
      <c r="D76" s="17" t="s">
        <v>177</v>
      </c>
      <c r="E76" s="15"/>
    </row>
    <row r="77" spans="2:5" ht="20" customHeight="1">
      <c r="B77" s="5" t="s">
        <v>178</v>
      </c>
      <c r="C77" s="18">
        <v>46.67</v>
      </c>
      <c r="D77" s="17" t="s">
        <v>179</v>
      </c>
      <c r="E77" s="15"/>
    </row>
    <row r="78" spans="2:5" ht="20" customHeight="1">
      <c r="B78" s="5" t="s">
        <v>180</v>
      </c>
      <c r="C78" s="18">
        <v>219.14</v>
      </c>
      <c r="D78" s="17" t="s">
        <v>181</v>
      </c>
      <c r="E78" s="15"/>
    </row>
    <row r="79" spans="2:5" ht="20" customHeight="1">
      <c r="B79" s="5" t="s">
        <v>182</v>
      </c>
      <c r="C79" s="18">
        <v>50</v>
      </c>
      <c r="D79" s="17" t="s">
        <v>183</v>
      </c>
      <c r="E79" s="15"/>
    </row>
    <row r="80" spans="2:5" ht="20" customHeight="1">
      <c r="B80" s="5" t="s">
        <v>184</v>
      </c>
      <c r="C80" s="18">
        <v>2000</v>
      </c>
      <c r="D80" s="17" t="s">
        <v>185</v>
      </c>
      <c r="E80" s="15"/>
    </row>
    <row r="81" spans="2:5" ht="20" customHeight="1">
      <c r="B81" s="5" t="s">
        <v>186</v>
      </c>
      <c r="C81" s="18">
        <v>3865</v>
      </c>
      <c r="D81" s="17" t="s">
        <v>187</v>
      </c>
      <c r="E81" s="15"/>
    </row>
    <row r="82" spans="2:5" ht="20" customHeight="1">
      <c r="B82" s="5" t="s">
        <v>188</v>
      </c>
      <c r="C82" s="18">
        <v>3146.85</v>
      </c>
      <c r="D82" s="17" t="s">
        <v>189</v>
      </c>
      <c r="E82" s="15"/>
    </row>
    <row r="83" spans="2:5" ht="20" customHeight="1">
      <c r="B83" s="5" t="s">
        <v>190</v>
      </c>
      <c r="C83" s="18">
        <v>1800</v>
      </c>
      <c r="D83" s="17" t="s">
        <v>191</v>
      </c>
      <c r="E83" s="15"/>
    </row>
    <row r="84" spans="2:5" ht="20" customHeight="1"/>
    <row r="85" spans="2:5" ht="20" customHeight="1">
      <c r="B85" s="114" t="s">
        <v>192</v>
      </c>
      <c r="C85" s="112"/>
      <c r="D85" s="112"/>
      <c r="E85" s="113"/>
    </row>
    <row r="86" spans="2:5" ht="20" customHeight="1">
      <c r="B86" s="5" t="s">
        <v>193</v>
      </c>
      <c r="C86" s="18">
        <v>10196</v>
      </c>
      <c r="D86" s="17" t="s">
        <v>194</v>
      </c>
      <c r="E86" s="15"/>
    </row>
    <row r="87" spans="2:5" ht="20" customHeight="1">
      <c r="B87" s="5" t="s">
        <v>195</v>
      </c>
      <c r="C87" s="18">
        <v>17150</v>
      </c>
      <c r="D87" s="17" t="s">
        <v>196</v>
      </c>
      <c r="E87" s="15"/>
    </row>
    <row r="88" spans="2:5" ht="20" customHeight="1">
      <c r="B88" s="5" t="s">
        <v>197</v>
      </c>
      <c r="C88" s="18">
        <v>1500</v>
      </c>
      <c r="D88" s="17" t="s">
        <v>198</v>
      </c>
      <c r="E88" s="15"/>
    </row>
    <row r="89" spans="2:5" ht="20" customHeight="1">
      <c r="B89" s="5" t="s">
        <v>199</v>
      </c>
      <c r="C89" s="18">
        <v>0</v>
      </c>
      <c r="D89" s="17" t="s">
        <v>200</v>
      </c>
      <c r="E89" s="15"/>
    </row>
    <row r="90" spans="2:5" ht="20" customHeight="1">
      <c r="B90" s="5" t="s">
        <v>201</v>
      </c>
      <c r="C90" s="18">
        <v>15000</v>
      </c>
      <c r="D90" s="17" t="s">
        <v>202</v>
      </c>
      <c r="E90" s="15"/>
    </row>
    <row r="91" spans="2:5" ht="20" customHeight="1">
      <c r="B91" s="5" t="s">
        <v>203</v>
      </c>
      <c r="C91" s="18">
        <v>0</v>
      </c>
      <c r="D91" s="17" t="s">
        <v>204</v>
      </c>
      <c r="E91" s="15"/>
    </row>
    <row r="92" spans="2:5" ht="20" customHeight="1"/>
    <row r="93" spans="2:5" ht="20" customHeight="1">
      <c r="B93" s="111" t="s">
        <v>205</v>
      </c>
      <c r="C93" s="112"/>
      <c r="D93" s="112"/>
      <c r="E93" s="113"/>
    </row>
    <row r="94" spans="2:5" ht="20" customHeight="1">
      <c r="B94" s="5" t="s">
        <v>206</v>
      </c>
      <c r="C94" s="18">
        <v>75000</v>
      </c>
      <c r="D94" s="13" t="s">
        <v>207</v>
      </c>
      <c r="E94" s="17" t="s">
        <v>208</v>
      </c>
    </row>
    <row r="95" spans="2:5" ht="20" customHeight="1">
      <c r="B95" s="5" t="s">
        <v>209</v>
      </c>
      <c r="C95" s="16">
        <v>0.06</v>
      </c>
      <c r="D95" s="15"/>
      <c r="E95" s="17" t="s">
        <v>210</v>
      </c>
    </row>
    <row r="96" spans="2:5" ht="20" customHeight="1">
      <c r="B96" s="5" t="s">
        <v>211</v>
      </c>
      <c r="C96" s="19">
        <v>12</v>
      </c>
      <c r="D96" s="15"/>
      <c r="E96" s="17" t="s">
        <v>212</v>
      </c>
    </row>
    <row r="97" spans="2:5" ht="20" customHeight="1">
      <c r="B97" s="5" t="s">
        <v>213</v>
      </c>
      <c r="C97" s="19">
        <v>48</v>
      </c>
      <c r="D97" s="15"/>
      <c r="E97" s="17" t="s">
        <v>214</v>
      </c>
    </row>
    <row r="98" spans="2:5" ht="20" customHeight="1">
      <c r="B98" s="5" t="s">
        <v>215</v>
      </c>
      <c r="C98" s="18">
        <v>35000</v>
      </c>
      <c r="D98" s="13" t="s">
        <v>207</v>
      </c>
      <c r="E98" s="17" t="s">
        <v>216</v>
      </c>
    </row>
    <row r="99" spans="2:5" ht="20" customHeight="1">
      <c r="B99" s="5" t="s">
        <v>217</v>
      </c>
      <c r="C99" s="16">
        <v>0.05</v>
      </c>
      <c r="D99" s="15"/>
      <c r="E99" s="17" t="s">
        <v>218</v>
      </c>
    </row>
    <row r="100" spans="2:5" ht="20" customHeight="1">
      <c r="B100" s="5" t="s">
        <v>219</v>
      </c>
      <c r="C100" s="16">
        <v>1.1499999999999999</v>
      </c>
      <c r="D100" s="15"/>
      <c r="E100" s="17" t="s">
        <v>220</v>
      </c>
    </row>
    <row r="101" spans="2:5" ht="20" customHeight="1">
      <c r="B101" s="5" t="s">
        <v>221</v>
      </c>
      <c r="C101" s="20">
        <f>IF(D98="SÍ", C98*C100, 0)</f>
        <v>40250</v>
      </c>
      <c r="D101" s="15"/>
      <c r="E101" s="17" t="s">
        <v>222</v>
      </c>
    </row>
    <row r="102" spans="2:5" ht="20" customHeight="1">
      <c r="B102" s="5" t="s">
        <v>223</v>
      </c>
      <c r="C102" s="20">
        <f>SUMIF(D108:D111,"SÍ",C108:C111)</f>
        <v>60000</v>
      </c>
      <c r="D102" s="15"/>
      <c r="E102" s="17" t="s">
        <v>224</v>
      </c>
    </row>
    <row r="103" spans="2:5" ht="20" customHeight="1">
      <c r="B103" s="5" t="s">
        <v>225</v>
      </c>
      <c r="C103" s="20">
        <f>SUMIF(D108:D111,"SÍ",C108:C111)</f>
        <v>60000</v>
      </c>
      <c r="D103" s="15"/>
      <c r="E103" s="17" t="s">
        <v>226</v>
      </c>
    </row>
    <row r="104" spans="2:5" ht="20" customHeight="1">
      <c r="B104" s="5" t="s">
        <v>227</v>
      </c>
      <c r="C104" s="18">
        <v>80000</v>
      </c>
      <c r="D104" s="13" t="s">
        <v>207</v>
      </c>
      <c r="E104" s="17" t="s">
        <v>228</v>
      </c>
    </row>
    <row r="105" spans="2:5" ht="20" customHeight="1">
      <c r="B105" s="5" t="s">
        <v>229</v>
      </c>
      <c r="C105" s="20">
        <f>SUMIF(D108:D111,"SÍ",C108:C111)</f>
        <v>60000</v>
      </c>
      <c r="D105" s="15"/>
      <c r="E105" s="17" t="s">
        <v>230</v>
      </c>
    </row>
    <row r="106" spans="2:5" ht="20" customHeight="1">
      <c r="B106" s="5" t="s">
        <v>231</v>
      </c>
      <c r="C106" s="18">
        <v>110000</v>
      </c>
      <c r="D106" s="13" t="s">
        <v>207</v>
      </c>
      <c r="E106" s="17" t="s">
        <v>232</v>
      </c>
    </row>
    <row r="107" spans="2:5" ht="20" customHeight="1">
      <c r="B107" s="5" t="s">
        <v>233</v>
      </c>
      <c r="C107" s="18">
        <v>20000</v>
      </c>
      <c r="D107" s="13" t="s">
        <v>207</v>
      </c>
      <c r="E107" s="17" t="s">
        <v>234</v>
      </c>
    </row>
    <row r="108" spans="2:5" ht="20" customHeight="1">
      <c r="B108" s="5" t="s">
        <v>235</v>
      </c>
      <c r="C108" s="18">
        <v>15000</v>
      </c>
      <c r="D108" s="13" t="s">
        <v>207</v>
      </c>
      <c r="E108" s="17" t="s">
        <v>236</v>
      </c>
    </row>
    <row r="109" spans="2:5" ht="20" customHeight="1">
      <c r="B109" s="5" t="s">
        <v>237</v>
      </c>
      <c r="C109" s="18">
        <v>15000</v>
      </c>
      <c r="D109" s="13" t="s">
        <v>207</v>
      </c>
      <c r="E109" s="17" t="s">
        <v>238</v>
      </c>
    </row>
    <row r="110" spans="2:5" ht="20" customHeight="1">
      <c r="B110" s="5" t="s">
        <v>239</v>
      </c>
      <c r="C110" s="18">
        <v>15000</v>
      </c>
      <c r="D110" s="13" t="s">
        <v>207</v>
      </c>
      <c r="E110" s="17" t="s">
        <v>240</v>
      </c>
    </row>
    <row r="111" spans="2:5" ht="20" customHeight="1">
      <c r="B111" s="5" t="s">
        <v>241</v>
      </c>
      <c r="C111" s="18">
        <v>15000</v>
      </c>
      <c r="D111" s="13" t="s">
        <v>207</v>
      </c>
      <c r="E111" s="17" t="s">
        <v>242</v>
      </c>
    </row>
    <row r="112" spans="2:5" ht="20" customHeight="1"/>
    <row r="113" spans="2:5" ht="20" customHeight="1">
      <c r="B113" s="115" t="s">
        <v>243</v>
      </c>
      <c r="C113" s="112"/>
      <c r="D113" s="112"/>
      <c r="E113" s="113"/>
    </row>
    <row r="114" spans="2:5" ht="20" customHeight="1">
      <c r="B114" s="5" t="s">
        <v>244</v>
      </c>
      <c r="C114" s="18">
        <v>60</v>
      </c>
      <c r="D114" s="17" t="s">
        <v>245</v>
      </c>
      <c r="E114" s="15"/>
    </row>
    <row r="115" spans="2:5" ht="20" customHeight="1">
      <c r="B115" s="5" t="s">
        <v>246</v>
      </c>
      <c r="C115" s="18">
        <v>80</v>
      </c>
      <c r="D115" s="17" t="s">
        <v>247</v>
      </c>
      <c r="E115" s="15"/>
    </row>
    <row r="116" spans="2:5" ht="20" customHeight="1">
      <c r="B116" s="5" t="s">
        <v>248</v>
      </c>
      <c r="C116" s="18">
        <v>100</v>
      </c>
      <c r="D116" s="17" t="s">
        <v>249</v>
      </c>
      <c r="E116" s="15"/>
    </row>
    <row r="117" spans="2:5" ht="20" customHeight="1">
      <c r="B117" s="5" t="s">
        <v>250</v>
      </c>
      <c r="C117" s="18">
        <v>39.99</v>
      </c>
      <c r="D117" s="17" t="s">
        <v>251</v>
      </c>
      <c r="E117" s="15"/>
    </row>
    <row r="118" spans="2:5" ht="20" customHeight="1">
      <c r="B118" s="5" t="s">
        <v>252</v>
      </c>
      <c r="C118" s="16">
        <v>0.1</v>
      </c>
      <c r="D118" s="17" t="s">
        <v>253</v>
      </c>
      <c r="E118" s="15"/>
    </row>
    <row r="119" spans="2:5" ht="20" customHeight="1">
      <c r="B119" s="5" t="s">
        <v>254</v>
      </c>
      <c r="C119" s="16">
        <v>0.25</v>
      </c>
      <c r="D119" s="17" t="s">
        <v>255</v>
      </c>
      <c r="E119" s="15"/>
    </row>
    <row r="120" spans="2:5" ht="20" customHeight="1">
      <c r="B120" s="5" t="s">
        <v>256</v>
      </c>
      <c r="C120" s="16">
        <v>0.25</v>
      </c>
      <c r="D120" s="17" t="s">
        <v>257</v>
      </c>
      <c r="E120" s="15"/>
    </row>
    <row r="121" spans="2:5" ht="20" customHeight="1">
      <c r="B121" s="5" t="s">
        <v>258</v>
      </c>
      <c r="C121" s="18">
        <v>10</v>
      </c>
      <c r="D121" s="17" t="s">
        <v>259</v>
      </c>
      <c r="E121" s="15"/>
    </row>
    <row r="122" spans="2:5" ht="20" customHeight="1">
      <c r="B122" s="5" t="s">
        <v>260</v>
      </c>
      <c r="C122" s="18">
        <v>22</v>
      </c>
      <c r="D122" s="17" t="s">
        <v>261</v>
      </c>
      <c r="E122" s="15"/>
    </row>
    <row r="123" spans="2:5" ht="20" customHeight="1">
      <c r="B123" s="5" t="s">
        <v>262</v>
      </c>
      <c r="C123" s="18">
        <v>22</v>
      </c>
      <c r="D123" s="17" t="s">
        <v>263</v>
      </c>
      <c r="E123" s="15"/>
    </row>
    <row r="124" spans="2:5" ht="20" customHeight="1">
      <c r="B124" s="5" t="s">
        <v>264</v>
      </c>
      <c r="C124" s="16">
        <v>0.3</v>
      </c>
      <c r="D124" s="17" t="s">
        <v>265</v>
      </c>
      <c r="E124" s="15"/>
    </row>
    <row r="125" spans="2:5" ht="20" customHeight="1">
      <c r="B125" s="5" t="s">
        <v>266</v>
      </c>
      <c r="C125" s="16">
        <v>0.5</v>
      </c>
      <c r="D125" s="17" t="s">
        <v>267</v>
      </c>
      <c r="E125" s="15"/>
    </row>
    <row r="126" spans="2:5" ht="20" customHeight="1">
      <c r="B126" s="5" t="s">
        <v>268</v>
      </c>
      <c r="C126" s="16">
        <v>0.5</v>
      </c>
      <c r="D126" s="17" t="s">
        <v>269</v>
      </c>
      <c r="E126" s="15"/>
    </row>
    <row r="127" spans="2:5" ht="20" customHeight="1">
      <c r="B127" s="5" t="s">
        <v>270</v>
      </c>
      <c r="C127" s="18">
        <v>25</v>
      </c>
      <c r="D127" s="17" t="s">
        <v>271</v>
      </c>
      <c r="E127" s="15"/>
    </row>
    <row r="128" spans="2:5" ht="20" customHeight="1">
      <c r="B128" s="5" t="s">
        <v>272</v>
      </c>
      <c r="C128" s="18">
        <v>5</v>
      </c>
      <c r="D128" s="17" t="s">
        <v>273</v>
      </c>
      <c r="E128" s="15"/>
    </row>
    <row r="129" spans="2:6" ht="20" customHeight="1">
      <c r="B129" s="5" t="s">
        <v>274</v>
      </c>
      <c r="C129" s="16">
        <v>0.12</v>
      </c>
      <c r="D129" s="17" t="s">
        <v>275</v>
      </c>
      <c r="E129" s="15"/>
    </row>
    <row r="130" spans="2:6" ht="20" customHeight="1">
      <c r="B130" s="5" t="s">
        <v>276</v>
      </c>
      <c r="C130" s="18">
        <v>55</v>
      </c>
      <c r="D130" s="17" t="s">
        <v>277</v>
      </c>
      <c r="E130" s="15"/>
    </row>
    <row r="131" spans="2:6" ht="20" customHeight="1">
      <c r="B131" s="5" t="s">
        <v>278</v>
      </c>
      <c r="C131" s="16">
        <v>0.02</v>
      </c>
      <c r="D131" s="17" t="s">
        <v>279</v>
      </c>
      <c r="E131" s="15"/>
    </row>
    <row r="132" spans="2:6" ht="20" customHeight="1">
      <c r="B132" s="5" t="s">
        <v>280</v>
      </c>
      <c r="C132" s="16">
        <v>0.04</v>
      </c>
      <c r="D132" s="17" t="s">
        <v>281</v>
      </c>
      <c r="E132" s="15"/>
    </row>
    <row r="133" spans="2:6" ht="20" customHeight="1">
      <c r="B133" s="5" t="s">
        <v>282</v>
      </c>
      <c r="C133" s="16">
        <v>0.06</v>
      </c>
      <c r="D133" s="17" t="s">
        <v>283</v>
      </c>
      <c r="E133" s="15"/>
    </row>
    <row r="134" spans="2:6" ht="20" customHeight="1">
      <c r="B134" s="5" t="s">
        <v>284</v>
      </c>
      <c r="C134" s="18">
        <v>5.5</v>
      </c>
      <c r="D134" s="17" t="s">
        <v>285</v>
      </c>
      <c r="E134" s="15"/>
    </row>
    <row r="135" spans="2:6" ht="20" customHeight="1">
      <c r="B135" s="5" t="s">
        <v>286</v>
      </c>
      <c r="C135" s="18">
        <v>0.18</v>
      </c>
      <c r="D135" s="17" t="s">
        <v>287</v>
      </c>
      <c r="E135" s="15"/>
    </row>
    <row r="136" spans="2:6" ht="20" customHeight="1"/>
    <row r="137" spans="2:6" ht="20" customHeight="1">
      <c r="B137" s="115" t="s">
        <v>288</v>
      </c>
      <c r="C137" s="112"/>
      <c r="D137" s="112"/>
      <c r="E137" s="113"/>
    </row>
    <row r="138" spans="2:6" ht="20" customHeight="1">
      <c r="B138" s="5" t="s">
        <v>289</v>
      </c>
      <c r="C138" s="21">
        <f>CHOOSE('1_PANEL_CONTROL'!$C$4, 0, 0.3, 0.3)</f>
        <v>0.3</v>
      </c>
      <c r="D138" s="17" t="s">
        <v>290</v>
      </c>
      <c r="E138" s="15"/>
    </row>
    <row r="139" spans="2:6" ht="20" customHeight="1">
      <c r="B139" s="5" t="s">
        <v>291</v>
      </c>
      <c r="C139" s="21">
        <f>CHOOSE('1_PANEL_CONTROL'!$C$4, 0, 0.15, 0.15)</f>
        <v>0.15</v>
      </c>
      <c r="D139" s="17" t="s">
        <v>292</v>
      </c>
      <c r="E139" s="15"/>
    </row>
    <row r="141" spans="2:6" ht="24" customHeight="1">
      <c r="B141" s="109" t="s">
        <v>293</v>
      </c>
      <c r="C141" s="110"/>
      <c r="D141" s="110"/>
      <c r="E141" s="110"/>
      <c r="F141" s="110"/>
    </row>
    <row r="142" spans="2:6" ht="19" customHeight="1">
      <c r="B142" s="102" t="s">
        <v>294</v>
      </c>
      <c r="C142" s="103"/>
      <c r="D142" s="103"/>
      <c r="E142" s="103"/>
      <c r="F142" s="104"/>
    </row>
    <row r="143" spans="2:6" ht="19" customHeight="1">
      <c r="B143" s="105"/>
      <c r="C143" s="103"/>
      <c r="D143" s="103"/>
      <c r="E143" s="103"/>
      <c r="F143" s="104"/>
    </row>
    <row r="144" spans="2:6" ht="19" customHeight="1">
      <c r="B144" s="105"/>
      <c r="C144" s="103"/>
      <c r="D144" s="103"/>
      <c r="E144" s="103"/>
      <c r="F144" s="104"/>
    </row>
    <row r="145" spans="2:6" ht="19" customHeight="1">
      <c r="B145" s="105"/>
      <c r="C145" s="103"/>
      <c r="D145" s="103"/>
      <c r="E145" s="103"/>
      <c r="F145" s="104"/>
    </row>
    <row r="146" spans="2:6" ht="19" customHeight="1">
      <c r="B146" s="105"/>
      <c r="C146" s="103"/>
      <c r="D146" s="103"/>
      <c r="E146" s="103"/>
      <c r="F146" s="104"/>
    </row>
    <row r="147" spans="2:6" ht="19" customHeight="1">
      <c r="B147" s="105"/>
      <c r="C147" s="103"/>
      <c r="D147" s="103"/>
      <c r="E147" s="103"/>
      <c r="F147" s="104"/>
    </row>
    <row r="148" spans="2:6" ht="19" customHeight="1">
      <c r="B148" s="105"/>
      <c r="C148" s="103"/>
      <c r="D148" s="103"/>
      <c r="E148" s="103"/>
      <c r="F148" s="104"/>
    </row>
    <row r="149" spans="2:6" ht="19" customHeight="1">
      <c r="B149" s="106"/>
      <c r="C149" s="107"/>
      <c r="D149" s="107"/>
      <c r="E149" s="107"/>
      <c r="F149" s="108"/>
    </row>
  </sheetData>
  <mergeCells count="12">
    <mergeCell ref="B141:F141"/>
    <mergeCell ref="B48:E48"/>
    <mergeCell ref="B142:F149"/>
    <mergeCell ref="B5:E5"/>
    <mergeCell ref="B85:E85"/>
    <mergeCell ref="B14:E14"/>
    <mergeCell ref="B93:E93"/>
    <mergeCell ref="B31:E31"/>
    <mergeCell ref="B23:E23"/>
    <mergeCell ref="B113:E113"/>
    <mergeCell ref="B137:E137"/>
    <mergeCell ref="B6:E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284C7"/>
  </sheetPr>
  <dimension ref="B2:F28"/>
  <sheetViews>
    <sheetView workbookViewId="0"/>
  </sheetViews>
  <sheetFormatPr baseColWidth="10" defaultColWidth="8.7265625" defaultRowHeight="14.5"/>
  <cols>
    <col min="1" max="1" width="5" customWidth="1"/>
    <col min="2" max="2" width="38" customWidth="1"/>
    <col min="3" max="3" width="22" customWidth="1"/>
    <col min="4" max="4" width="48" customWidth="1"/>
  </cols>
  <sheetData>
    <row r="2" spans="2:6" ht="25">
      <c r="B2" s="22" t="s">
        <v>295</v>
      </c>
      <c r="E2" s="23" t="s">
        <v>296</v>
      </c>
      <c r="F2" s="24" t="str">
        <f>CHOOSE('1_PANEL_CONTROL'!$C$4, "🔴 1: NEGATIVO", "🟡 2: EQUILIBRIO", "🟢 3: POSITIVO")</f>
        <v>🟡 2: EQUILIBRIO</v>
      </c>
    </row>
    <row r="3" spans="2:6" ht="45" customHeight="1">
      <c r="B3" s="116" t="str">
        <f>CHOOSE('1_PANEL_CONTROL'!$C$4, "[NEGATIVO] VARIABLES MACRO DE AJUSTE. Se aplica 21% de impuestos y 11,79% WACC. En este escenario adverso de menor liquidez, controlar la caja es crítico.", "[EQUILIBRIO] VARIABLES MACRO DE AJUSTE. Estructura de capital híbrido (WACC 11,79%). Caja inicial recomendada de " &amp; TEXT('13_CAP_TABLE_FINANCIACION'!C15, "#.##0 €") &amp; " con apoyo ENISA.", "[POSITIVO] VARIABLES MACRO DE AJUSTE. Estructura de Venture Capital (WACC 11,79%). Caja inicial óptima de " &amp; TEXT('13_CAP_TABLE_FINANCIACION'!C15, "#.##0 €") &amp; " para desarrollo intensivo.")</f>
        <v>[EQUILIBRIO] VARIABLES MACRO DE AJUSTE. Estructura de capital híbrido (WACC 11,79%). Caja inicial recomendada de 215.000 € con apoyo ENISA.</v>
      </c>
      <c r="C3" s="112"/>
      <c r="D3" s="112"/>
      <c r="E3" s="113"/>
    </row>
    <row r="4" spans="2:6" ht="16.5">
      <c r="B4" s="5" t="s">
        <v>60</v>
      </c>
      <c r="C4" s="25">
        <f>'1_PANEL_CONTROL'!$C$9</f>
        <v>42000000</v>
      </c>
      <c r="D4" s="17" t="s">
        <v>297</v>
      </c>
    </row>
    <row r="5" spans="2:6" ht="16.5">
      <c r="B5" s="5" t="s">
        <v>58</v>
      </c>
      <c r="C5" s="21">
        <f>'1_PANEL_CONTROL'!$C$8</f>
        <v>0.1179</v>
      </c>
      <c r="D5" s="17" t="s">
        <v>298</v>
      </c>
    </row>
    <row r="6" spans="2:6" ht="16.5">
      <c r="B6" s="5" t="s">
        <v>299</v>
      </c>
      <c r="C6" s="21">
        <f>'1_PANEL_CONTROL'!$C$7</f>
        <v>0.21</v>
      </c>
      <c r="D6" s="17" t="s">
        <v>300</v>
      </c>
    </row>
    <row r="7" spans="2:6" ht="16.5">
      <c r="B7" s="5" t="s">
        <v>301</v>
      </c>
      <c r="C7" s="26">
        <v>1</v>
      </c>
      <c r="D7" s="17" t="s">
        <v>302</v>
      </c>
    </row>
    <row r="8" spans="2:6" ht="16.5">
      <c r="B8" s="5" t="s">
        <v>64</v>
      </c>
      <c r="C8" s="25">
        <f>'1_PANEL_CONTROL'!$C$11</f>
        <v>500</v>
      </c>
      <c r="D8" s="17" t="s">
        <v>303</v>
      </c>
    </row>
    <row r="9" spans="2:6" ht="16.5">
      <c r="B9" s="5" t="s">
        <v>66</v>
      </c>
      <c r="C9" s="21">
        <f>'1_PANEL_CONTROL'!$C$12</f>
        <v>0.03</v>
      </c>
      <c r="D9" s="17" t="s">
        <v>304</v>
      </c>
    </row>
    <row r="12" spans="2:6" ht="16">
      <c r="B12" s="4" t="s">
        <v>305</v>
      </c>
    </row>
    <row r="14" spans="2:6" ht="16.5">
      <c r="B14" s="5" t="s">
        <v>306</v>
      </c>
      <c r="C14" s="26">
        <f>'1_PANEL_CONTROL'!$C$10/12</f>
        <v>5</v>
      </c>
      <c r="D14" s="17" t="s">
        <v>307</v>
      </c>
    </row>
    <row r="15" spans="2:6" ht="16.5">
      <c r="B15" s="5" t="s">
        <v>308</v>
      </c>
      <c r="C15" s="26">
        <v>5</v>
      </c>
      <c r="D15" s="17" t="s">
        <v>309</v>
      </c>
    </row>
    <row r="16" spans="2:6" ht="16.5">
      <c r="B16" s="5" t="s">
        <v>310</v>
      </c>
      <c r="C16" s="26">
        <v>5</v>
      </c>
      <c r="D16" s="17" t="s">
        <v>309</v>
      </c>
    </row>
    <row r="17" spans="2:6" ht="16.5">
      <c r="B17" s="5" t="s">
        <v>311</v>
      </c>
      <c r="C17" s="26">
        <v>3</v>
      </c>
      <c r="D17" s="17" t="s">
        <v>312</v>
      </c>
    </row>
    <row r="18" spans="2:6" ht="16.5">
      <c r="B18" s="5" t="s">
        <v>313</v>
      </c>
      <c r="C18" s="26">
        <f>'1_PANEL_CONTROL'!$C$10/12</f>
        <v>5</v>
      </c>
      <c r="D18" s="17" t="s">
        <v>314</v>
      </c>
    </row>
    <row r="20" spans="2:6" ht="24" customHeight="1">
      <c r="B20" s="109" t="s">
        <v>315</v>
      </c>
      <c r="C20" s="110"/>
      <c r="D20" s="110"/>
      <c r="E20" s="110"/>
      <c r="F20" s="110"/>
    </row>
    <row r="21" spans="2:6" ht="19" customHeight="1">
      <c r="B21" s="102" t="s">
        <v>316</v>
      </c>
      <c r="C21" s="103"/>
      <c r="D21" s="103"/>
      <c r="E21" s="103"/>
      <c r="F21" s="104"/>
    </row>
    <row r="22" spans="2:6" ht="19" customHeight="1">
      <c r="B22" s="105"/>
      <c r="C22" s="103"/>
      <c r="D22" s="103"/>
      <c r="E22" s="103"/>
      <c r="F22" s="104"/>
    </row>
    <row r="23" spans="2:6" ht="19" customHeight="1">
      <c r="B23" s="105"/>
      <c r="C23" s="103"/>
      <c r="D23" s="103"/>
      <c r="E23" s="103"/>
      <c r="F23" s="104"/>
    </row>
    <row r="24" spans="2:6" ht="19" customHeight="1">
      <c r="B24" s="105"/>
      <c r="C24" s="103"/>
      <c r="D24" s="103"/>
      <c r="E24" s="103"/>
      <c r="F24" s="104"/>
    </row>
    <row r="25" spans="2:6" ht="19" customHeight="1">
      <c r="B25" s="105"/>
      <c r="C25" s="103"/>
      <c r="D25" s="103"/>
      <c r="E25" s="103"/>
      <c r="F25" s="104"/>
    </row>
    <row r="26" spans="2:6" ht="19" customHeight="1">
      <c r="B26" s="105"/>
      <c r="C26" s="103"/>
      <c r="D26" s="103"/>
      <c r="E26" s="103"/>
      <c r="F26" s="104"/>
    </row>
    <row r="27" spans="2:6" ht="19" customHeight="1">
      <c r="B27" s="105"/>
      <c r="C27" s="103"/>
      <c r="D27" s="103"/>
      <c r="E27" s="103"/>
      <c r="F27" s="104"/>
    </row>
    <row r="28" spans="2:6" ht="19" customHeight="1">
      <c r="B28" s="106"/>
      <c r="C28" s="107"/>
      <c r="D28" s="107"/>
      <c r="E28" s="107"/>
      <c r="F28" s="108"/>
    </row>
  </sheetData>
  <mergeCells count="3">
    <mergeCell ref="B20:F20"/>
    <mergeCell ref="B21:F28"/>
    <mergeCell ref="B3:E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369A1"/>
  </sheetPr>
  <dimension ref="B2:F45"/>
  <sheetViews>
    <sheetView workbookViewId="0"/>
  </sheetViews>
  <sheetFormatPr baseColWidth="10" defaultColWidth="8.7265625" defaultRowHeight="14.5"/>
  <cols>
    <col min="2" max="2" width="40" customWidth="1"/>
    <col min="3" max="3" width="18" customWidth="1"/>
    <col min="4" max="4" width="52" customWidth="1"/>
  </cols>
  <sheetData>
    <row r="2" spans="2:6" ht="25">
      <c r="B2" s="27" t="s">
        <v>317</v>
      </c>
      <c r="E2" s="23" t="s">
        <v>296</v>
      </c>
      <c r="F2" s="24" t="str">
        <f>CHOOSE('1_PANEL_CONTROL'!$C$4, "🔴 1: NEGATIVO", "🟡 2: EQUILIBRIO", "🟢 3: POSITIVO")</f>
        <v>🟡 2: EQUILIBRIO</v>
      </c>
    </row>
    <row r="3" spans="2:6" ht="45" customHeight="1">
      <c r="B3" s="116" t="str">
        <f>CHOOSE('1_PANEL_CONTROL'!$C$4, "[NEGATIVO] SUPUESTOS OPERATIVOS DEL NEGOCIO. Tasas activas del escenario. Churn elevado del " &amp; TEXT('3_HIPOTESIS_NEGOCIO'!C6, "0,0%") &amp; " y coste de captación CPL de " &amp; TEXT('3_HIPOTESIS_NEGOCIO'!C20, "0,00 €") &amp; " dificultan la rentabilidad.", "[EQUILIBRIO] SUPUESTOS OPERATIVOS DEL NEGOCIO. Tasas activas del escenario. Churn moderado del " &amp; TEXT('3_HIPOTESIS_NEGOCIO'!C6, "0,0%") &amp; " y CPL de " &amp; TEXT('3_HIPOTESIS_NEGOCIO'!C20, "0,00 €") &amp; " para el break-even.", "[POSITIVO] SUPUESTOS OPERATIVOS DEL NEGOCIO. Tasas activas del escenario. Tracción muy alta con churn del " &amp; TEXT('3_HIPOTESIS_NEGOCIO'!C6, "0,0%") &amp; " y CPL de " &amp; TEXT('3_HIPOTESIS_NEGOCIO'!C20, "0,00 €") &amp; " (alta eficiencia de Ads).")</f>
        <v>[EQUILIBRIO] SUPUESTOS OPERATIVOS DEL NEGOCIO. Tasas activas del escenario. Churn moderado del 4,8% y CPL de 11,00 € para el break-even.</v>
      </c>
      <c r="C3" s="112"/>
      <c r="D3" s="113"/>
    </row>
    <row r="4" spans="2:6" ht="16.5">
      <c r="B4" s="5" t="s">
        <v>318</v>
      </c>
      <c r="C4" s="21">
        <f>'4_PROY_DEMANDA'!$D$73</f>
        <v>0.02</v>
      </c>
      <c r="D4" s="17" t="s">
        <v>319</v>
      </c>
    </row>
    <row r="5" spans="2:6" ht="16.5">
      <c r="B5" s="5" t="s">
        <v>320</v>
      </c>
      <c r="C5" s="25">
        <f>'1_PANEL_CONTROL'!$C$15</f>
        <v>30</v>
      </c>
      <c r="D5" s="17" t="s">
        <v>321</v>
      </c>
    </row>
    <row r="6" spans="2:6" ht="16.5">
      <c r="B6" s="5" t="s">
        <v>322</v>
      </c>
      <c r="C6" s="21">
        <f>'4_PROY_DEMANDA'!$D$80</f>
        <v>4.8000000000000001E-2</v>
      </c>
      <c r="D6" s="17" t="s">
        <v>323</v>
      </c>
    </row>
    <row r="7" spans="2:6" ht="16.5">
      <c r="B7" s="5" t="s">
        <v>324</v>
      </c>
      <c r="C7" s="25">
        <v>5</v>
      </c>
      <c r="D7" s="17" t="s">
        <v>325</v>
      </c>
    </row>
    <row r="8" spans="2:6" ht="16.5">
      <c r="B8" s="5" t="s">
        <v>326</v>
      </c>
      <c r="C8" s="26">
        <f>'4_PROY_DEMANDA'!$D$72</f>
        <v>2027</v>
      </c>
      <c r="D8" s="17" t="s">
        <v>327</v>
      </c>
    </row>
    <row r="9" spans="2:6" ht="16.5">
      <c r="B9" s="5" t="s">
        <v>328</v>
      </c>
      <c r="C9" s="21">
        <f>'4_PROY_DEMANDA'!$D$71</f>
        <v>0.08</v>
      </c>
      <c r="D9" s="17" t="s">
        <v>329</v>
      </c>
    </row>
    <row r="10" spans="2:6" ht="16.5">
      <c r="B10" s="5" t="s">
        <v>330</v>
      </c>
      <c r="C10" s="21">
        <f>'4_PROY_DEMANDA'!$D$82</f>
        <v>0.3</v>
      </c>
      <c r="D10" s="17" t="s">
        <v>331</v>
      </c>
    </row>
    <row r="11" spans="2:6" ht="16.5">
      <c r="B11" s="5" t="s">
        <v>332</v>
      </c>
      <c r="C11" s="25">
        <f>'1_PANEL_CONTROL'!$C$17</f>
        <v>18</v>
      </c>
      <c r="D11" s="17" t="s">
        <v>333</v>
      </c>
    </row>
    <row r="12" spans="2:6" ht="16.5">
      <c r="B12" s="5" t="s">
        <v>334</v>
      </c>
      <c r="C12" s="21">
        <f>'4_PROY_DEMANDA'!$D$85</f>
        <v>4.4999999999999998E-2</v>
      </c>
      <c r="D12" s="17" t="s">
        <v>335</v>
      </c>
    </row>
    <row r="13" spans="2:6" ht="16.5">
      <c r="B13" s="5" t="s">
        <v>75</v>
      </c>
      <c r="C13" s="25">
        <f>'1_PANEL_CONTROL'!$C$18</f>
        <v>75</v>
      </c>
      <c r="D13" s="17" t="s">
        <v>336</v>
      </c>
    </row>
    <row r="14" spans="2:6" ht="16.5">
      <c r="B14" s="5" t="s">
        <v>337</v>
      </c>
      <c r="C14" s="21">
        <f>'4_PROY_DEMANDA'!$D$87</f>
        <v>0.2</v>
      </c>
      <c r="D14" s="17" t="s">
        <v>338</v>
      </c>
    </row>
    <row r="15" spans="2:6" ht="16.5">
      <c r="B15" s="5" t="s">
        <v>339</v>
      </c>
      <c r="C15" s="25">
        <f>'1_PANEL_CONTROL'!$C$21</f>
        <v>3.75</v>
      </c>
      <c r="D15" s="17" t="s">
        <v>340</v>
      </c>
    </row>
    <row r="16" spans="2:6" ht="16.5">
      <c r="B16" s="5" t="s">
        <v>341</v>
      </c>
      <c r="C16" s="26">
        <v>1</v>
      </c>
      <c r="D16" s="17" t="s">
        <v>342</v>
      </c>
    </row>
    <row r="17" spans="2:6" ht="16.5">
      <c r="B17" s="5" t="s">
        <v>343</v>
      </c>
      <c r="C17" s="25">
        <f>'1_PANEL_CONTROL'!$C$80</f>
        <v>2000</v>
      </c>
      <c r="D17" s="17" t="s">
        <v>344</v>
      </c>
    </row>
    <row r="18" spans="2:6" ht="16.5">
      <c r="B18" s="5" t="s">
        <v>345</v>
      </c>
      <c r="C18" s="25">
        <v>0</v>
      </c>
      <c r="D18" s="17" t="s">
        <v>346</v>
      </c>
    </row>
    <row r="19" spans="2:6" ht="16.5">
      <c r="B19" s="5" t="s">
        <v>347</v>
      </c>
      <c r="C19" s="25">
        <f>'1_PANEL_CONTROL'!$C$80</f>
        <v>2000</v>
      </c>
      <c r="D19" s="17" t="s">
        <v>348</v>
      </c>
    </row>
    <row r="20" spans="2:6" ht="16.5">
      <c r="B20" s="5" t="s">
        <v>349</v>
      </c>
      <c r="C20" s="25">
        <f>'4_PROY_DEMANDA'!$D$76</f>
        <v>11</v>
      </c>
      <c r="D20" s="17" t="s">
        <v>350</v>
      </c>
    </row>
    <row r="21" spans="2:6" ht="16.5">
      <c r="B21" s="5" t="s">
        <v>351</v>
      </c>
      <c r="C21" s="25">
        <f>'1_PANEL_CONTROL'!$C$26</f>
        <v>0.6</v>
      </c>
      <c r="D21" s="17" t="s">
        <v>352</v>
      </c>
    </row>
    <row r="22" spans="2:6" ht="16.5">
      <c r="B22" s="5" t="s">
        <v>90</v>
      </c>
      <c r="C22" s="21">
        <f>'1_PANEL_CONTROL'!$C$27</f>
        <v>2.5000000000000001E-2</v>
      </c>
      <c r="D22" s="17" t="s">
        <v>353</v>
      </c>
    </row>
    <row r="23" spans="2:6" ht="16.5">
      <c r="B23" s="5" t="s">
        <v>92</v>
      </c>
      <c r="C23" s="25">
        <f>'1_PANEL_CONTROL'!$C$28</f>
        <v>100</v>
      </c>
      <c r="D23" s="17" t="s">
        <v>354</v>
      </c>
    </row>
    <row r="24" spans="2:6" ht="16.5">
      <c r="B24" s="5" t="s">
        <v>355</v>
      </c>
      <c r="C24" s="25">
        <f>'1_PANEL_CONTROL'!$C$29</f>
        <v>0.37</v>
      </c>
      <c r="D24" s="17" t="s">
        <v>356</v>
      </c>
    </row>
    <row r="25" spans="2:6" ht="16.5">
      <c r="B25" s="5" t="s">
        <v>357</v>
      </c>
      <c r="C25" s="25">
        <f>'1_PANEL_CONTROL'!$C$24</f>
        <v>35</v>
      </c>
      <c r="D25" s="17" t="s">
        <v>358</v>
      </c>
    </row>
    <row r="26" spans="2:6" ht="16.5">
      <c r="B26" s="5" t="s">
        <v>359</v>
      </c>
      <c r="C26" s="25">
        <f>'1_PANEL_CONTROL'!$C$25</f>
        <v>6.5</v>
      </c>
      <c r="D26" s="17" t="s">
        <v>360</v>
      </c>
    </row>
    <row r="28" spans="2:6" ht="24" customHeight="1">
      <c r="B28" s="111" t="s">
        <v>361</v>
      </c>
      <c r="C28" s="112"/>
      <c r="D28" s="112"/>
      <c r="E28" s="112"/>
      <c r="F28" s="113"/>
    </row>
    <row r="29" spans="2:6" ht="22" customHeight="1">
      <c r="B29" s="116" t="s">
        <v>362</v>
      </c>
      <c r="C29" s="117"/>
      <c r="D29" s="117"/>
      <c r="E29" s="117"/>
      <c r="F29" s="118"/>
    </row>
    <row r="30" spans="2:6" ht="22" customHeight="1">
      <c r="B30" s="119"/>
      <c r="C30" s="120"/>
      <c r="D30" s="120"/>
      <c r="E30" s="120"/>
      <c r="F30" s="121"/>
    </row>
    <row r="31" spans="2:6" ht="22" customHeight="1">
      <c r="B31" s="119"/>
      <c r="C31" s="120"/>
      <c r="D31" s="120"/>
      <c r="E31" s="120"/>
      <c r="F31" s="121"/>
    </row>
    <row r="32" spans="2:6" ht="22" customHeight="1">
      <c r="B32" s="119"/>
      <c r="C32" s="120"/>
      <c r="D32" s="120"/>
      <c r="E32" s="120"/>
      <c r="F32" s="121"/>
    </row>
    <row r="33" spans="2:6" ht="22" customHeight="1">
      <c r="B33" s="119"/>
      <c r="C33" s="120"/>
      <c r="D33" s="120"/>
      <c r="E33" s="120"/>
      <c r="F33" s="121"/>
    </row>
    <row r="34" spans="2:6" ht="22" customHeight="1">
      <c r="B34" s="119"/>
      <c r="C34" s="120"/>
      <c r="D34" s="120"/>
      <c r="E34" s="120"/>
      <c r="F34" s="121"/>
    </row>
    <row r="35" spans="2:6" ht="22" customHeight="1">
      <c r="B35" s="122"/>
      <c r="C35" s="123"/>
      <c r="D35" s="123"/>
      <c r="E35" s="123"/>
      <c r="F35" s="124"/>
    </row>
    <row r="37" spans="2:6" ht="24" customHeight="1">
      <c r="B37" s="109" t="s">
        <v>363</v>
      </c>
      <c r="C37" s="110"/>
      <c r="D37" s="110"/>
      <c r="E37" s="110"/>
      <c r="F37" s="110"/>
    </row>
    <row r="38" spans="2:6" ht="19" customHeight="1">
      <c r="B38" s="102" t="s">
        <v>364</v>
      </c>
      <c r="C38" s="103"/>
      <c r="D38" s="103"/>
      <c r="E38" s="103"/>
      <c r="F38" s="104"/>
    </row>
    <row r="39" spans="2:6" ht="19" customHeight="1">
      <c r="B39" s="105"/>
      <c r="C39" s="103"/>
      <c r="D39" s="103"/>
      <c r="E39" s="103"/>
      <c r="F39" s="104"/>
    </row>
    <row r="40" spans="2:6" ht="19" customHeight="1">
      <c r="B40" s="105"/>
      <c r="C40" s="103"/>
      <c r="D40" s="103"/>
      <c r="E40" s="103"/>
      <c r="F40" s="104"/>
    </row>
    <row r="41" spans="2:6" ht="19" customHeight="1">
      <c r="B41" s="105"/>
      <c r="C41" s="103"/>
      <c r="D41" s="103"/>
      <c r="E41" s="103"/>
      <c r="F41" s="104"/>
    </row>
    <row r="42" spans="2:6" ht="19" customHeight="1">
      <c r="B42" s="105"/>
      <c r="C42" s="103"/>
      <c r="D42" s="103"/>
      <c r="E42" s="103"/>
      <c r="F42" s="104"/>
    </row>
    <row r="43" spans="2:6" ht="19" customHeight="1">
      <c r="B43" s="105"/>
      <c r="C43" s="103"/>
      <c r="D43" s="103"/>
      <c r="E43" s="103"/>
      <c r="F43" s="104"/>
    </row>
    <row r="44" spans="2:6" ht="19" customHeight="1">
      <c r="B44" s="105"/>
      <c r="C44" s="103"/>
      <c r="D44" s="103"/>
      <c r="E44" s="103"/>
      <c r="F44" s="104"/>
    </row>
    <row r="45" spans="2:6" ht="19" customHeight="1">
      <c r="B45" s="106"/>
      <c r="C45" s="107"/>
      <c r="D45" s="107"/>
      <c r="E45" s="107"/>
      <c r="F45" s="108"/>
    </row>
  </sheetData>
  <mergeCells count="5">
    <mergeCell ref="B3:D3"/>
    <mergeCell ref="B38:F45"/>
    <mergeCell ref="B28:F28"/>
    <mergeCell ref="B37:F37"/>
    <mergeCell ref="B29:F3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59669"/>
  </sheetPr>
  <dimension ref="A4:CI112"/>
  <sheetViews>
    <sheetView workbookViewId="0">
      <pane xSplit="3" ySplit="8" topLeftCell="D9" activePane="bottomRight" state="frozen"/>
      <selection pane="topRight"/>
      <selection pane="bottomLeft"/>
      <selection pane="bottomRight"/>
    </sheetView>
  </sheetViews>
  <sheetFormatPr baseColWidth="10" defaultColWidth="8.7265625" defaultRowHeight="14.5"/>
  <cols>
    <col min="1" max="1" width="38" customWidth="1"/>
    <col min="2" max="2" width="12" customWidth="1"/>
    <col min="3" max="3" width="25" customWidth="1"/>
    <col min="4" max="87" width="12" customWidth="1"/>
  </cols>
  <sheetData>
    <row r="4" spans="1:87" ht="21">
      <c r="A4" s="28" t="s">
        <v>365</v>
      </c>
      <c r="E4" s="23" t="s">
        <v>296</v>
      </c>
      <c r="F4" s="24" t="str">
        <f>CHOOSE('1_PANEL_CONTROL'!$C$4, "🔴 1: NEGATIVO", "🟡 2: EQUILIBRIO", "🟢 3: POSITIVO")</f>
        <v>🟡 2: EQUILIBRIO</v>
      </c>
    </row>
    <row r="5" spans="1:87" ht="50" customHeight="1">
      <c r="A5" s="116" t="str">
        <f>CHOOSE('1_PANEL_CONTROL'!$C$4, "[NEGATIVO] PROYECCIÓN DE DEMANDA MENSUAL. En el mes 12 alcanzamos solo " &amp; TEXT('4_PROY_DEMANDA'!O21, "#.##0") &amp; " usuarios activos en Premium Care, generando un total de " &amp; TEXT('4_PROY_DEMANDA'!O23, "#.##0") &amp; " clientes en seguros Shield.", "[EQUILIBRIO] PROYECCIÓN DE DEMANDA MENSUAL. En el mes 12 alcanzamos el hito de " &amp; TEXT('4_PROY_DEMANDA'!O41, "#.##0") &amp; " usuarios Premium Care y " &amp; TEXT('4_PROY_DEMANDA'!O43, "#.##0") &amp; " asegurados.", "[POSITIVO] PROYECCIÓN DE DEMANDA MENSUAL. En el mes 12 logramos los " &amp; TEXT('4_PROY_DEMANDA'!O61, "#.##0") &amp; " usuarios activos y vendemos " &amp; TEXT(SUM('4_PROY_DEMANDA'!D64:O64), "#.##0") &amp; " Smart Collars en Año 1.")</f>
        <v>[EQUILIBRIO] PROYECCIÓN DE DEMANDA MENSUAL. En el mes 12 alcanzamos el hito de 670 usuarios Premium Care y 201 asegurados.</v>
      </c>
      <c r="B5" s="112"/>
      <c r="C5" s="112"/>
      <c r="D5" s="112"/>
      <c r="E5" s="112"/>
      <c r="F5" s="112"/>
      <c r="G5" s="112"/>
      <c r="H5" s="112"/>
      <c r="I5" s="112"/>
      <c r="J5" s="112"/>
      <c r="K5" s="112"/>
      <c r="L5" s="112"/>
      <c r="M5" s="112"/>
      <c r="N5" s="112"/>
      <c r="O5" s="113"/>
    </row>
    <row r="8" spans="1:87" ht="16">
      <c r="A8" s="4" t="s">
        <v>366</v>
      </c>
      <c r="B8" s="4" t="s">
        <v>367</v>
      </c>
      <c r="C8" s="4" t="s">
        <v>368</v>
      </c>
      <c r="D8" s="29" t="s">
        <v>369</v>
      </c>
      <c r="E8" s="29" t="s">
        <v>370</v>
      </c>
      <c r="F8" s="29" t="s">
        <v>371</v>
      </c>
      <c r="G8" s="29" t="s">
        <v>372</v>
      </c>
      <c r="H8" s="29" t="s">
        <v>373</v>
      </c>
      <c r="I8" s="29" t="s">
        <v>374</v>
      </c>
      <c r="J8" s="29" t="s">
        <v>375</v>
      </c>
      <c r="K8" s="29" t="s">
        <v>376</v>
      </c>
      <c r="L8" s="29" t="s">
        <v>377</v>
      </c>
      <c r="M8" s="29" t="s">
        <v>378</v>
      </c>
      <c r="N8" s="29" t="s">
        <v>379</v>
      </c>
      <c r="O8" s="29" t="s">
        <v>380</v>
      </c>
      <c r="P8" s="29" t="s">
        <v>381</v>
      </c>
      <c r="Q8" s="29" t="s">
        <v>382</v>
      </c>
      <c r="R8" s="29" t="s">
        <v>383</v>
      </c>
      <c r="S8" s="29" t="s">
        <v>384</v>
      </c>
      <c r="T8" s="29" t="s">
        <v>385</v>
      </c>
      <c r="U8" s="29" t="s">
        <v>386</v>
      </c>
      <c r="V8" s="29" t="s">
        <v>387</v>
      </c>
      <c r="W8" s="29" t="s">
        <v>388</v>
      </c>
      <c r="X8" s="29" t="s">
        <v>389</v>
      </c>
      <c r="Y8" s="29" t="s">
        <v>390</v>
      </c>
      <c r="Z8" s="29" t="s">
        <v>391</v>
      </c>
      <c r="AA8" s="29" t="s">
        <v>392</v>
      </c>
      <c r="AB8" s="29" t="s">
        <v>393</v>
      </c>
      <c r="AC8" s="29" t="s">
        <v>394</v>
      </c>
      <c r="AD8" s="29" t="s">
        <v>395</v>
      </c>
      <c r="AE8" s="29" t="s">
        <v>396</v>
      </c>
      <c r="AF8" s="29" t="s">
        <v>397</v>
      </c>
      <c r="AG8" s="29" t="s">
        <v>398</v>
      </c>
      <c r="AH8" s="29" t="s">
        <v>399</v>
      </c>
      <c r="AI8" s="29" t="s">
        <v>400</v>
      </c>
      <c r="AJ8" s="29" t="s">
        <v>401</v>
      </c>
      <c r="AK8" s="29" t="s">
        <v>402</v>
      </c>
      <c r="AL8" s="29" t="s">
        <v>403</v>
      </c>
      <c r="AM8" s="29" t="s">
        <v>404</v>
      </c>
      <c r="AN8" s="29" t="s">
        <v>405</v>
      </c>
      <c r="AO8" s="29" t="s">
        <v>406</v>
      </c>
      <c r="AP8" s="29" t="s">
        <v>407</v>
      </c>
      <c r="AQ8" s="29" t="s">
        <v>408</v>
      </c>
      <c r="AR8" s="29" t="s">
        <v>409</v>
      </c>
      <c r="AS8" s="29" t="s">
        <v>410</v>
      </c>
      <c r="AT8" s="29" t="s">
        <v>411</v>
      </c>
      <c r="AU8" s="29" t="s">
        <v>412</v>
      </c>
      <c r="AV8" s="29" t="s">
        <v>413</v>
      </c>
      <c r="AW8" s="29" t="s">
        <v>414</v>
      </c>
      <c r="AX8" s="29" t="s">
        <v>415</v>
      </c>
      <c r="AY8" s="29" t="s">
        <v>416</v>
      </c>
      <c r="AZ8" s="29" t="s">
        <v>417</v>
      </c>
      <c r="BA8" s="29" t="s">
        <v>418</v>
      </c>
      <c r="BB8" s="29" t="s">
        <v>419</v>
      </c>
      <c r="BC8" s="29" t="s">
        <v>420</v>
      </c>
      <c r="BD8" s="29" t="s">
        <v>421</v>
      </c>
      <c r="BE8" s="29" t="s">
        <v>422</v>
      </c>
      <c r="BF8" s="29" t="s">
        <v>423</v>
      </c>
      <c r="BG8" s="29" t="s">
        <v>424</v>
      </c>
      <c r="BH8" s="29" t="s">
        <v>425</v>
      </c>
      <c r="BI8" s="29" t="s">
        <v>426</v>
      </c>
      <c r="BJ8" s="29" t="s">
        <v>427</v>
      </c>
      <c r="BK8" s="29" t="s">
        <v>428</v>
      </c>
      <c r="BL8" s="29" t="s">
        <v>429</v>
      </c>
      <c r="BM8" s="29" t="s">
        <v>430</v>
      </c>
      <c r="BN8" s="29" t="s">
        <v>431</v>
      </c>
      <c r="BO8" s="29" t="s">
        <v>432</v>
      </c>
      <c r="BP8" s="29" t="s">
        <v>433</v>
      </c>
      <c r="BQ8" s="29" t="s">
        <v>434</v>
      </c>
      <c r="BR8" s="29" t="s">
        <v>435</v>
      </c>
      <c r="BS8" s="29" t="s">
        <v>436</v>
      </c>
      <c r="BT8" s="29" t="s">
        <v>437</v>
      </c>
      <c r="BU8" s="29" t="s">
        <v>438</v>
      </c>
      <c r="BV8" s="29" t="s">
        <v>439</v>
      </c>
      <c r="BW8" s="29" t="s">
        <v>440</v>
      </c>
      <c r="BX8" s="29" t="s">
        <v>441</v>
      </c>
      <c r="BY8" s="29" t="s">
        <v>442</v>
      </c>
      <c r="BZ8" s="29" t="s">
        <v>443</v>
      </c>
      <c r="CA8" s="29" t="s">
        <v>444</v>
      </c>
      <c r="CB8" s="29" t="s">
        <v>445</v>
      </c>
      <c r="CC8" s="29" t="s">
        <v>446</v>
      </c>
      <c r="CD8" s="29" t="s">
        <v>447</v>
      </c>
      <c r="CE8" s="29" t="s">
        <v>448</v>
      </c>
      <c r="CF8" s="29" t="s">
        <v>449</v>
      </c>
      <c r="CG8" s="29" t="s">
        <v>450</v>
      </c>
      <c r="CH8" s="29" t="s">
        <v>451</v>
      </c>
      <c r="CI8" s="29" t="s">
        <v>452</v>
      </c>
    </row>
    <row r="10" spans="1:87" ht="16">
      <c r="A10" s="125" t="s">
        <v>453</v>
      </c>
      <c r="B10" s="120"/>
      <c r="C10" s="120"/>
    </row>
    <row r="11" spans="1:87" ht="16.5">
      <c r="A11" s="6" t="s">
        <v>454</v>
      </c>
      <c r="B11" s="30" t="s">
        <v>455</v>
      </c>
      <c r="C11" s="17" t="s">
        <v>456</v>
      </c>
      <c r="D11" s="31">
        <v>0.05</v>
      </c>
      <c r="E11" s="31">
        <v>0.05</v>
      </c>
      <c r="F11" s="31">
        <v>0.05</v>
      </c>
      <c r="G11" s="31">
        <v>0.05</v>
      </c>
      <c r="H11" s="31">
        <v>0.05</v>
      </c>
      <c r="I11" s="31">
        <v>0.05</v>
      </c>
      <c r="J11" s="31">
        <v>0.05</v>
      </c>
      <c r="K11" s="31">
        <v>0.05</v>
      </c>
      <c r="L11" s="31">
        <v>0.05</v>
      </c>
      <c r="M11" s="31">
        <v>0.05</v>
      </c>
      <c r="N11" s="31">
        <v>0.05</v>
      </c>
      <c r="O11" s="31">
        <v>0.05</v>
      </c>
      <c r="P11" s="31">
        <v>0.05</v>
      </c>
      <c r="Q11" s="31">
        <v>0.05</v>
      </c>
      <c r="R11" s="31">
        <v>0.05</v>
      </c>
      <c r="S11" s="31">
        <v>0.05</v>
      </c>
      <c r="T11" s="31">
        <v>0.05</v>
      </c>
      <c r="U11" s="31">
        <v>0.05</v>
      </c>
      <c r="V11" s="31">
        <v>0.05</v>
      </c>
      <c r="W11" s="31">
        <v>0.05</v>
      </c>
      <c r="X11" s="31">
        <v>0.05</v>
      </c>
      <c r="Y11" s="31">
        <v>0.05</v>
      </c>
      <c r="Z11" s="31">
        <v>0.05</v>
      </c>
      <c r="AA11" s="31">
        <v>0.05</v>
      </c>
      <c r="AB11" s="31">
        <v>0.05</v>
      </c>
      <c r="AC11" s="31">
        <v>0.05</v>
      </c>
      <c r="AD11" s="31">
        <v>0.05</v>
      </c>
      <c r="AE11" s="31">
        <v>0.05</v>
      </c>
      <c r="AF11" s="31">
        <v>0.05</v>
      </c>
      <c r="AG11" s="31">
        <v>0.05</v>
      </c>
      <c r="AH11" s="31">
        <v>0.05</v>
      </c>
      <c r="AI11" s="31">
        <v>0.05</v>
      </c>
      <c r="AJ11" s="31">
        <v>0.05</v>
      </c>
      <c r="AK11" s="31">
        <v>0.05</v>
      </c>
      <c r="AL11" s="31">
        <v>0.05</v>
      </c>
      <c r="AM11" s="31">
        <v>0.05</v>
      </c>
      <c r="AN11" s="31">
        <v>0.05</v>
      </c>
      <c r="AO11" s="31">
        <v>0.05</v>
      </c>
      <c r="AP11" s="31">
        <v>0.05</v>
      </c>
      <c r="AQ11" s="31">
        <v>0.05</v>
      </c>
      <c r="AR11" s="31">
        <v>0.05</v>
      </c>
      <c r="AS11" s="31">
        <v>0.05</v>
      </c>
      <c r="AT11" s="31">
        <v>0.05</v>
      </c>
      <c r="AU11" s="31">
        <v>0.05</v>
      </c>
      <c r="AV11" s="31">
        <v>0.05</v>
      </c>
      <c r="AW11" s="31">
        <v>0.05</v>
      </c>
      <c r="AX11" s="31">
        <v>0.05</v>
      </c>
      <c r="AY11" s="31">
        <v>0.05</v>
      </c>
      <c r="AZ11" s="31">
        <v>0.05</v>
      </c>
      <c r="BA11" s="31">
        <v>0.05</v>
      </c>
      <c r="BB11" s="31">
        <v>0.05</v>
      </c>
      <c r="BC11" s="31">
        <v>0.05</v>
      </c>
      <c r="BD11" s="31">
        <v>0.05</v>
      </c>
      <c r="BE11" s="31">
        <v>0.05</v>
      </c>
      <c r="BF11" s="31">
        <v>0.05</v>
      </c>
      <c r="BG11" s="31">
        <v>0.05</v>
      </c>
      <c r="BH11" s="31">
        <v>0.05</v>
      </c>
      <c r="BI11" s="31">
        <v>0.05</v>
      </c>
      <c r="BJ11" s="31">
        <v>0.05</v>
      </c>
      <c r="BK11" s="31">
        <v>0.05</v>
      </c>
      <c r="BL11" s="31">
        <v>0.05</v>
      </c>
      <c r="BM11" s="31">
        <v>0.05</v>
      </c>
      <c r="BN11" s="31">
        <v>0.05</v>
      </c>
      <c r="BO11" s="31">
        <v>0.05</v>
      </c>
      <c r="BP11" s="31">
        <v>0.05</v>
      </c>
      <c r="BQ11" s="31">
        <v>0.05</v>
      </c>
      <c r="BR11" s="31">
        <v>0.05</v>
      </c>
      <c r="BS11" s="31">
        <v>0.05</v>
      </c>
      <c r="BT11" s="31">
        <v>0.05</v>
      </c>
      <c r="BU11" s="31">
        <v>0.05</v>
      </c>
      <c r="BV11" s="31">
        <v>0.05</v>
      </c>
      <c r="BW11" s="31">
        <v>0.05</v>
      </c>
      <c r="BX11" s="31">
        <v>0.05</v>
      </c>
      <c r="BY11" s="31">
        <v>0.05</v>
      </c>
      <c r="BZ11" s="31">
        <v>0.05</v>
      </c>
      <c r="CA11" s="31">
        <v>0.05</v>
      </c>
      <c r="CB11" s="31">
        <v>0.05</v>
      </c>
      <c r="CC11" s="31">
        <v>0.05</v>
      </c>
      <c r="CD11" s="31">
        <v>0.05</v>
      </c>
      <c r="CE11" s="31">
        <v>0.05</v>
      </c>
      <c r="CF11" s="31">
        <v>0.05</v>
      </c>
      <c r="CG11" s="31">
        <v>0.05</v>
      </c>
      <c r="CH11" s="31">
        <v>0.05</v>
      </c>
      <c r="CI11" s="31">
        <v>0.05</v>
      </c>
    </row>
    <row r="12" spans="1:87" ht="16.5">
      <c r="A12" s="6" t="s">
        <v>457</v>
      </c>
      <c r="B12" s="30" t="s">
        <v>458</v>
      </c>
      <c r="C12" s="17" t="s">
        <v>459</v>
      </c>
      <c r="D12" s="32">
        <v>1000</v>
      </c>
      <c r="E12" s="32">
        <f t="shared" ref="E12:AJ12" si="0">D12*(1+E11)</f>
        <v>1050</v>
      </c>
      <c r="F12" s="32">
        <f t="shared" si="0"/>
        <v>1102.5</v>
      </c>
      <c r="G12" s="32">
        <f t="shared" si="0"/>
        <v>1157.625</v>
      </c>
      <c r="H12" s="32">
        <f t="shared" si="0"/>
        <v>1215.5062500000001</v>
      </c>
      <c r="I12" s="32">
        <f t="shared" si="0"/>
        <v>1276.2815625000003</v>
      </c>
      <c r="J12" s="32">
        <f t="shared" si="0"/>
        <v>1340.0956406250004</v>
      </c>
      <c r="K12" s="32">
        <f t="shared" si="0"/>
        <v>1407.1004226562504</v>
      </c>
      <c r="L12" s="32">
        <f t="shared" si="0"/>
        <v>1477.4554437890631</v>
      </c>
      <c r="M12" s="32">
        <f t="shared" si="0"/>
        <v>1551.3282159785163</v>
      </c>
      <c r="N12" s="32">
        <f t="shared" si="0"/>
        <v>1628.8946267774422</v>
      </c>
      <c r="O12" s="32">
        <f t="shared" si="0"/>
        <v>1710.3393581163143</v>
      </c>
      <c r="P12" s="32">
        <f t="shared" si="0"/>
        <v>1795.8563260221301</v>
      </c>
      <c r="Q12" s="32">
        <f t="shared" si="0"/>
        <v>1885.6491423232367</v>
      </c>
      <c r="R12" s="32">
        <f t="shared" si="0"/>
        <v>1979.9315994393985</v>
      </c>
      <c r="S12" s="32">
        <f t="shared" si="0"/>
        <v>2078.9281794113685</v>
      </c>
      <c r="T12" s="32">
        <f t="shared" si="0"/>
        <v>2182.874588381937</v>
      </c>
      <c r="U12" s="32">
        <f t="shared" si="0"/>
        <v>2292.0183178010338</v>
      </c>
      <c r="V12" s="32">
        <f t="shared" si="0"/>
        <v>2406.6192336910858</v>
      </c>
      <c r="W12" s="32">
        <f t="shared" si="0"/>
        <v>2526.9501953756403</v>
      </c>
      <c r="X12" s="32">
        <f t="shared" si="0"/>
        <v>2653.2977051444223</v>
      </c>
      <c r="Y12" s="32">
        <f t="shared" si="0"/>
        <v>2785.9625904016434</v>
      </c>
      <c r="Z12" s="32">
        <f t="shared" si="0"/>
        <v>2925.2607199217259</v>
      </c>
      <c r="AA12" s="32">
        <f t="shared" si="0"/>
        <v>3071.5237559178122</v>
      </c>
      <c r="AB12" s="32">
        <f t="shared" si="0"/>
        <v>3225.0999437137029</v>
      </c>
      <c r="AC12" s="32">
        <f t="shared" si="0"/>
        <v>3386.3549408993881</v>
      </c>
      <c r="AD12" s="32">
        <f t="shared" si="0"/>
        <v>3555.6726879443577</v>
      </c>
      <c r="AE12" s="32">
        <f t="shared" si="0"/>
        <v>3733.4563223415757</v>
      </c>
      <c r="AF12" s="32">
        <f t="shared" si="0"/>
        <v>3920.1291384586548</v>
      </c>
      <c r="AG12" s="32">
        <f t="shared" si="0"/>
        <v>4116.1355953815873</v>
      </c>
      <c r="AH12" s="32">
        <f t="shared" si="0"/>
        <v>4321.9423751506665</v>
      </c>
      <c r="AI12" s="32">
        <f t="shared" si="0"/>
        <v>4538.0394939081998</v>
      </c>
      <c r="AJ12" s="32">
        <f t="shared" si="0"/>
        <v>4764.9414686036098</v>
      </c>
      <c r="AK12" s="32">
        <f t="shared" ref="AK12:BP12" si="1">AJ12*(1+AK11)</f>
        <v>5003.1885420337903</v>
      </c>
      <c r="AL12" s="32">
        <f t="shared" si="1"/>
        <v>5253.3479691354796</v>
      </c>
      <c r="AM12" s="32">
        <f t="shared" si="1"/>
        <v>5516.0153675922538</v>
      </c>
      <c r="AN12" s="32">
        <f t="shared" si="1"/>
        <v>5791.816135971867</v>
      </c>
      <c r="AO12" s="32">
        <f t="shared" si="1"/>
        <v>6081.4069427704608</v>
      </c>
      <c r="AP12" s="32">
        <f t="shared" si="1"/>
        <v>6385.4772899089839</v>
      </c>
      <c r="AQ12" s="32">
        <f t="shared" si="1"/>
        <v>6704.7511544044337</v>
      </c>
      <c r="AR12" s="32">
        <f t="shared" si="1"/>
        <v>7039.9887121246556</v>
      </c>
      <c r="AS12" s="32">
        <f t="shared" si="1"/>
        <v>7391.9881477308891</v>
      </c>
      <c r="AT12" s="32">
        <f t="shared" si="1"/>
        <v>7761.587555117434</v>
      </c>
      <c r="AU12" s="32">
        <f t="shared" si="1"/>
        <v>8149.666932873306</v>
      </c>
      <c r="AV12" s="32">
        <f t="shared" si="1"/>
        <v>8557.1502795169708</v>
      </c>
      <c r="AW12" s="32">
        <f t="shared" si="1"/>
        <v>8985.0077934928195</v>
      </c>
      <c r="AX12" s="32">
        <f t="shared" si="1"/>
        <v>9434.2581831674615</v>
      </c>
      <c r="AY12" s="32">
        <f t="shared" si="1"/>
        <v>9905.9710923258353</v>
      </c>
      <c r="AZ12" s="32">
        <f t="shared" si="1"/>
        <v>10401.269646942128</v>
      </c>
      <c r="BA12" s="32">
        <f t="shared" si="1"/>
        <v>10921.333129289234</v>
      </c>
      <c r="BB12" s="32">
        <f t="shared" si="1"/>
        <v>11467.399785753696</v>
      </c>
      <c r="BC12" s="32">
        <f t="shared" si="1"/>
        <v>12040.769775041381</v>
      </c>
      <c r="BD12" s="32">
        <f t="shared" si="1"/>
        <v>12642.808263793451</v>
      </c>
      <c r="BE12" s="32">
        <f t="shared" si="1"/>
        <v>13274.948676983124</v>
      </c>
      <c r="BF12" s="32">
        <f t="shared" si="1"/>
        <v>13938.696110832281</v>
      </c>
      <c r="BG12" s="32">
        <f t="shared" si="1"/>
        <v>14635.630916373895</v>
      </c>
      <c r="BH12" s="32">
        <f t="shared" si="1"/>
        <v>15367.412462192591</v>
      </c>
      <c r="BI12" s="32">
        <f t="shared" si="1"/>
        <v>16135.783085302221</v>
      </c>
      <c r="BJ12" s="32">
        <f t="shared" si="1"/>
        <v>16942.572239567333</v>
      </c>
      <c r="BK12" s="32">
        <f t="shared" si="1"/>
        <v>17789.700851545702</v>
      </c>
      <c r="BL12" s="32">
        <f t="shared" si="1"/>
        <v>18679.185894122988</v>
      </c>
      <c r="BM12" s="32">
        <f t="shared" si="1"/>
        <v>19613.145188829138</v>
      </c>
      <c r="BN12" s="32">
        <f t="shared" si="1"/>
        <v>20593.802448270595</v>
      </c>
      <c r="BO12" s="32">
        <f t="shared" si="1"/>
        <v>21623.492570684124</v>
      </c>
      <c r="BP12" s="32">
        <f t="shared" si="1"/>
        <v>22704.667199218333</v>
      </c>
      <c r="BQ12" s="32">
        <f t="shared" ref="BQ12:CV12" si="2">BP12*(1+BQ11)</f>
        <v>23839.900559179252</v>
      </c>
      <c r="BR12" s="32">
        <f t="shared" si="2"/>
        <v>25031.895587138217</v>
      </c>
      <c r="BS12" s="32">
        <f t="shared" si="2"/>
        <v>26283.490366495127</v>
      </c>
      <c r="BT12" s="32">
        <f t="shared" si="2"/>
        <v>27597.664884819886</v>
      </c>
      <c r="BU12" s="32">
        <f t="shared" si="2"/>
        <v>28977.54812906088</v>
      </c>
      <c r="BV12" s="32">
        <f t="shared" si="2"/>
        <v>30426.425535513925</v>
      </c>
      <c r="BW12" s="32">
        <f t="shared" si="2"/>
        <v>31947.746812289621</v>
      </c>
      <c r="BX12" s="32">
        <f t="shared" si="2"/>
        <v>33545.134152904102</v>
      </c>
      <c r="BY12" s="32">
        <f t="shared" si="2"/>
        <v>35222.390860549305</v>
      </c>
      <c r="BZ12" s="32">
        <f t="shared" si="2"/>
        <v>36983.510403576773</v>
      </c>
      <c r="CA12" s="32">
        <f t="shared" si="2"/>
        <v>38832.685923755613</v>
      </c>
      <c r="CB12" s="32">
        <f t="shared" si="2"/>
        <v>40774.320219943394</v>
      </c>
      <c r="CC12" s="32">
        <f t="shared" si="2"/>
        <v>42813.036230940568</v>
      </c>
      <c r="CD12" s="32">
        <f t="shared" si="2"/>
        <v>44953.6880424876</v>
      </c>
      <c r="CE12" s="32">
        <f t="shared" si="2"/>
        <v>47201.372444611981</v>
      </c>
      <c r="CF12" s="32">
        <f t="shared" si="2"/>
        <v>49561.441066842584</v>
      </c>
      <c r="CG12" s="32">
        <f t="shared" si="2"/>
        <v>52039.513120184718</v>
      </c>
      <c r="CH12" s="32">
        <f t="shared" si="2"/>
        <v>54641.488776193954</v>
      </c>
      <c r="CI12" s="32">
        <f t="shared" si="2"/>
        <v>57373.563215003654</v>
      </c>
    </row>
    <row r="13" spans="1:87" ht="16.5">
      <c r="A13" s="6" t="s">
        <v>460</v>
      </c>
      <c r="B13" s="30" t="s">
        <v>455</v>
      </c>
      <c r="C13" s="17" t="s">
        <v>461</v>
      </c>
      <c r="D13" s="31">
        <v>2.1299999999999999E-2</v>
      </c>
      <c r="E13" s="31">
        <v>2.1299999999999999E-2</v>
      </c>
      <c r="F13" s="31">
        <v>2.1299999999999999E-2</v>
      </c>
      <c r="G13" s="31">
        <v>2.1299999999999999E-2</v>
      </c>
      <c r="H13" s="31">
        <v>2.1299999999999999E-2</v>
      </c>
      <c r="I13" s="31">
        <v>2.1299999999999999E-2</v>
      </c>
      <c r="J13" s="31">
        <v>2.1299999999999999E-2</v>
      </c>
      <c r="K13" s="31">
        <v>2.1299999999999999E-2</v>
      </c>
      <c r="L13" s="31">
        <v>2.1299999999999999E-2</v>
      </c>
      <c r="M13" s="31">
        <v>2.1299999999999999E-2</v>
      </c>
      <c r="N13" s="31">
        <v>2.1299999999999999E-2</v>
      </c>
      <c r="O13" s="31">
        <v>2.1299999999999999E-2</v>
      </c>
      <c r="P13" s="31">
        <v>2.1299999999999999E-2</v>
      </c>
      <c r="Q13" s="31">
        <v>2.1299999999999999E-2</v>
      </c>
      <c r="R13" s="31">
        <v>2.1299999999999999E-2</v>
      </c>
      <c r="S13" s="31">
        <v>2.1299999999999999E-2</v>
      </c>
      <c r="T13" s="31">
        <v>2.1299999999999999E-2</v>
      </c>
      <c r="U13" s="31">
        <v>2.1299999999999999E-2</v>
      </c>
      <c r="V13" s="31">
        <v>2.1299999999999999E-2</v>
      </c>
      <c r="W13" s="31">
        <v>2.1299999999999999E-2</v>
      </c>
      <c r="X13" s="31">
        <v>2.1299999999999999E-2</v>
      </c>
      <c r="Y13" s="31">
        <v>2.1299999999999999E-2</v>
      </c>
      <c r="Z13" s="31">
        <v>2.1299999999999999E-2</v>
      </c>
      <c r="AA13" s="31">
        <v>2.1299999999999999E-2</v>
      </c>
      <c r="AB13" s="31">
        <v>2.1299999999999999E-2</v>
      </c>
      <c r="AC13" s="31">
        <v>2.1299999999999999E-2</v>
      </c>
      <c r="AD13" s="31">
        <v>2.1299999999999999E-2</v>
      </c>
      <c r="AE13" s="31">
        <v>2.1299999999999999E-2</v>
      </c>
      <c r="AF13" s="31">
        <v>2.1299999999999999E-2</v>
      </c>
      <c r="AG13" s="31">
        <v>2.1299999999999999E-2</v>
      </c>
      <c r="AH13" s="31">
        <v>2.1299999999999999E-2</v>
      </c>
      <c r="AI13" s="31">
        <v>2.1299999999999999E-2</v>
      </c>
      <c r="AJ13" s="31">
        <v>2.1299999999999999E-2</v>
      </c>
      <c r="AK13" s="31">
        <v>2.1299999999999999E-2</v>
      </c>
      <c r="AL13" s="31">
        <v>2.1299999999999999E-2</v>
      </c>
      <c r="AM13" s="31">
        <v>2.1299999999999999E-2</v>
      </c>
      <c r="AN13" s="31">
        <v>2.1299999999999999E-2</v>
      </c>
      <c r="AO13" s="31">
        <v>2.1299999999999999E-2</v>
      </c>
      <c r="AP13" s="31">
        <v>2.1299999999999999E-2</v>
      </c>
      <c r="AQ13" s="31">
        <v>2.1299999999999999E-2</v>
      </c>
      <c r="AR13" s="31">
        <v>2.1299999999999999E-2</v>
      </c>
      <c r="AS13" s="31">
        <v>2.1299999999999999E-2</v>
      </c>
      <c r="AT13" s="31">
        <v>2.1299999999999999E-2</v>
      </c>
      <c r="AU13" s="31">
        <v>2.1299999999999999E-2</v>
      </c>
      <c r="AV13" s="31">
        <v>2.1299999999999999E-2</v>
      </c>
      <c r="AW13" s="31">
        <v>2.1299999999999999E-2</v>
      </c>
      <c r="AX13" s="31">
        <v>2.1299999999999999E-2</v>
      </c>
      <c r="AY13" s="31">
        <v>2.1299999999999999E-2</v>
      </c>
      <c r="AZ13" s="31">
        <v>2.1299999999999999E-2</v>
      </c>
      <c r="BA13" s="31">
        <v>2.1299999999999999E-2</v>
      </c>
      <c r="BB13" s="31">
        <v>2.1299999999999999E-2</v>
      </c>
      <c r="BC13" s="31">
        <v>2.1299999999999999E-2</v>
      </c>
      <c r="BD13" s="31">
        <v>2.1299999999999999E-2</v>
      </c>
      <c r="BE13" s="31">
        <v>2.1299999999999999E-2</v>
      </c>
      <c r="BF13" s="31">
        <v>2.1299999999999999E-2</v>
      </c>
      <c r="BG13" s="31">
        <v>2.1299999999999999E-2</v>
      </c>
      <c r="BH13" s="31">
        <v>2.1299999999999999E-2</v>
      </c>
      <c r="BI13" s="31">
        <v>2.1299999999999999E-2</v>
      </c>
      <c r="BJ13" s="31">
        <v>2.1299999999999999E-2</v>
      </c>
      <c r="BK13" s="31">
        <v>2.1299999999999999E-2</v>
      </c>
      <c r="BL13" s="31">
        <v>2.1299999999999999E-2</v>
      </c>
      <c r="BM13" s="31">
        <v>2.1299999999999999E-2</v>
      </c>
      <c r="BN13" s="31">
        <v>2.1299999999999999E-2</v>
      </c>
      <c r="BO13" s="31">
        <v>2.1299999999999999E-2</v>
      </c>
      <c r="BP13" s="31">
        <v>2.1299999999999999E-2</v>
      </c>
      <c r="BQ13" s="31">
        <v>2.1299999999999999E-2</v>
      </c>
      <c r="BR13" s="31">
        <v>2.1299999999999999E-2</v>
      </c>
      <c r="BS13" s="31">
        <v>2.1299999999999999E-2</v>
      </c>
      <c r="BT13" s="31">
        <v>2.1299999999999999E-2</v>
      </c>
      <c r="BU13" s="31">
        <v>2.1299999999999999E-2</v>
      </c>
      <c r="BV13" s="31">
        <v>2.1299999999999999E-2</v>
      </c>
      <c r="BW13" s="31">
        <v>2.1299999999999999E-2</v>
      </c>
      <c r="BX13" s="31">
        <v>2.1299999999999999E-2</v>
      </c>
      <c r="BY13" s="31">
        <v>2.1299999999999999E-2</v>
      </c>
      <c r="BZ13" s="31">
        <v>2.1299999999999999E-2</v>
      </c>
      <c r="CA13" s="31">
        <v>2.1299999999999999E-2</v>
      </c>
      <c r="CB13" s="31">
        <v>2.1299999999999999E-2</v>
      </c>
      <c r="CC13" s="31">
        <v>2.1299999999999999E-2</v>
      </c>
      <c r="CD13" s="31">
        <v>2.1299999999999999E-2</v>
      </c>
      <c r="CE13" s="31">
        <v>2.1299999999999999E-2</v>
      </c>
      <c r="CF13" s="31">
        <v>2.1299999999999999E-2</v>
      </c>
      <c r="CG13" s="31">
        <v>2.1299999999999999E-2</v>
      </c>
      <c r="CH13" s="31">
        <v>2.1299999999999999E-2</v>
      </c>
      <c r="CI13" s="31">
        <v>2.1299999999999999E-2</v>
      </c>
    </row>
    <row r="14" spans="1:87" ht="16.5">
      <c r="A14" s="6" t="s">
        <v>462</v>
      </c>
      <c r="B14" s="30" t="s">
        <v>458</v>
      </c>
      <c r="C14" s="17" t="s">
        <v>463</v>
      </c>
      <c r="D14" s="32">
        <f t="shared" ref="D14:AI14" si="3">ROUND(D12*D13, 0)</f>
        <v>21</v>
      </c>
      <c r="E14" s="32">
        <f t="shared" si="3"/>
        <v>22</v>
      </c>
      <c r="F14" s="32">
        <f t="shared" si="3"/>
        <v>23</v>
      </c>
      <c r="G14" s="32">
        <f t="shared" si="3"/>
        <v>25</v>
      </c>
      <c r="H14" s="32">
        <f t="shared" si="3"/>
        <v>26</v>
      </c>
      <c r="I14" s="32">
        <f t="shared" si="3"/>
        <v>27</v>
      </c>
      <c r="J14" s="32">
        <f t="shared" si="3"/>
        <v>29</v>
      </c>
      <c r="K14" s="32">
        <f t="shared" si="3"/>
        <v>30</v>
      </c>
      <c r="L14" s="32">
        <f t="shared" si="3"/>
        <v>31</v>
      </c>
      <c r="M14" s="32">
        <f t="shared" si="3"/>
        <v>33</v>
      </c>
      <c r="N14" s="32">
        <f t="shared" si="3"/>
        <v>35</v>
      </c>
      <c r="O14" s="32">
        <f t="shared" si="3"/>
        <v>36</v>
      </c>
      <c r="P14" s="32">
        <f t="shared" si="3"/>
        <v>38</v>
      </c>
      <c r="Q14" s="32">
        <f t="shared" si="3"/>
        <v>40</v>
      </c>
      <c r="R14" s="32">
        <f t="shared" si="3"/>
        <v>42</v>
      </c>
      <c r="S14" s="32">
        <f t="shared" si="3"/>
        <v>44</v>
      </c>
      <c r="T14" s="32">
        <f t="shared" si="3"/>
        <v>46</v>
      </c>
      <c r="U14" s="32">
        <f t="shared" si="3"/>
        <v>49</v>
      </c>
      <c r="V14" s="32">
        <f t="shared" si="3"/>
        <v>51</v>
      </c>
      <c r="W14" s="32">
        <f t="shared" si="3"/>
        <v>54</v>
      </c>
      <c r="X14" s="32">
        <f t="shared" si="3"/>
        <v>57</v>
      </c>
      <c r="Y14" s="32">
        <f t="shared" si="3"/>
        <v>59</v>
      </c>
      <c r="Z14" s="32">
        <f t="shared" si="3"/>
        <v>62</v>
      </c>
      <c r="AA14" s="32">
        <f t="shared" si="3"/>
        <v>65</v>
      </c>
      <c r="AB14" s="32">
        <f t="shared" si="3"/>
        <v>69</v>
      </c>
      <c r="AC14" s="32">
        <f t="shared" si="3"/>
        <v>72</v>
      </c>
      <c r="AD14" s="32">
        <f t="shared" si="3"/>
        <v>76</v>
      </c>
      <c r="AE14" s="32">
        <f t="shared" si="3"/>
        <v>80</v>
      </c>
      <c r="AF14" s="32">
        <f t="shared" si="3"/>
        <v>83</v>
      </c>
      <c r="AG14" s="32">
        <f t="shared" si="3"/>
        <v>88</v>
      </c>
      <c r="AH14" s="32">
        <f t="shared" si="3"/>
        <v>92</v>
      </c>
      <c r="AI14" s="32">
        <f t="shared" si="3"/>
        <v>97</v>
      </c>
      <c r="AJ14" s="32">
        <f t="shared" ref="AJ14:BO14" si="4">ROUND(AJ12*AJ13, 0)</f>
        <v>101</v>
      </c>
      <c r="AK14" s="32">
        <f t="shared" si="4"/>
        <v>107</v>
      </c>
      <c r="AL14" s="32">
        <f t="shared" si="4"/>
        <v>112</v>
      </c>
      <c r="AM14" s="32">
        <f t="shared" si="4"/>
        <v>117</v>
      </c>
      <c r="AN14" s="32">
        <f t="shared" si="4"/>
        <v>123</v>
      </c>
      <c r="AO14" s="32">
        <f t="shared" si="4"/>
        <v>130</v>
      </c>
      <c r="AP14" s="32">
        <f t="shared" si="4"/>
        <v>136</v>
      </c>
      <c r="AQ14" s="32">
        <f t="shared" si="4"/>
        <v>143</v>
      </c>
      <c r="AR14" s="32">
        <f t="shared" si="4"/>
        <v>150</v>
      </c>
      <c r="AS14" s="32">
        <f t="shared" si="4"/>
        <v>157</v>
      </c>
      <c r="AT14" s="32">
        <f t="shared" si="4"/>
        <v>165</v>
      </c>
      <c r="AU14" s="32">
        <f t="shared" si="4"/>
        <v>174</v>
      </c>
      <c r="AV14" s="32">
        <f t="shared" si="4"/>
        <v>182</v>
      </c>
      <c r="AW14" s="32">
        <f t="shared" si="4"/>
        <v>191</v>
      </c>
      <c r="AX14" s="32">
        <f t="shared" si="4"/>
        <v>201</v>
      </c>
      <c r="AY14" s="32">
        <f t="shared" si="4"/>
        <v>211</v>
      </c>
      <c r="AZ14" s="32">
        <f t="shared" si="4"/>
        <v>222</v>
      </c>
      <c r="BA14" s="32">
        <f t="shared" si="4"/>
        <v>233</v>
      </c>
      <c r="BB14" s="32">
        <f t="shared" si="4"/>
        <v>244</v>
      </c>
      <c r="BC14" s="32">
        <f t="shared" si="4"/>
        <v>256</v>
      </c>
      <c r="BD14" s="32">
        <f t="shared" si="4"/>
        <v>269</v>
      </c>
      <c r="BE14" s="32">
        <f t="shared" si="4"/>
        <v>283</v>
      </c>
      <c r="BF14" s="32">
        <f t="shared" si="4"/>
        <v>297</v>
      </c>
      <c r="BG14" s="32">
        <f t="shared" si="4"/>
        <v>312</v>
      </c>
      <c r="BH14" s="32">
        <f t="shared" si="4"/>
        <v>327</v>
      </c>
      <c r="BI14" s="32">
        <f t="shared" si="4"/>
        <v>344</v>
      </c>
      <c r="BJ14" s="32">
        <f t="shared" si="4"/>
        <v>361</v>
      </c>
      <c r="BK14" s="32">
        <f t="shared" si="4"/>
        <v>379</v>
      </c>
      <c r="BL14" s="32">
        <f t="shared" si="4"/>
        <v>398</v>
      </c>
      <c r="BM14" s="32">
        <f t="shared" si="4"/>
        <v>418</v>
      </c>
      <c r="BN14" s="32">
        <f t="shared" si="4"/>
        <v>439</v>
      </c>
      <c r="BO14" s="32">
        <f t="shared" si="4"/>
        <v>461</v>
      </c>
      <c r="BP14" s="32">
        <f t="shared" ref="BP14:CU14" si="5">ROUND(BP12*BP13, 0)</f>
        <v>484</v>
      </c>
      <c r="BQ14" s="32">
        <f t="shared" si="5"/>
        <v>508</v>
      </c>
      <c r="BR14" s="32">
        <f t="shared" si="5"/>
        <v>533</v>
      </c>
      <c r="BS14" s="32">
        <f t="shared" si="5"/>
        <v>560</v>
      </c>
      <c r="BT14" s="32">
        <f t="shared" si="5"/>
        <v>588</v>
      </c>
      <c r="BU14" s="32">
        <f t="shared" si="5"/>
        <v>617</v>
      </c>
      <c r="BV14" s="32">
        <f t="shared" si="5"/>
        <v>648</v>
      </c>
      <c r="BW14" s="32">
        <f t="shared" si="5"/>
        <v>680</v>
      </c>
      <c r="BX14" s="32">
        <f t="shared" si="5"/>
        <v>715</v>
      </c>
      <c r="BY14" s="32">
        <f t="shared" si="5"/>
        <v>750</v>
      </c>
      <c r="BZ14" s="32">
        <f t="shared" si="5"/>
        <v>788</v>
      </c>
      <c r="CA14" s="32">
        <f t="shared" si="5"/>
        <v>827</v>
      </c>
      <c r="CB14" s="32">
        <f t="shared" si="5"/>
        <v>868</v>
      </c>
      <c r="CC14" s="32">
        <f t="shared" si="5"/>
        <v>912</v>
      </c>
      <c r="CD14" s="32">
        <f t="shared" si="5"/>
        <v>958</v>
      </c>
      <c r="CE14" s="32">
        <f t="shared" si="5"/>
        <v>1005</v>
      </c>
      <c r="CF14" s="32">
        <f t="shared" si="5"/>
        <v>1056</v>
      </c>
      <c r="CG14" s="32">
        <f t="shared" si="5"/>
        <v>1108</v>
      </c>
      <c r="CH14" s="32">
        <f t="shared" si="5"/>
        <v>1164</v>
      </c>
      <c r="CI14" s="32">
        <f t="shared" si="5"/>
        <v>1222</v>
      </c>
    </row>
    <row r="15" spans="1:87" ht="16.5">
      <c r="A15" s="6" t="s">
        <v>464</v>
      </c>
      <c r="B15" s="30" t="s">
        <v>465</v>
      </c>
      <c r="C15" s="17" t="s">
        <v>466</v>
      </c>
      <c r="D15" s="33">
        <f>'1_PANEL_CONTROL'!$C$80+'1_PANEL_CONTROL'!$C$69+'1_PANEL_CONTROL'!$C$68</f>
        <v>2955</v>
      </c>
      <c r="E15" s="33">
        <f>'1_PANEL_CONTROL'!$C$80+'1_PANEL_CONTROL'!$C$69+'1_PANEL_CONTROL'!$C$68</f>
        <v>2955</v>
      </c>
      <c r="F15" s="33">
        <f>'1_PANEL_CONTROL'!$C$80+'1_PANEL_CONTROL'!$C$69+'1_PANEL_CONTROL'!$C$68</f>
        <v>2955</v>
      </c>
      <c r="G15" s="33">
        <f>'1_PANEL_CONTROL'!$C$80+'1_PANEL_CONTROL'!$C$69+'1_PANEL_CONTROL'!$C$68</f>
        <v>2955</v>
      </c>
      <c r="H15" s="33">
        <f>'1_PANEL_CONTROL'!$C$80+'1_PANEL_CONTROL'!$C$69+'1_PANEL_CONTROL'!$C$68</f>
        <v>2955</v>
      </c>
      <c r="I15" s="33">
        <f>'1_PANEL_CONTROL'!$C$80+'1_PANEL_CONTROL'!$C$69+'1_PANEL_CONTROL'!$C$68</f>
        <v>2955</v>
      </c>
      <c r="J15" s="33">
        <f>'1_PANEL_CONTROL'!$C$80+'1_PANEL_CONTROL'!$C$69+'1_PANEL_CONTROL'!$C$68</f>
        <v>2955</v>
      </c>
      <c r="K15" s="33">
        <f>'1_PANEL_CONTROL'!$C$80+'1_PANEL_CONTROL'!$C$69+'1_PANEL_CONTROL'!$C$68</f>
        <v>2955</v>
      </c>
      <c r="L15" s="33">
        <f>'1_PANEL_CONTROL'!$C$80+'1_PANEL_CONTROL'!$C$69+'1_PANEL_CONTROL'!$C$68</f>
        <v>2955</v>
      </c>
      <c r="M15" s="33">
        <f>'1_PANEL_CONTROL'!$C$80+'1_PANEL_CONTROL'!$C$69+'1_PANEL_CONTROL'!$C$68</f>
        <v>2955</v>
      </c>
      <c r="N15" s="33">
        <f>'1_PANEL_CONTROL'!$C$80+'1_PANEL_CONTROL'!$C$69+'1_PANEL_CONTROL'!$C$68</f>
        <v>2955</v>
      </c>
      <c r="O15" s="33">
        <f>'1_PANEL_CONTROL'!$C$80+'1_PANEL_CONTROL'!$C$69+'1_PANEL_CONTROL'!$C$68</f>
        <v>2955</v>
      </c>
      <c r="P15" s="33">
        <f>'1_PANEL_CONTROL'!$C$80+'1_PANEL_CONTROL'!$C$69+'1_PANEL_CONTROL'!$C$68</f>
        <v>2955</v>
      </c>
      <c r="Q15" s="33">
        <f>'1_PANEL_CONTROL'!$C$80+'1_PANEL_CONTROL'!$C$69+'1_PANEL_CONTROL'!$C$68</f>
        <v>2955</v>
      </c>
      <c r="R15" s="33">
        <f>'1_PANEL_CONTROL'!$C$80+'1_PANEL_CONTROL'!$C$69+'1_PANEL_CONTROL'!$C$68</f>
        <v>2955</v>
      </c>
      <c r="S15" s="33">
        <f>'1_PANEL_CONTROL'!$C$80+'1_PANEL_CONTROL'!$C$69+'1_PANEL_CONTROL'!$C$68</f>
        <v>2955</v>
      </c>
      <c r="T15" s="33">
        <f>'1_PANEL_CONTROL'!$C$80+'1_PANEL_CONTROL'!$C$69+'1_PANEL_CONTROL'!$C$68</f>
        <v>2955</v>
      </c>
      <c r="U15" s="33">
        <f>'1_PANEL_CONTROL'!$C$80+'1_PANEL_CONTROL'!$C$69+'1_PANEL_CONTROL'!$C$68</f>
        <v>2955</v>
      </c>
      <c r="V15" s="33">
        <f>'1_PANEL_CONTROL'!$C$80+'1_PANEL_CONTROL'!$C$69+'1_PANEL_CONTROL'!$C$68</f>
        <v>2955</v>
      </c>
      <c r="W15" s="33">
        <f>'1_PANEL_CONTROL'!$C$80+'1_PANEL_CONTROL'!$C$69+'1_PANEL_CONTROL'!$C$68</f>
        <v>2955</v>
      </c>
      <c r="X15" s="33">
        <f>'1_PANEL_CONTROL'!$C$80+'1_PANEL_CONTROL'!$C$69+'1_PANEL_CONTROL'!$C$68</f>
        <v>2955</v>
      </c>
      <c r="Y15" s="33">
        <f>'1_PANEL_CONTROL'!$C$80+'1_PANEL_CONTROL'!$C$69+'1_PANEL_CONTROL'!$C$68</f>
        <v>2955</v>
      </c>
      <c r="Z15" s="33">
        <f>'1_PANEL_CONTROL'!$C$80+'1_PANEL_CONTROL'!$C$69+'1_PANEL_CONTROL'!$C$68</f>
        <v>2955</v>
      </c>
      <c r="AA15" s="33">
        <f>'1_PANEL_CONTROL'!$C$80+'1_PANEL_CONTROL'!$C$69+'1_PANEL_CONTROL'!$C$68</f>
        <v>2955</v>
      </c>
      <c r="AB15" s="33">
        <f>'1_PANEL_CONTROL'!$C$80+'1_PANEL_CONTROL'!$C$69+'1_PANEL_CONTROL'!$C$68</f>
        <v>2955</v>
      </c>
      <c r="AC15" s="33">
        <f>'1_PANEL_CONTROL'!$C$80+'1_PANEL_CONTROL'!$C$69+'1_PANEL_CONTROL'!$C$68</f>
        <v>2955</v>
      </c>
      <c r="AD15" s="33">
        <f>'1_PANEL_CONTROL'!$C$80+'1_PANEL_CONTROL'!$C$69+'1_PANEL_CONTROL'!$C$68</f>
        <v>2955</v>
      </c>
      <c r="AE15" s="33">
        <f>'1_PANEL_CONTROL'!$C$80+'1_PANEL_CONTROL'!$C$69+'1_PANEL_CONTROL'!$C$68</f>
        <v>2955</v>
      </c>
      <c r="AF15" s="33">
        <f>'1_PANEL_CONTROL'!$C$80+'1_PANEL_CONTROL'!$C$69+'1_PANEL_CONTROL'!$C$68</f>
        <v>2955</v>
      </c>
      <c r="AG15" s="33">
        <f>'1_PANEL_CONTROL'!$C$80+'1_PANEL_CONTROL'!$C$69+'1_PANEL_CONTROL'!$C$68</f>
        <v>2955</v>
      </c>
      <c r="AH15" s="33">
        <f>'1_PANEL_CONTROL'!$C$80+'1_PANEL_CONTROL'!$C$69+'1_PANEL_CONTROL'!$C$68</f>
        <v>2955</v>
      </c>
      <c r="AI15" s="33">
        <f>'1_PANEL_CONTROL'!$C$80+'1_PANEL_CONTROL'!$C$69+'1_PANEL_CONTROL'!$C$68</f>
        <v>2955</v>
      </c>
      <c r="AJ15" s="33">
        <f>'1_PANEL_CONTROL'!$C$80+'1_PANEL_CONTROL'!$C$69+'1_PANEL_CONTROL'!$C$68</f>
        <v>2955</v>
      </c>
      <c r="AK15" s="33">
        <f>'1_PANEL_CONTROL'!$C$80+'1_PANEL_CONTROL'!$C$69+'1_PANEL_CONTROL'!$C$68</f>
        <v>2955</v>
      </c>
      <c r="AL15" s="33">
        <f>'1_PANEL_CONTROL'!$C$80+'1_PANEL_CONTROL'!$C$69+'1_PANEL_CONTROL'!$C$68</f>
        <v>2955</v>
      </c>
      <c r="AM15" s="33">
        <f>'1_PANEL_CONTROL'!$C$80+'1_PANEL_CONTROL'!$C$69+'1_PANEL_CONTROL'!$C$68</f>
        <v>2955</v>
      </c>
      <c r="AN15" s="33">
        <f>'1_PANEL_CONTROL'!$C$80+'1_PANEL_CONTROL'!$C$69+'1_PANEL_CONTROL'!$C$68</f>
        <v>2955</v>
      </c>
      <c r="AO15" s="33">
        <f>'1_PANEL_CONTROL'!$C$80+'1_PANEL_CONTROL'!$C$69+'1_PANEL_CONTROL'!$C$68</f>
        <v>2955</v>
      </c>
      <c r="AP15" s="33">
        <f>'1_PANEL_CONTROL'!$C$80+'1_PANEL_CONTROL'!$C$69+'1_PANEL_CONTROL'!$C$68</f>
        <v>2955</v>
      </c>
      <c r="AQ15" s="33">
        <f>'1_PANEL_CONTROL'!$C$80+'1_PANEL_CONTROL'!$C$69+'1_PANEL_CONTROL'!$C$68</f>
        <v>2955</v>
      </c>
      <c r="AR15" s="33">
        <f>'1_PANEL_CONTROL'!$C$80+'1_PANEL_CONTROL'!$C$69+'1_PANEL_CONTROL'!$C$68</f>
        <v>2955</v>
      </c>
      <c r="AS15" s="33">
        <f>'1_PANEL_CONTROL'!$C$80+'1_PANEL_CONTROL'!$C$69+'1_PANEL_CONTROL'!$C$68</f>
        <v>2955</v>
      </c>
      <c r="AT15" s="33">
        <f>'1_PANEL_CONTROL'!$C$80+'1_PANEL_CONTROL'!$C$69+'1_PANEL_CONTROL'!$C$68</f>
        <v>2955</v>
      </c>
      <c r="AU15" s="33">
        <f>'1_PANEL_CONTROL'!$C$80+'1_PANEL_CONTROL'!$C$69+'1_PANEL_CONTROL'!$C$68</f>
        <v>2955</v>
      </c>
      <c r="AV15" s="33">
        <f>'1_PANEL_CONTROL'!$C$80+'1_PANEL_CONTROL'!$C$69+'1_PANEL_CONTROL'!$C$68</f>
        <v>2955</v>
      </c>
      <c r="AW15" s="33">
        <f>'1_PANEL_CONTROL'!$C$80+'1_PANEL_CONTROL'!$C$69+'1_PANEL_CONTROL'!$C$68</f>
        <v>2955</v>
      </c>
      <c r="AX15" s="33">
        <f>'1_PANEL_CONTROL'!$C$80+'1_PANEL_CONTROL'!$C$69+'1_PANEL_CONTROL'!$C$68</f>
        <v>2955</v>
      </c>
      <c r="AY15" s="33">
        <f>'1_PANEL_CONTROL'!$C$80+'1_PANEL_CONTROL'!$C$69+'1_PANEL_CONTROL'!$C$68</f>
        <v>2955</v>
      </c>
      <c r="AZ15" s="33">
        <f>'1_PANEL_CONTROL'!$C$80+'1_PANEL_CONTROL'!$C$69+'1_PANEL_CONTROL'!$C$68</f>
        <v>2955</v>
      </c>
      <c r="BA15" s="33">
        <f>'1_PANEL_CONTROL'!$C$80+'1_PANEL_CONTROL'!$C$69+'1_PANEL_CONTROL'!$C$68</f>
        <v>2955</v>
      </c>
      <c r="BB15" s="33">
        <f>'1_PANEL_CONTROL'!$C$80+'1_PANEL_CONTROL'!$C$69+'1_PANEL_CONTROL'!$C$68</f>
        <v>2955</v>
      </c>
      <c r="BC15" s="33">
        <f>'1_PANEL_CONTROL'!$C$80+'1_PANEL_CONTROL'!$C$69+'1_PANEL_CONTROL'!$C$68</f>
        <v>2955</v>
      </c>
      <c r="BD15" s="33">
        <f>'1_PANEL_CONTROL'!$C$80+'1_PANEL_CONTROL'!$C$69+'1_PANEL_CONTROL'!$C$68</f>
        <v>2955</v>
      </c>
      <c r="BE15" s="33">
        <f>'1_PANEL_CONTROL'!$C$80+'1_PANEL_CONTROL'!$C$69+'1_PANEL_CONTROL'!$C$68</f>
        <v>2955</v>
      </c>
      <c r="BF15" s="33">
        <f>'1_PANEL_CONTROL'!$C$80+'1_PANEL_CONTROL'!$C$69+'1_PANEL_CONTROL'!$C$68</f>
        <v>2955</v>
      </c>
      <c r="BG15" s="33">
        <f>'1_PANEL_CONTROL'!$C$80+'1_PANEL_CONTROL'!$C$69+'1_PANEL_CONTROL'!$C$68</f>
        <v>2955</v>
      </c>
      <c r="BH15" s="33">
        <f>'1_PANEL_CONTROL'!$C$80+'1_PANEL_CONTROL'!$C$69+'1_PANEL_CONTROL'!$C$68</f>
        <v>2955</v>
      </c>
      <c r="BI15" s="33">
        <f>'1_PANEL_CONTROL'!$C$80+'1_PANEL_CONTROL'!$C$69+'1_PANEL_CONTROL'!$C$68</f>
        <v>2955</v>
      </c>
      <c r="BJ15" s="33">
        <f>'1_PANEL_CONTROL'!$C$80+'1_PANEL_CONTROL'!$C$69+'1_PANEL_CONTROL'!$C$68</f>
        <v>2955</v>
      </c>
      <c r="BK15" s="33">
        <f>'1_PANEL_CONTROL'!$C$80+'1_PANEL_CONTROL'!$C$69+'1_PANEL_CONTROL'!$C$68</f>
        <v>2955</v>
      </c>
      <c r="BL15" s="33">
        <f>'1_PANEL_CONTROL'!$C$80+'1_PANEL_CONTROL'!$C$69+'1_PANEL_CONTROL'!$C$68</f>
        <v>2955</v>
      </c>
      <c r="BM15" s="33">
        <f>'1_PANEL_CONTROL'!$C$80+'1_PANEL_CONTROL'!$C$69+'1_PANEL_CONTROL'!$C$68</f>
        <v>2955</v>
      </c>
      <c r="BN15" s="33">
        <f>'1_PANEL_CONTROL'!$C$80+'1_PANEL_CONTROL'!$C$69+'1_PANEL_CONTROL'!$C$68</f>
        <v>2955</v>
      </c>
      <c r="BO15" s="33">
        <f>'1_PANEL_CONTROL'!$C$80+'1_PANEL_CONTROL'!$C$69+'1_PANEL_CONTROL'!$C$68</f>
        <v>2955</v>
      </c>
      <c r="BP15" s="33">
        <f>'1_PANEL_CONTROL'!$C$80+'1_PANEL_CONTROL'!$C$69+'1_PANEL_CONTROL'!$C$68</f>
        <v>2955</v>
      </c>
      <c r="BQ15" s="33">
        <f>'1_PANEL_CONTROL'!$C$80+'1_PANEL_CONTROL'!$C$69+'1_PANEL_CONTROL'!$C$68</f>
        <v>2955</v>
      </c>
      <c r="BR15" s="33">
        <f>'1_PANEL_CONTROL'!$C$80+'1_PANEL_CONTROL'!$C$69+'1_PANEL_CONTROL'!$C$68</f>
        <v>2955</v>
      </c>
      <c r="BS15" s="33">
        <f>'1_PANEL_CONTROL'!$C$80+'1_PANEL_CONTROL'!$C$69+'1_PANEL_CONTROL'!$C$68</f>
        <v>2955</v>
      </c>
      <c r="BT15" s="33">
        <f>'1_PANEL_CONTROL'!$C$80+'1_PANEL_CONTROL'!$C$69+'1_PANEL_CONTROL'!$C$68</f>
        <v>2955</v>
      </c>
      <c r="BU15" s="33">
        <f>'1_PANEL_CONTROL'!$C$80+'1_PANEL_CONTROL'!$C$69+'1_PANEL_CONTROL'!$C$68</f>
        <v>2955</v>
      </c>
      <c r="BV15" s="33">
        <f>'1_PANEL_CONTROL'!$C$80+'1_PANEL_CONTROL'!$C$69+'1_PANEL_CONTROL'!$C$68</f>
        <v>2955</v>
      </c>
      <c r="BW15" s="33">
        <f>'1_PANEL_CONTROL'!$C$80+'1_PANEL_CONTROL'!$C$69+'1_PANEL_CONTROL'!$C$68</f>
        <v>2955</v>
      </c>
      <c r="BX15" s="33">
        <f>'1_PANEL_CONTROL'!$C$80+'1_PANEL_CONTROL'!$C$69+'1_PANEL_CONTROL'!$C$68</f>
        <v>2955</v>
      </c>
      <c r="BY15" s="33">
        <f>'1_PANEL_CONTROL'!$C$80+'1_PANEL_CONTROL'!$C$69+'1_PANEL_CONTROL'!$C$68</f>
        <v>2955</v>
      </c>
      <c r="BZ15" s="33">
        <f>'1_PANEL_CONTROL'!$C$80+'1_PANEL_CONTROL'!$C$69+'1_PANEL_CONTROL'!$C$68</f>
        <v>2955</v>
      </c>
      <c r="CA15" s="33">
        <f>'1_PANEL_CONTROL'!$C$80+'1_PANEL_CONTROL'!$C$69+'1_PANEL_CONTROL'!$C$68</f>
        <v>2955</v>
      </c>
      <c r="CB15" s="33">
        <f>'1_PANEL_CONTROL'!$C$80+'1_PANEL_CONTROL'!$C$69+'1_PANEL_CONTROL'!$C$68</f>
        <v>2955</v>
      </c>
      <c r="CC15" s="33">
        <f>'1_PANEL_CONTROL'!$C$80+'1_PANEL_CONTROL'!$C$69+'1_PANEL_CONTROL'!$C$68</f>
        <v>2955</v>
      </c>
      <c r="CD15" s="33">
        <f>'1_PANEL_CONTROL'!$C$80+'1_PANEL_CONTROL'!$C$69+'1_PANEL_CONTROL'!$C$68</f>
        <v>2955</v>
      </c>
      <c r="CE15" s="33">
        <f>'1_PANEL_CONTROL'!$C$80+'1_PANEL_CONTROL'!$C$69+'1_PANEL_CONTROL'!$C$68</f>
        <v>2955</v>
      </c>
      <c r="CF15" s="33">
        <f>'1_PANEL_CONTROL'!$C$80+'1_PANEL_CONTROL'!$C$69+'1_PANEL_CONTROL'!$C$68</f>
        <v>2955</v>
      </c>
      <c r="CG15" s="33">
        <f>'1_PANEL_CONTROL'!$C$80+'1_PANEL_CONTROL'!$C$69+'1_PANEL_CONTROL'!$C$68</f>
        <v>2955</v>
      </c>
      <c r="CH15" s="33">
        <f>'1_PANEL_CONTROL'!$C$80+'1_PANEL_CONTROL'!$C$69+'1_PANEL_CONTROL'!$C$68</f>
        <v>2955</v>
      </c>
      <c r="CI15" s="33">
        <f>'1_PANEL_CONTROL'!$C$80+'1_PANEL_CONTROL'!$C$69+'1_PANEL_CONTROL'!$C$68</f>
        <v>2955</v>
      </c>
    </row>
    <row r="16" spans="1:87" ht="16.5">
      <c r="A16" s="6" t="s">
        <v>467</v>
      </c>
      <c r="B16" s="30" t="s">
        <v>465</v>
      </c>
      <c r="C16" s="17" t="s">
        <v>468</v>
      </c>
      <c r="D16" s="33">
        <v>15</v>
      </c>
      <c r="E16" s="33">
        <v>15</v>
      </c>
      <c r="F16" s="33">
        <v>15</v>
      </c>
      <c r="G16" s="33">
        <v>15</v>
      </c>
      <c r="H16" s="33">
        <v>15</v>
      </c>
      <c r="I16" s="33">
        <v>15</v>
      </c>
      <c r="J16" s="33">
        <v>15</v>
      </c>
      <c r="K16" s="33">
        <v>15</v>
      </c>
      <c r="L16" s="33">
        <v>15</v>
      </c>
      <c r="M16" s="33">
        <v>15</v>
      </c>
      <c r="N16" s="33">
        <v>15</v>
      </c>
      <c r="O16" s="33">
        <v>15</v>
      </c>
      <c r="P16" s="33">
        <v>15</v>
      </c>
      <c r="Q16" s="33">
        <v>15</v>
      </c>
      <c r="R16" s="33">
        <v>15</v>
      </c>
      <c r="S16" s="33">
        <v>15</v>
      </c>
      <c r="T16" s="33">
        <v>15</v>
      </c>
      <c r="U16" s="33">
        <v>15</v>
      </c>
      <c r="V16" s="33">
        <v>15</v>
      </c>
      <c r="W16" s="33">
        <v>15</v>
      </c>
      <c r="X16" s="33">
        <v>15</v>
      </c>
      <c r="Y16" s="33">
        <v>15</v>
      </c>
      <c r="Z16" s="33">
        <v>15</v>
      </c>
      <c r="AA16" s="33">
        <v>15</v>
      </c>
      <c r="AB16" s="33">
        <v>15</v>
      </c>
      <c r="AC16" s="33">
        <v>15</v>
      </c>
      <c r="AD16" s="33">
        <v>15</v>
      </c>
      <c r="AE16" s="33">
        <v>15</v>
      </c>
      <c r="AF16" s="33">
        <v>15</v>
      </c>
      <c r="AG16" s="33">
        <v>15</v>
      </c>
      <c r="AH16" s="33">
        <v>15</v>
      </c>
      <c r="AI16" s="33">
        <v>15</v>
      </c>
      <c r="AJ16" s="33">
        <v>15</v>
      </c>
      <c r="AK16" s="33">
        <v>15</v>
      </c>
      <c r="AL16" s="33">
        <v>15</v>
      </c>
      <c r="AM16" s="33">
        <v>15</v>
      </c>
      <c r="AN16" s="33">
        <v>15</v>
      </c>
      <c r="AO16" s="33">
        <v>15</v>
      </c>
      <c r="AP16" s="33">
        <v>15</v>
      </c>
      <c r="AQ16" s="33">
        <v>15</v>
      </c>
      <c r="AR16" s="33">
        <v>15</v>
      </c>
      <c r="AS16" s="33">
        <v>15</v>
      </c>
      <c r="AT16" s="33">
        <v>15</v>
      </c>
      <c r="AU16" s="33">
        <v>15</v>
      </c>
      <c r="AV16" s="33">
        <v>15</v>
      </c>
      <c r="AW16" s="33">
        <v>15</v>
      </c>
      <c r="AX16" s="33">
        <v>15</v>
      </c>
      <c r="AY16" s="33">
        <v>15</v>
      </c>
      <c r="AZ16" s="33">
        <v>15</v>
      </c>
      <c r="BA16" s="33">
        <v>15</v>
      </c>
      <c r="BB16" s="33">
        <v>15</v>
      </c>
      <c r="BC16" s="33">
        <v>15</v>
      </c>
      <c r="BD16" s="33">
        <v>15</v>
      </c>
      <c r="BE16" s="33">
        <v>15</v>
      </c>
      <c r="BF16" s="33">
        <v>15</v>
      </c>
      <c r="BG16" s="33">
        <v>15</v>
      </c>
      <c r="BH16" s="33">
        <v>15</v>
      </c>
      <c r="BI16" s="33">
        <v>15</v>
      </c>
      <c r="BJ16" s="33">
        <v>15</v>
      </c>
      <c r="BK16" s="33">
        <v>15</v>
      </c>
      <c r="BL16" s="33">
        <v>15</v>
      </c>
      <c r="BM16" s="33">
        <v>15</v>
      </c>
      <c r="BN16" s="33">
        <v>15</v>
      </c>
      <c r="BO16" s="33">
        <v>15</v>
      </c>
      <c r="BP16" s="33">
        <v>15</v>
      </c>
      <c r="BQ16" s="33">
        <v>15</v>
      </c>
      <c r="BR16" s="33">
        <v>15</v>
      </c>
      <c r="BS16" s="33">
        <v>15</v>
      </c>
      <c r="BT16" s="33">
        <v>15</v>
      </c>
      <c r="BU16" s="33">
        <v>15</v>
      </c>
      <c r="BV16" s="33">
        <v>15</v>
      </c>
      <c r="BW16" s="33">
        <v>15</v>
      </c>
      <c r="BX16" s="33">
        <v>15</v>
      </c>
      <c r="BY16" s="33">
        <v>15</v>
      </c>
      <c r="BZ16" s="33">
        <v>15</v>
      </c>
      <c r="CA16" s="33">
        <v>15</v>
      </c>
      <c r="CB16" s="33">
        <v>15</v>
      </c>
      <c r="CC16" s="33">
        <v>15</v>
      </c>
      <c r="CD16" s="33">
        <v>15</v>
      </c>
      <c r="CE16" s="33">
        <v>15</v>
      </c>
      <c r="CF16" s="33">
        <v>15</v>
      </c>
      <c r="CG16" s="33">
        <v>15</v>
      </c>
      <c r="CH16" s="33">
        <v>15</v>
      </c>
      <c r="CI16" s="33">
        <v>15</v>
      </c>
    </row>
    <row r="17" spans="1:87" ht="16.5">
      <c r="A17" s="6" t="s">
        <v>469</v>
      </c>
      <c r="B17" s="30" t="s">
        <v>458</v>
      </c>
      <c r="C17" s="17" t="s">
        <v>470</v>
      </c>
      <c r="D17" s="32">
        <f t="shared" ref="D17:AI17" si="6">ROUND(D15/D16, 0)</f>
        <v>197</v>
      </c>
      <c r="E17" s="32">
        <f t="shared" si="6"/>
        <v>197</v>
      </c>
      <c r="F17" s="32">
        <f t="shared" si="6"/>
        <v>197</v>
      </c>
      <c r="G17" s="32">
        <f t="shared" si="6"/>
        <v>197</v>
      </c>
      <c r="H17" s="32">
        <f t="shared" si="6"/>
        <v>197</v>
      </c>
      <c r="I17" s="32">
        <f t="shared" si="6"/>
        <v>197</v>
      </c>
      <c r="J17" s="32">
        <f t="shared" si="6"/>
        <v>197</v>
      </c>
      <c r="K17" s="32">
        <f t="shared" si="6"/>
        <v>197</v>
      </c>
      <c r="L17" s="32">
        <f t="shared" si="6"/>
        <v>197</v>
      </c>
      <c r="M17" s="32">
        <f t="shared" si="6"/>
        <v>197</v>
      </c>
      <c r="N17" s="32">
        <f t="shared" si="6"/>
        <v>197</v>
      </c>
      <c r="O17" s="32">
        <f t="shared" si="6"/>
        <v>197</v>
      </c>
      <c r="P17" s="32">
        <f t="shared" si="6"/>
        <v>197</v>
      </c>
      <c r="Q17" s="32">
        <f t="shared" si="6"/>
        <v>197</v>
      </c>
      <c r="R17" s="32">
        <f t="shared" si="6"/>
        <v>197</v>
      </c>
      <c r="S17" s="32">
        <f t="shared" si="6"/>
        <v>197</v>
      </c>
      <c r="T17" s="32">
        <f t="shared" si="6"/>
        <v>197</v>
      </c>
      <c r="U17" s="32">
        <f t="shared" si="6"/>
        <v>197</v>
      </c>
      <c r="V17" s="32">
        <f t="shared" si="6"/>
        <v>197</v>
      </c>
      <c r="W17" s="32">
        <f t="shared" si="6"/>
        <v>197</v>
      </c>
      <c r="X17" s="32">
        <f t="shared" si="6"/>
        <v>197</v>
      </c>
      <c r="Y17" s="32">
        <f t="shared" si="6"/>
        <v>197</v>
      </c>
      <c r="Z17" s="32">
        <f t="shared" si="6"/>
        <v>197</v>
      </c>
      <c r="AA17" s="32">
        <f t="shared" si="6"/>
        <v>197</v>
      </c>
      <c r="AB17" s="32">
        <f t="shared" si="6"/>
        <v>197</v>
      </c>
      <c r="AC17" s="32">
        <f t="shared" si="6"/>
        <v>197</v>
      </c>
      <c r="AD17" s="32">
        <f t="shared" si="6"/>
        <v>197</v>
      </c>
      <c r="AE17" s="32">
        <f t="shared" si="6"/>
        <v>197</v>
      </c>
      <c r="AF17" s="32">
        <f t="shared" si="6"/>
        <v>197</v>
      </c>
      <c r="AG17" s="32">
        <f t="shared" si="6"/>
        <v>197</v>
      </c>
      <c r="AH17" s="32">
        <f t="shared" si="6"/>
        <v>197</v>
      </c>
      <c r="AI17" s="32">
        <f t="shared" si="6"/>
        <v>197</v>
      </c>
      <c r="AJ17" s="32">
        <f t="shared" ref="AJ17:BO17" si="7">ROUND(AJ15/AJ16, 0)</f>
        <v>197</v>
      </c>
      <c r="AK17" s="32">
        <f t="shared" si="7"/>
        <v>197</v>
      </c>
      <c r="AL17" s="32">
        <f t="shared" si="7"/>
        <v>197</v>
      </c>
      <c r="AM17" s="32">
        <f t="shared" si="7"/>
        <v>197</v>
      </c>
      <c r="AN17" s="32">
        <f t="shared" si="7"/>
        <v>197</v>
      </c>
      <c r="AO17" s="32">
        <f t="shared" si="7"/>
        <v>197</v>
      </c>
      <c r="AP17" s="32">
        <f t="shared" si="7"/>
        <v>197</v>
      </c>
      <c r="AQ17" s="32">
        <f t="shared" si="7"/>
        <v>197</v>
      </c>
      <c r="AR17" s="32">
        <f t="shared" si="7"/>
        <v>197</v>
      </c>
      <c r="AS17" s="32">
        <f t="shared" si="7"/>
        <v>197</v>
      </c>
      <c r="AT17" s="32">
        <f t="shared" si="7"/>
        <v>197</v>
      </c>
      <c r="AU17" s="32">
        <f t="shared" si="7"/>
        <v>197</v>
      </c>
      <c r="AV17" s="32">
        <f t="shared" si="7"/>
        <v>197</v>
      </c>
      <c r="AW17" s="32">
        <f t="shared" si="7"/>
        <v>197</v>
      </c>
      <c r="AX17" s="32">
        <f t="shared" si="7"/>
        <v>197</v>
      </c>
      <c r="AY17" s="32">
        <f t="shared" si="7"/>
        <v>197</v>
      </c>
      <c r="AZ17" s="32">
        <f t="shared" si="7"/>
        <v>197</v>
      </c>
      <c r="BA17" s="32">
        <f t="shared" si="7"/>
        <v>197</v>
      </c>
      <c r="BB17" s="32">
        <f t="shared" si="7"/>
        <v>197</v>
      </c>
      <c r="BC17" s="32">
        <f t="shared" si="7"/>
        <v>197</v>
      </c>
      <c r="BD17" s="32">
        <f t="shared" si="7"/>
        <v>197</v>
      </c>
      <c r="BE17" s="32">
        <f t="shared" si="7"/>
        <v>197</v>
      </c>
      <c r="BF17" s="32">
        <f t="shared" si="7"/>
        <v>197</v>
      </c>
      <c r="BG17" s="32">
        <f t="shared" si="7"/>
        <v>197</v>
      </c>
      <c r="BH17" s="32">
        <f t="shared" si="7"/>
        <v>197</v>
      </c>
      <c r="BI17" s="32">
        <f t="shared" si="7"/>
        <v>197</v>
      </c>
      <c r="BJ17" s="32">
        <f t="shared" si="7"/>
        <v>197</v>
      </c>
      <c r="BK17" s="32">
        <f t="shared" si="7"/>
        <v>197</v>
      </c>
      <c r="BL17" s="32">
        <f t="shared" si="7"/>
        <v>197</v>
      </c>
      <c r="BM17" s="32">
        <f t="shared" si="7"/>
        <v>197</v>
      </c>
      <c r="BN17" s="32">
        <f t="shared" si="7"/>
        <v>197</v>
      </c>
      <c r="BO17" s="32">
        <f t="shared" si="7"/>
        <v>197</v>
      </c>
      <c r="BP17" s="32">
        <f t="shared" ref="BP17:CU17" si="8">ROUND(BP15/BP16, 0)</f>
        <v>197</v>
      </c>
      <c r="BQ17" s="32">
        <f t="shared" si="8"/>
        <v>197</v>
      </c>
      <c r="BR17" s="32">
        <f t="shared" si="8"/>
        <v>197</v>
      </c>
      <c r="BS17" s="32">
        <f t="shared" si="8"/>
        <v>197</v>
      </c>
      <c r="BT17" s="32">
        <f t="shared" si="8"/>
        <v>197</v>
      </c>
      <c r="BU17" s="32">
        <f t="shared" si="8"/>
        <v>197</v>
      </c>
      <c r="BV17" s="32">
        <f t="shared" si="8"/>
        <v>197</v>
      </c>
      <c r="BW17" s="32">
        <f t="shared" si="8"/>
        <v>197</v>
      </c>
      <c r="BX17" s="32">
        <f t="shared" si="8"/>
        <v>197</v>
      </c>
      <c r="BY17" s="32">
        <f t="shared" si="8"/>
        <v>197</v>
      </c>
      <c r="BZ17" s="32">
        <f t="shared" si="8"/>
        <v>197</v>
      </c>
      <c r="CA17" s="32">
        <f t="shared" si="8"/>
        <v>197</v>
      </c>
      <c r="CB17" s="32">
        <f t="shared" si="8"/>
        <v>197</v>
      </c>
      <c r="CC17" s="32">
        <f t="shared" si="8"/>
        <v>197</v>
      </c>
      <c r="CD17" s="32">
        <f t="shared" si="8"/>
        <v>197</v>
      </c>
      <c r="CE17" s="32">
        <f t="shared" si="8"/>
        <v>197</v>
      </c>
      <c r="CF17" s="32">
        <f t="shared" si="8"/>
        <v>197</v>
      </c>
      <c r="CG17" s="32">
        <f t="shared" si="8"/>
        <v>197</v>
      </c>
      <c r="CH17" s="32">
        <f t="shared" si="8"/>
        <v>197</v>
      </c>
      <c r="CI17" s="32">
        <f t="shared" si="8"/>
        <v>197</v>
      </c>
    </row>
    <row r="18" spans="1:87" ht="16.5">
      <c r="A18" s="6" t="s">
        <v>471</v>
      </c>
      <c r="B18" s="30" t="s">
        <v>458</v>
      </c>
      <c r="C18" s="17" t="s">
        <v>472</v>
      </c>
      <c r="D18" s="32">
        <f t="shared" ref="D18:AI18" si="9">ROUND(D17*D13, 0)</f>
        <v>4</v>
      </c>
      <c r="E18" s="32">
        <f t="shared" si="9"/>
        <v>4</v>
      </c>
      <c r="F18" s="32">
        <f t="shared" si="9"/>
        <v>4</v>
      </c>
      <c r="G18" s="32">
        <f t="shared" si="9"/>
        <v>4</v>
      </c>
      <c r="H18" s="32">
        <f t="shared" si="9"/>
        <v>4</v>
      </c>
      <c r="I18" s="32">
        <f t="shared" si="9"/>
        <v>4</v>
      </c>
      <c r="J18" s="32">
        <f t="shared" si="9"/>
        <v>4</v>
      </c>
      <c r="K18" s="32">
        <f t="shared" si="9"/>
        <v>4</v>
      </c>
      <c r="L18" s="32">
        <f t="shared" si="9"/>
        <v>4</v>
      </c>
      <c r="M18" s="32">
        <f t="shared" si="9"/>
        <v>4</v>
      </c>
      <c r="N18" s="32">
        <f t="shared" si="9"/>
        <v>4</v>
      </c>
      <c r="O18" s="32">
        <f t="shared" si="9"/>
        <v>4</v>
      </c>
      <c r="P18" s="32">
        <f t="shared" si="9"/>
        <v>4</v>
      </c>
      <c r="Q18" s="32">
        <f t="shared" si="9"/>
        <v>4</v>
      </c>
      <c r="R18" s="32">
        <f t="shared" si="9"/>
        <v>4</v>
      </c>
      <c r="S18" s="32">
        <f t="shared" si="9"/>
        <v>4</v>
      </c>
      <c r="T18" s="32">
        <f t="shared" si="9"/>
        <v>4</v>
      </c>
      <c r="U18" s="32">
        <f t="shared" si="9"/>
        <v>4</v>
      </c>
      <c r="V18" s="32">
        <f t="shared" si="9"/>
        <v>4</v>
      </c>
      <c r="W18" s="32">
        <f t="shared" si="9"/>
        <v>4</v>
      </c>
      <c r="X18" s="32">
        <f t="shared" si="9"/>
        <v>4</v>
      </c>
      <c r="Y18" s="32">
        <f t="shared" si="9"/>
        <v>4</v>
      </c>
      <c r="Z18" s="32">
        <f t="shared" si="9"/>
        <v>4</v>
      </c>
      <c r="AA18" s="32">
        <f t="shared" si="9"/>
        <v>4</v>
      </c>
      <c r="AB18" s="32">
        <f t="shared" si="9"/>
        <v>4</v>
      </c>
      <c r="AC18" s="32">
        <f t="shared" si="9"/>
        <v>4</v>
      </c>
      <c r="AD18" s="32">
        <f t="shared" si="9"/>
        <v>4</v>
      </c>
      <c r="AE18" s="32">
        <f t="shared" si="9"/>
        <v>4</v>
      </c>
      <c r="AF18" s="32">
        <f t="shared" si="9"/>
        <v>4</v>
      </c>
      <c r="AG18" s="32">
        <f t="shared" si="9"/>
        <v>4</v>
      </c>
      <c r="AH18" s="32">
        <f t="shared" si="9"/>
        <v>4</v>
      </c>
      <c r="AI18" s="32">
        <f t="shared" si="9"/>
        <v>4</v>
      </c>
      <c r="AJ18" s="32">
        <f t="shared" ref="AJ18:BO18" si="10">ROUND(AJ17*AJ13, 0)</f>
        <v>4</v>
      </c>
      <c r="AK18" s="32">
        <f t="shared" si="10"/>
        <v>4</v>
      </c>
      <c r="AL18" s="32">
        <f t="shared" si="10"/>
        <v>4</v>
      </c>
      <c r="AM18" s="32">
        <f t="shared" si="10"/>
        <v>4</v>
      </c>
      <c r="AN18" s="32">
        <f t="shared" si="10"/>
        <v>4</v>
      </c>
      <c r="AO18" s="32">
        <f t="shared" si="10"/>
        <v>4</v>
      </c>
      <c r="AP18" s="32">
        <f t="shared" si="10"/>
        <v>4</v>
      </c>
      <c r="AQ18" s="32">
        <f t="shared" si="10"/>
        <v>4</v>
      </c>
      <c r="AR18" s="32">
        <f t="shared" si="10"/>
        <v>4</v>
      </c>
      <c r="AS18" s="32">
        <f t="shared" si="10"/>
        <v>4</v>
      </c>
      <c r="AT18" s="32">
        <f t="shared" si="10"/>
        <v>4</v>
      </c>
      <c r="AU18" s="32">
        <f t="shared" si="10"/>
        <v>4</v>
      </c>
      <c r="AV18" s="32">
        <f t="shared" si="10"/>
        <v>4</v>
      </c>
      <c r="AW18" s="32">
        <f t="shared" si="10"/>
        <v>4</v>
      </c>
      <c r="AX18" s="32">
        <f t="shared" si="10"/>
        <v>4</v>
      </c>
      <c r="AY18" s="32">
        <f t="shared" si="10"/>
        <v>4</v>
      </c>
      <c r="AZ18" s="32">
        <f t="shared" si="10"/>
        <v>4</v>
      </c>
      <c r="BA18" s="32">
        <f t="shared" si="10"/>
        <v>4</v>
      </c>
      <c r="BB18" s="32">
        <f t="shared" si="10"/>
        <v>4</v>
      </c>
      <c r="BC18" s="32">
        <f t="shared" si="10"/>
        <v>4</v>
      </c>
      <c r="BD18" s="32">
        <f t="shared" si="10"/>
        <v>4</v>
      </c>
      <c r="BE18" s="32">
        <f t="shared" si="10"/>
        <v>4</v>
      </c>
      <c r="BF18" s="32">
        <f t="shared" si="10"/>
        <v>4</v>
      </c>
      <c r="BG18" s="32">
        <f t="shared" si="10"/>
        <v>4</v>
      </c>
      <c r="BH18" s="32">
        <f t="shared" si="10"/>
        <v>4</v>
      </c>
      <c r="BI18" s="32">
        <f t="shared" si="10"/>
        <v>4</v>
      </c>
      <c r="BJ18" s="32">
        <f t="shared" si="10"/>
        <v>4</v>
      </c>
      <c r="BK18" s="32">
        <f t="shared" si="10"/>
        <v>4</v>
      </c>
      <c r="BL18" s="32">
        <f t="shared" si="10"/>
        <v>4</v>
      </c>
      <c r="BM18" s="32">
        <f t="shared" si="10"/>
        <v>4</v>
      </c>
      <c r="BN18" s="32">
        <f t="shared" si="10"/>
        <v>4</v>
      </c>
      <c r="BO18" s="32">
        <f t="shared" si="10"/>
        <v>4</v>
      </c>
      <c r="BP18" s="32">
        <f t="shared" ref="BP18:CU18" si="11">ROUND(BP17*BP13, 0)</f>
        <v>4</v>
      </c>
      <c r="BQ18" s="32">
        <f t="shared" si="11"/>
        <v>4</v>
      </c>
      <c r="BR18" s="32">
        <f t="shared" si="11"/>
        <v>4</v>
      </c>
      <c r="BS18" s="32">
        <f t="shared" si="11"/>
        <v>4</v>
      </c>
      <c r="BT18" s="32">
        <f t="shared" si="11"/>
        <v>4</v>
      </c>
      <c r="BU18" s="32">
        <f t="shared" si="11"/>
        <v>4</v>
      </c>
      <c r="BV18" s="32">
        <f t="shared" si="11"/>
        <v>4</v>
      </c>
      <c r="BW18" s="32">
        <f t="shared" si="11"/>
        <v>4</v>
      </c>
      <c r="BX18" s="32">
        <f t="shared" si="11"/>
        <v>4</v>
      </c>
      <c r="BY18" s="32">
        <f t="shared" si="11"/>
        <v>4</v>
      </c>
      <c r="BZ18" s="32">
        <f t="shared" si="11"/>
        <v>4</v>
      </c>
      <c r="CA18" s="32">
        <f t="shared" si="11"/>
        <v>4</v>
      </c>
      <c r="CB18" s="32">
        <f t="shared" si="11"/>
        <v>4</v>
      </c>
      <c r="CC18" s="32">
        <f t="shared" si="11"/>
        <v>4</v>
      </c>
      <c r="CD18" s="32">
        <f t="shared" si="11"/>
        <v>4</v>
      </c>
      <c r="CE18" s="32">
        <f t="shared" si="11"/>
        <v>4</v>
      </c>
      <c r="CF18" s="32">
        <f t="shared" si="11"/>
        <v>4</v>
      </c>
      <c r="CG18" s="32">
        <f t="shared" si="11"/>
        <v>4</v>
      </c>
      <c r="CH18" s="32">
        <f t="shared" si="11"/>
        <v>4</v>
      </c>
      <c r="CI18" s="32">
        <f t="shared" si="11"/>
        <v>4</v>
      </c>
    </row>
    <row r="19" spans="1:87" ht="16.5">
      <c r="A19" s="6" t="s">
        <v>473</v>
      </c>
      <c r="B19" s="30" t="s">
        <v>458</v>
      </c>
      <c r="C19" s="17" t="s">
        <v>474</v>
      </c>
      <c r="D19" s="32">
        <f t="shared" ref="D19:AI19" si="12">D14+D18</f>
        <v>25</v>
      </c>
      <c r="E19" s="32">
        <f t="shared" si="12"/>
        <v>26</v>
      </c>
      <c r="F19" s="32">
        <f t="shared" si="12"/>
        <v>27</v>
      </c>
      <c r="G19" s="32">
        <f t="shared" si="12"/>
        <v>29</v>
      </c>
      <c r="H19" s="32">
        <f t="shared" si="12"/>
        <v>30</v>
      </c>
      <c r="I19" s="32">
        <f t="shared" si="12"/>
        <v>31</v>
      </c>
      <c r="J19" s="32">
        <f t="shared" si="12"/>
        <v>33</v>
      </c>
      <c r="K19" s="32">
        <f t="shared" si="12"/>
        <v>34</v>
      </c>
      <c r="L19" s="32">
        <f t="shared" si="12"/>
        <v>35</v>
      </c>
      <c r="M19" s="32">
        <f t="shared" si="12"/>
        <v>37</v>
      </c>
      <c r="N19" s="32">
        <f t="shared" si="12"/>
        <v>39</v>
      </c>
      <c r="O19" s="32">
        <f t="shared" si="12"/>
        <v>40</v>
      </c>
      <c r="P19" s="32">
        <f t="shared" si="12"/>
        <v>42</v>
      </c>
      <c r="Q19" s="32">
        <f t="shared" si="12"/>
        <v>44</v>
      </c>
      <c r="R19" s="32">
        <f t="shared" si="12"/>
        <v>46</v>
      </c>
      <c r="S19" s="32">
        <f t="shared" si="12"/>
        <v>48</v>
      </c>
      <c r="T19" s="32">
        <f t="shared" si="12"/>
        <v>50</v>
      </c>
      <c r="U19" s="32">
        <f t="shared" si="12"/>
        <v>53</v>
      </c>
      <c r="V19" s="32">
        <f t="shared" si="12"/>
        <v>55</v>
      </c>
      <c r="W19" s="32">
        <f t="shared" si="12"/>
        <v>58</v>
      </c>
      <c r="X19" s="32">
        <f t="shared" si="12"/>
        <v>61</v>
      </c>
      <c r="Y19" s="32">
        <f t="shared" si="12"/>
        <v>63</v>
      </c>
      <c r="Z19" s="32">
        <f t="shared" si="12"/>
        <v>66</v>
      </c>
      <c r="AA19" s="32">
        <f t="shared" si="12"/>
        <v>69</v>
      </c>
      <c r="AB19" s="32">
        <f t="shared" si="12"/>
        <v>73</v>
      </c>
      <c r="AC19" s="32">
        <f t="shared" si="12"/>
        <v>76</v>
      </c>
      <c r="AD19" s="32">
        <f t="shared" si="12"/>
        <v>80</v>
      </c>
      <c r="AE19" s="32">
        <f t="shared" si="12"/>
        <v>84</v>
      </c>
      <c r="AF19" s="32">
        <f t="shared" si="12"/>
        <v>87</v>
      </c>
      <c r="AG19" s="32">
        <f t="shared" si="12"/>
        <v>92</v>
      </c>
      <c r="AH19" s="32">
        <f t="shared" si="12"/>
        <v>96</v>
      </c>
      <c r="AI19" s="32">
        <f t="shared" si="12"/>
        <v>101</v>
      </c>
      <c r="AJ19" s="32">
        <f t="shared" ref="AJ19:BO19" si="13">AJ14+AJ18</f>
        <v>105</v>
      </c>
      <c r="AK19" s="32">
        <f t="shared" si="13"/>
        <v>111</v>
      </c>
      <c r="AL19" s="32">
        <f t="shared" si="13"/>
        <v>116</v>
      </c>
      <c r="AM19" s="32">
        <f t="shared" si="13"/>
        <v>121</v>
      </c>
      <c r="AN19" s="32">
        <f t="shared" si="13"/>
        <v>127</v>
      </c>
      <c r="AO19" s="32">
        <f t="shared" si="13"/>
        <v>134</v>
      </c>
      <c r="AP19" s="32">
        <f t="shared" si="13"/>
        <v>140</v>
      </c>
      <c r="AQ19" s="32">
        <f t="shared" si="13"/>
        <v>147</v>
      </c>
      <c r="AR19" s="32">
        <f t="shared" si="13"/>
        <v>154</v>
      </c>
      <c r="AS19" s="32">
        <f t="shared" si="13"/>
        <v>161</v>
      </c>
      <c r="AT19" s="32">
        <f t="shared" si="13"/>
        <v>169</v>
      </c>
      <c r="AU19" s="32">
        <f t="shared" si="13"/>
        <v>178</v>
      </c>
      <c r="AV19" s="32">
        <f t="shared" si="13"/>
        <v>186</v>
      </c>
      <c r="AW19" s="32">
        <f t="shared" si="13"/>
        <v>195</v>
      </c>
      <c r="AX19" s="32">
        <f t="shared" si="13"/>
        <v>205</v>
      </c>
      <c r="AY19" s="32">
        <f t="shared" si="13"/>
        <v>215</v>
      </c>
      <c r="AZ19" s="32">
        <f t="shared" si="13"/>
        <v>226</v>
      </c>
      <c r="BA19" s="32">
        <f t="shared" si="13"/>
        <v>237</v>
      </c>
      <c r="BB19" s="32">
        <f t="shared" si="13"/>
        <v>248</v>
      </c>
      <c r="BC19" s="32">
        <f t="shared" si="13"/>
        <v>260</v>
      </c>
      <c r="BD19" s="32">
        <f t="shared" si="13"/>
        <v>273</v>
      </c>
      <c r="BE19" s="32">
        <f t="shared" si="13"/>
        <v>287</v>
      </c>
      <c r="BF19" s="32">
        <f t="shared" si="13"/>
        <v>301</v>
      </c>
      <c r="BG19" s="32">
        <f t="shared" si="13"/>
        <v>316</v>
      </c>
      <c r="BH19" s="32">
        <f t="shared" si="13"/>
        <v>331</v>
      </c>
      <c r="BI19" s="32">
        <f t="shared" si="13"/>
        <v>348</v>
      </c>
      <c r="BJ19" s="32">
        <f t="shared" si="13"/>
        <v>365</v>
      </c>
      <c r="BK19" s="32">
        <f t="shared" si="13"/>
        <v>383</v>
      </c>
      <c r="BL19" s="32">
        <f t="shared" si="13"/>
        <v>402</v>
      </c>
      <c r="BM19" s="32">
        <f t="shared" si="13"/>
        <v>422</v>
      </c>
      <c r="BN19" s="32">
        <f t="shared" si="13"/>
        <v>443</v>
      </c>
      <c r="BO19" s="32">
        <f t="shared" si="13"/>
        <v>465</v>
      </c>
      <c r="BP19" s="32">
        <f t="shared" ref="BP19:CU19" si="14">BP14+BP18</f>
        <v>488</v>
      </c>
      <c r="BQ19" s="32">
        <f t="shared" si="14"/>
        <v>512</v>
      </c>
      <c r="BR19" s="32">
        <f t="shared" si="14"/>
        <v>537</v>
      </c>
      <c r="BS19" s="32">
        <f t="shared" si="14"/>
        <v>564</v>
      </c>
      <c r="BT19" s="32">
        <f t="shared" si="14"/>
        <v>592</v>
      </c>
      <c r="BU19" s="32">
        <f t="shared" si="14"/>
        <v>621</v>
      </c>
      <c r="BV19" s="32">
        <f t="shared" si="14"/>
        <v>652</v>
      </c>
      <c r="BW19" s="32">
        <f t="shared" si="14"/>
        <v>684</v>
      </c>
      <c r="BX19" s="32">
        <f t="shared" si="14"/>
        <v>719</v>
      </c>
      <c r="BY19" s="32">
        <f t="shared" si="14"/>
        <v>754</v>
      </c>
      <c r="BZ19" s="32">
        <f t="shared" si="14"/>
        <v>792</v>
      </c>
      <c r="CA19" s="32">
        <f t="shared" si="14"/>
        <v>831</v>
      </c>
      <c r="CB19" s="32">
        <f t="shared" si="14"/>
        <v>872</v>
      </c>
      <c r="CC19" s="32">
        <f t="shared" si="14"/>
        <v>916</v>
      </c>
      <c r="CD19" s="32">
        <f t="shared" si="14"/>
        <v>962</v>
      </c>
      <c r="CE19" s="32">
        <f t="shared" si="14"/>
        <v>1009</v>
      </c>
      <c r="CF19" s="32">
        <f t="shared" si="14"/>
        <v>1060</v>
      </c>
      <c r="CG19" s="32">
        <f t="shared" si="14"/>
        <v>1112</v>
      </c>
      <c r="CH19" s="32">
        <f t="shared" si="14"/>
        <v>1168</v>
      </c>
      <c r="CI19" s="32">
        <f t="shared" si="14"/>
        <v>1226</v>
      </c>
    </row>
    <row r="20" spans="1:87" ht="16.5">
      <c r="A20" s="6" t="s">
        <v>475</v>
      </c>
      <c r="B20" s="30" t="s">
        <v>455</v>
      </c>
      <c r="C20" s="17" t="s">
        <v>476</v>
      </c>
      <c r="D20" s="31">
        <v>0.08</v>
      </c>
      <c r="E20" s="31">
        <v>0.08</v>
      </c>
      <c r="F20" s="31">
        <v>0.08</v>
      </c>
      <c r="G20" s="31">
        <v>0.08</v>
      </c>
      <c r="H20" s="31">
        <v>0.08</v>
      </c>
      <c r="I20" s="31">
        <v>0.08</v>
      </c>
      <c r="J20" s="31">
        <v>0.08</v>
      </c>
      <c r="K20" s="31">
        <v>0.08</v>
      </c>
      <c r="L20" s="31">
        <v>0.08</v>
      </c>
      <c r="M20" s="31">
        <v>0.08</v>
      </c>
      <c r="N20" s="31">
        <v>0.08</v>
      </c>
      <c r="O20" s="31">
        <v>0.08</v>
      </c>
      <c r="P20" s="31">
        <v>0.08</v>
      </c>
      <c r="Q20" s="31">
        <v>0.08</v>
      </c>
      <c r="R20" s="31">
        <v>0.08</v>
      </c>
      <c r="S20" s="31">
        <v>0.08</v>
      </c>
      <c r="T20" s="31">
        <v>0.08</v>
      </c>
      <c r="U20" s="31">
        <v>0.08</v>
      </c>
      <c r="V20" s="31">
        <v>0.08</v>
      </c>
      <c r="W20" s="31">
        <v>0.08</v>
      </c>
      <c r="X20" s="31">
        <v>0.08</v>
      </c>
      <c r="Y20" s="31">
        <v>0.08</v>
      </c>
      <c r="Z20" s="31">
        <v>0.08</v>
      </c>
      <c r="AA20" s="31">
        <v>0.08</v>
      </c>
      <c r="AB20" s="31">
        <v>0.08</v>
      </c>
      <c r="AC20" s="31">
        <v>0.08</v>
      </c>
      <c r="AD20" s="31">
        <v>0.08</v>
      </c>
      <c r="AE20" s="31">
        <v>0.08</v>
      </c>
      <c r="AF20" s="31">
        <v>0.08</v>
      </c>
      <c r="AG20" s="31">
        <v>0.08</v>
      </c>
      <c r="AH20" s="31">
        <v>0.08</v>
      </c>
      <c r="AI20" s="31">
        <v>0.08</v>
      </c>
      <c r="AJ20" s="31">
        <v>0.08</v>
      </c>
      <c r="AK20" s="31">
        <v>0.08</v>
      </c>
      <c r="AL20" s="31">
        <v>0.08</v>
      </c>
      <c r="AM20" s="31">
        <v>0.08</v>
      </c>
      <c r="AN20" s="31">
        <v>0.08</v>
      </c>
      <c r="AO20" s="31">
        <v>0.08</v>
      </c>
      <c r="AP20" s="31">
        <v>0.08</v>
      </c>
      <c r="AQ20" s="31">
        <v>0.08</v>
      </c>
      <c r="AR20" s="31">
        <v>0.08</v>
      </c>
      <c r="AS20" s="31">
        <v>0.08</v>
      </c>
      <c r="AT20" s="31">
        <v>0.08</v>
      </c>
      <c r="AU20" s="31">
        <v>0.08</v>
      </c>
      <c r="AV20" s="31">
        <v>0.08</v>
      </c>
      <c r="AW20" s="31">
        <v>0.08</v>
      </c>
      <c r="AX20" s="31">
        <v>0.08</v>
      </c>
      <c r="AY20" s="31">
        <v>0.08</v>
      </c>
      <c r="AZ20" s="31">
        <v>0.08</v>
      </c>
      <c r="BA20" s="31">
        <v>0.08</v>
      </c>
      <c r="BB20" s="31">
        <v>0.08</v>
      </c>
      <c r="BC20" s="31">
        <v>0.08</v>
      </c>
      <c r="BD20" s="31">
        <v>0.08</v>
      </c>
      <c r="BE20" s="31">
        <v>0.08</v>
      </c>
      <c r="BF20" s="31">
        <v>0.08</v>
      </c>
      <c r="BG20" s="31">
        <v>0.08</v>
      </c>
      <c r="BH20" s="31">
        <v>0.08</v>
      </c>
      <c r="BI20" s="31">
        <v>0.08</v>
      </c>
      <c r="BJ20" s="31">
        <v>0.08</v>
      </c>
      <c r="BK20" s="31">
        <v>0.08</v>
      </c>
      <c r="BL20" s="31">
        <v>0.08</v>
      </c>
      <c r="BM20" s="31">
        <v>0.08</v>
      </c>
      <c r="BN20" s="31">
        <v>0.08</v>
      </c>
      <c r="BO20" s="31">
        <v>0.08</v>
      </c>
      <c r="BP20" s="31">
        <v>0.08</v>
      </c>
      <c r="BQ20" s="31">
        <v>0.08</v>
      </c>
      <c r="BR20" s="31">
        <v>0.08</v>
      </c>
      <c r="BS20" s="31">
        <v>0.08</v>
      </c>
      <c r="BT20" s="31">
        <v>0.08</v>
      </c>
      <c r="BU20" s="31">
        <v>0.08</v>
      </c>
      <c r="BV20" s="31">
        <v>0.08</v>
      </c>
      <c r="BW20" s="31">
        <v>0.08</v>
      </c>
      <c r="BX20" s="31">
        <v>0.08</v>
      </c>
      <c r="BY20" s="31">
        <v>0.08</v>
      </c>
      <c r="BZ20" s="31">
        <v>0.08</v>
      </c>
      <c r="CA20" s="31">
        <v>0.08</v>
      </c>
      <c r="CB20" s="31">
        <v>0.08</v>
      </c>
      <c r="CC20" s="31">
        <v>0.08</v>
      </c>
      <c r="CD20" s="31">
        <v>0.08</v>
      </c>
      <c r="CE20" s="31">
        <v>0.08</v>
      </c>
      <c r="CF20" s="31">
        <v>0.08</v>
      </c>
      <c r="CG20" s="31">
        <v>0.08</v>
      </c>
      <c r="CH20" s="31">
        <v>0.08</v>
      </c>
      <c r="CI20" s="31">
        <v>0.08</v>
      </c>
    </row>
    <row r="21" spans="1:87" ht="16.5">
      <c r="A21" s="6" t="s">
        <v>477</v>
      </c>
      <c r="B21" s="30" t="s">
        <v>458</v>
      </c>
      <c r="C21" s="17" t="s">
        <v>478</v>
      </c>
      <c r="D21" s="32">
        <f>D19</f>
        <v>25</v>
      </c>
      <c r="E21" s="32">
        <f t="shared" ref="E21:AJ21" si="15">ROUND(D21*(1-E20)+E19, 0)</f>
        <v>49</v>
      </c>
      <c r="F21" s="32">
        <f t="shared" si="15"/>
        <v>72</v>
      </c>
      <c r="G21" s="32">
        <f t="shared" si="15"/>
        <v>95</v>
      </c>
      <c r="H21" s="32">
        <f t="shared" si="15"/>
        <v>117</v>
      </c>
      <c r="I21" s="32">
        <f t="shared" si="15"/>
        <v>139</v>
      </c>
      <c r="J21" s="32">
        <f t="shared" si="15"/>
        <v>161</v>
      </c>
      <c r="K21" s="32">
        <f t="shared" si="15"/>
        <v>182</v>
      </c>
      <c r="L21" s="32">
        <f t="shared" si="15"/>
        <v>202</v>
      </c>
      <c r="M21" s="32">
        <f t="shared" si="15"/>
        <v>223</v>
      </c>
      <c r="N21" s="32">
        <f t="shared" si="15"/>
        <v>244</v>
      </c>
      <c r="O21" s="32">
        <f t="shared" si="15"/>
        <v>264</v>
      </c>
      <c r="P21" s="32">
        <f t="shared" si="15"/>
        <v>285</v>
      </c>
      <c r="Q21" s="32">
        <f t="shared" si="15"/>
        <v>306</v>
      </c>
      <c r="R21" s="32">
        <f t="shared" si="15"/>
        <v>328</v>
      </c>
      <c r="S21" s="32">
        <f t="shared" si="15"/>
        <v>350</v>
      </c>
      <c r="T21" s="32">
        <f t="shared" si="15"/>
        <v>372</v>
      </c>
      <c r="U21" s="32">
        <f t="shared" si="15"/>
        <v>395</v>
      </c>
      <c r="V21" s="32">
        <f t="shared" si="15"/>
        <v>418</v>
      </c>
      <c r="W21" s="32">
        <f t="shared" si="15"/>
        <v>443</v>
      </c>
      <c r="X21" s="32">
        <f t="shared" si="15"/>
        <v>469</v>
      </c>
      <c r="Y21" s="32">
        <f t="shared" si="15"/>
        <v>494</v>
      </c>
      <c r="Z21" s="32">
        <f t="shared" si="15"/>
        <v>520</v>
      </c>
      <c r="AA21" s="32">
        <f t="shared" si="15"/>
        <v>547</v>
      </c>
      <c r="AB21" s="32">
        <f t="shared" si="15"/>
        <v>576</v>
      </c>
      <c r="AC21" s="32">
        <f t="shared" si="15"/>
        <v>606</v>
      </c>
      <c r="AD21" s="32">
        <f t="shared" si="15"/>
        <v>638</v>
      </c>
      <c r="AE21" s="32">
        <f t="shared" si="15"/>
        <v>671</v>
      </c>
      <c r="AF21" s="32">
        <f t="shared" si="15"/>
        <v>704</v>
      </c>
      <c r="AG21" s="32">
        <f t="shared" si="15"/>
        <v>740</v>
      </c>
      <c r="AH21" s="32">
        <f t="shared" si="15"/>
        <v>777</v>
      </c>
      <c r="AI21" s="32">
        <f t="shared" si="15"/>
        <v>816</v>
      </c>
      <c r="AJ21" s="32">
        <f t="shared" si="15"/>
        <v>856</v>
      </c>
      <c r="AK21" s="32">
        <f t="shared" ref="AK21:BP21" si="16">ROUND(AJ21*(1-AK20)+AK19, 0)</f>
        <v>899</v>
      </c>
      <c r="AL21" s="32">
        <f t="shared" si="16"/>
        <v>943</v>
      </c>
      <c r="AM21" s="32">
        <f t="shared" si="16"/>
        <v>989</v>
      </c>
      <c r="AN21" s="32">
        <f t="shared" si="16"/>
        <v>1037</v>
      </c>
      <c r="AO21" s="32">
        <f t="shared" si="16"/>
        <v>1088</v>
      </c>
      <c r="AP21" s="32">
        <f t="shared" si="16"/>
        <v>1141</v>
      </c>
      <c r="AQ21" s="32">
        <f t="shared" si="16"/>
        <v>1197</v>
      </c>
      <c r="AR21" s="32">
        <f t="shared" si="16"/>
        <v>1255</v>
      </c>
      <c r="AS21" s="32">
        <f t="shared" si="16"/>
        <v>1316</v>
      </c>
      <c r="AT21" s="32">
        <f t="shared" si="16"/>
        <v>1380</v>
      </c>
      <c r="AU21" s="32">
        <f t="shared" si="16"/>
        <v>1448</v>
      </c>
      <c r="AV21" s="32">
        <f t="shared" si="16"/>
        <v>1518</v>
      </c>
      <c r="AW21" s="32">
        <f t="shared" si="16"/>
        <v>1592</v>
      </c>
      <c r="AX21" s="32">
        <f t="shared" si="16"/>
        <v>1670</v>
      </c>
      <c r="AY21" s="32">
        <f t="shared" si="16"/>
        <v>1751</v>
      </c>
      <c r="AZ21" s="32">
        <f t="shared" si="16"/>
        <v>1837</v>
      </c>
      <c r="BA21" s="32">
        <f t="shared" si="16"/>
        <v>1927</v>
      </c>
      <c r="BB21" s="32">
        <f t="shared" si="16"/>
        <v>2021</v>
      </c>
      <c r="BC21" s="32">
        <f t="shared" si="16"/>
        <v>2119</v>
      </c>
      <c r="BD21" s="32">
        <f t="shared" si="16"/>
        <v>2222</v>
      </c>
      <c r="BE21" s="32">
        <f t="shared" si="16"/>
        <v>2331</v>
      </c>
      <c r="BF21" s="32">
        <f t="shared" si="16"/>
        <v>2446</v>
      </c>
      <c r="BG21" s="32">
        <f t="shared" si="16"/>
        <v>2566</v>
      </c>
      <c r="BH21" s="32">
        <f t="shared" si="16"/>
        <v>2692</v>
      </c>
      <c r="BI21" s="32">
        <f t="shared" si="16"/>
        <v>2825</v>
      </c>
      <c r="BJ21" s="32">
        <f t="shared" si="16"/>
        <v>2964</v>
      </c>
      <c r="BK21" s="32">
        <f t="shared" si="16"/>
        <v>3110</v>
      </c>
      <c r="BL21" s="32">
        <f t="shared" si="16"/>
        <v>3263</v>
      </c>
      <c r="BM21" s="32">
        <f t="shared" si="16"/>
        <v>3424</v>
      </c>
      <c r="BN21" s="32">
        <f t="shared" si="16"/>
        <v>3593</v>
      </c>
      <c r="BO21" s="32">
        <f t="shared" si="16"/>
        <v>3771</v>
      </c>
      <c r="BP21" s="32">
        <f t="shared" si="16"/>
        <v>3957</v>
      </c>
      <c r="BQ21" s="32">
        <f t="shared" ref="BQ21:CV21" si="17">ROUND(BP21*(1-BQ20)+BQ19, 0)</f>
        <v>4152</v>
      </c>
      <c r="BR21" s="32">
        <f t="shared" si="17"/>
        <v>4357</v>
      </c>
      <c r="BS21" s="32">
        <f t="shared" si="17"/>
        <v>4572</v>
      </c>
      <c r="BT21" s="32">
        <f t="shared" si="17"/>
        <v>4798</v>
      </c>
      <c r="BU21" s="32">
        <f t="shared" si="17"/>
        <v>5035</v>
      </c>
      <c r="BV21" s="32">
        <f t="shared" si="17"/>
        <v>5284</v>
      </c>
      <c r="BW21" s="32">
        <f t="shared" si="17"/>
        <v>5545</v>
      </c>
      <c r="BX21" s="32">
        <f t="shared" si="17"/>
        <v>5820</v>
      </c>
      <c r="BY21" s="32">
        <f t="shared" si="17"/>
        <v>6108</v>
      </c>
      <c r="BZ21" s="32">
        <f t="shared" si="17"/>
        <v>6411</v>
      </c>
      <c r="CA21" s="32">
        <f t="shared" si="17"/>
        <v>6729</v>
      </c>
      <c r="CB21" s="32">
        <f t="shared" si="17"/>
        <v>7063</v>
      </c>
      <c r="CC21" s="32">
        <f t="shared" si="17"/>
        <v>7414</v>
      </c>
      <c r="CD21" s="32">
        <f t="shared" si="17"/>
        <v>7783</v>
      </c>
      <c r="CE21" s="32">
        <f t="shared" si="17"/>
        <v>8169</v>
      </c>
      <c r="CF21" s="32">
        <f t="shared" si="17"/>
        <v>8575</v>
      </c>
      <c r="CG21" s="32">
        <f t="shared" si="17"/>
        <v>9001</v>
      </c>
      <c r="CH21" s="32">
        <f t="shared" si="17"/>
        <v>9449</v>
      </c>
      <c r="CI21" s="32">
        <f t="shared" si="17"/>
        <v>9919</v>
      </c>
    </row>
    <row r="22" spans="1:87" ht="16.5">
      <c r="A22" s="6" t="s">
        <v>479</v>
      </c>
      <c r="B22" s="30" t="s">
        <v>455</v>
      </c>
      <c r="C22" s="17" t="s">
        <v>480</v>
      </c>
      <c r="D22" s="31">
        <v>0.15</v>
      </c>
      <c r="E22" s="31">
        <v>0.15</v>
      </c>
      <c r="F22" s="31">
        <v>0.15</v>
      </c>
      <c r="G22" s="31">
        <v>0.15</v>
      </c>
      <c r="H22" s="31">
        <v>0.15</v>
      </c>
      <c r="I22" s="31">
        <v>0.15</v>
      </c>
      <c r="J22" s="31">
        <v>0.15</v>
      </c>
      <c r="K22" s="31">
        <v>0.15</v>
      </c>
      <c r="L22" s="31">
        <v>0.15</v>
      </c>
      <c r="M22" s="31">
        <v>0.15</v>
      </c>
      <c r="N22" s="31">
        <v>0.15</v>
      </c>
      <c r="O22" s="31">
        <v>0.15</v>
      </c>
      <c r="P22" s="31">
        <v>0.15</v>
      </c>
      <c r="Q22" s="31">
        <v>0.15</v>
      </c>
      <c r="R22" s="31">
        <v>0.15</v>
      </c>
      <c r="S22" s="31">
        <v>0.15</v>
      </c>
      <c r="T22" s="31">
        <v>0.15</v>
      </c>
      <c r="U22" s="31">
        <v>0.15</v>
      </c>
      <c r="V22" s="31">
        <v>0.15</v>
      </c>
      <c r="W22" s="31">
        <v>0.15</v>
      </c>
      <c r="X22" s="31">
        <v>0.15</v>
      </c>
      <c r="Y22" s="31">
        <v>0.15</v>
      </c>
      <c r="Z22" s="31">
        <v>0.15</v>
      </c>
      <c r="AA22" s="31">
        <v>0.15</v>
      </c>
      <c r="AB22" s="31">
        <v>0.15</v>
      </c>
      <c r="AC22" s="31">
        <v>0.15</v>
      </c>
      <c r="AD22" s="31">
        <v>0.15</v>
      </c>
      <c r="AE22" s="31">
        <v>0.15</v>
      </c>
      <c r="AF22" s="31">
        <v>0.15</v>
      </c>
      <c r="AG22" s="31">
        <v>0.15</v>
      </c>
      <c r="AH22" s="31">
        <v>0.15</v>
      </c>
      <c r="AI22" s="31">
        <v>0.15</v>
      </c>
      <c r="AJ22" s="31">
        <v>0.15</v>
      </c>
      <c r="AK22" s="31">
        <v>0.15</v>
      </c>
      <c r="AL22" s="31">
        <v>0.15</v>
      </c>
      <c r="AM22" s="31">
        <v>0.15</v>
      </c>
      <c r="AN22" s="31">
        <v>0.15</v>
      </c>
      <c r="AO22" s="31">
        <v>0.15</v>
      </c>
      <c r="AP22" s="31">
        <v>0.15</v>
      </c>
      <c r="AQ22" s="31">
        <v>0.15</v>
      </c>
      <c r="AR22" s="31">
        <v>0.15</v>
      </c>
      <c r="AS22" s="31">
        <v>0.15</v>
      </c>
      <c r="AT22" s="31">
        <v>0.15</v>
      </c>
      <c r="AU22" s="31">
        <v>0.15</v>
      </c>
      <c r="AV22" s="31">
        <v>0.15</v>
      </c>
      <c r="AW22" s="31">
        <v>0.15</v>
      </c>
      <c r="AX22" s="31">
        <v>0.15</v>
      </c>
      <c r="AY22" s="31">
        <v>0.15</v>
      </c>
      <c r="AZ22" s="31">
        <v>0.15</v>
      </c>
      <c r="BA22" s="31">
        <v>0.15</v>
      </c>
      <c r="BB22" s="31">
        <v>0.15</v>
      </c>
      <c r="BC22" s="31">
        <v>0.15</v>
      </c>
      <c r="BD22" s="31">
        <v>0.15</v>
      </c>
      <c r="BE22" s="31">
        <v>0.15</v>
      </c>
      <c r="BF22" s="31">
        <v>0.15</v>
      </c>
      <c r="BG22" s="31">
        <v>0.15</v>
      </c>
      <c r="BH22" s="31">
        <v>0.15</v>
      </c>
      <c r="BI22" s="31">
        <v>0.15</v>
      </c>
      <c r="BJ22" s="31">
        <v>0.15</v>
      </c>
      <c r="BK22" s="31">
        <v>0.15</v>
      </c>
      <c r="BL22" s="31">
        <v>0.15</v>
      </c>
      <c r="BM22" s="31">
        <v>0.15</v>
      </c>
      <c r="BN22" s="31">
        <v>0.15</v>
      </c>
      <c r="BO22" s="31">
        <v>0.15</v>
      </c>
      <c r="BP22" s="31">
        <v>0.15</v>
      </c>
      <c r="BQ22" s="31">
        <v>0.15</v>
      </c>
      <c r="BR22" s="31">
        <v>0.15</v>
      </c>
      <c r="BS22" s="31">
        <v>0.15</v>
      </c>
      <c r="BT22" s="31">
        <v>0.15</v>
      </c>
      <c r="BU22" s="31">
        <v>0.15</v>
      </c>
      <c r="BV22" s="31">
        <v>0.15</v>
      </c>
      <c r="BW22" s="31">
        <v>0.15</v>
      </c>
      <c r="BX22" s="31">
        <v>0.15</v>
      </c>
      <c r="BY22" s="31">
        <v>0.15</v>
      </c>
      <c r="BZ22" s="31">
        <v>0.15</v>
      </c>
      <c r="CA22" s="31">
        <v>0.15</v>
      </c>
      <c r="CB22" s="31">
        <v>0.15</v>
      </c>
      <c r="CC22" s="31">
        <v>0.15</v>
      </c>
      <c r="CD22" s="31">
        <v>0.15</v>
      </c>
      <c r="CE22" s="31">
        <v>0.15</v>
      </c>
      <c r="CF22" s="31">
        <v>0.15</v>
      </c>
      <c r="CG22" s="31">
        <v>0.15</v>
      </c>
      <c r="CH22" s="31">
        <v>0.15</v>
      </c>
      <c r="CI22" s="31">
        <v>0.15</v>
      </c>
    </row>
    <row r="23" spans="1:87" ht="16.5">
      <c r="A23" s="6" t="s">
        <v>481</v>
      </c>
      <c r="B23" s="30" t="s">
        <v>458</v>
      </c>
      <c r="C23" s="17" t="s">
        <v>482</v>
      </c>
      <c r="D23" s="32">
        <f t="shared" ref="D23:AI23" si="18">ROUND(D21*D22, 0)</f>
        <v>4</v>
      </c>
      <c r="E23" s="32">
        <f t="shared" si="18"/>
        <v>7</v>
      </c>
      <c r="F23" s="32">
        <f t="shared" si="18"/>
        <v>11</v>
      </c>
      <c r="G23" s="32">
        <f t="shared" si="18"/>
        <v>14</v>
      </c>
      <c r="H23" s="32">
        <f t="shared" si="18"/>
        <v>18</v>
      </c>
      <c r="I23" s="32">
        <f t="shared" si="18"/>
        <v>21</v>
      </c>
      <c r="J23" s="32">
        <f t="shared" si="18"/>
        <v>24</v>
      </c>
      <c r="K23" s="32">
        <f t="shared" si="18"/>
        <v>27</v>
      </c>
      <c r="L23" s="32">
        <f t="shared" si="18"/>
        <v>30</v>
      </c>
      <c r="M23" s="32">
        <f t="shared" si="18"/>
        <v>33</v>
      </c>
      <c r="N23" s="32">
        <f t="shared" si="18"/>
        <v>37</v>
      </c>
      <c r="O23" s="32">
        <f t="shared" si="18"/>
        <v>40</v>
      </c>
      <c r="P23" s="32">
        <f t="shared" si="18"/>
        <v>43</v>
      </c>
      <c r="Q23" s="32">
        <f t="shared" si="18"/>
        <v>46</v>
      </c>
      <c r="R23" s="32">
        <f t="shared" si="18"/>
        <v>49</v>
      </c>
      <c r="S23" s="32">
        <f t="shared" si="18"/>
        <v>53</v>
      </c>
      <c r="T23" s="32">
        <f t="shared" si="18"/>
        <v>56</v>
      </c>
      <c r="U23" s="32">
        <f t="shared" si="18"/>
        <v>59</v>
      </c>
      <c r="V23" s="32">
        <f t="shared" si="18"/>
        <v>63</v>
      </c>
      <c r="W23" s="32">
        <f t="shared" si="18"/>
        <v>66</v>
      </c>
      <c r="X23" s="32">
        <f t="shared" si="18"/>
        <v>70</v>
      </c>
      <c r="Y23" s="32">
        <f t="shared" si="18"/>
        <v>74</v>
      </c>
      <c r="Z23" s="32">
        <f t="shared" si="18"/>
        <v>78</v>
      </c>
      <c r="AA23" s="32">
        <f t="shared" si="18"/>
        <v>82</v>
      </c>
      <c r="AB23" s="32">
        <f t="shared" si="18"/>
        <v>86</v>
      </c>
      <c r="AC23" s="32">
        <f t="shared" si="18"/>
        <v>91</v>
      </c>
      <c r="AD23" s="32">
        <f t="shared" si="18"/>
        <v>96</v>
      </c>
      <c r="AE23" s="32">
        <f t="shared" si="18"/>
        <v>101</v>
      </c>
      <c r="AF23" s="32">
        <f t="shared" si="18"/>
        <v>106</v>
      </c>
      <c r="AG23" s="32">
        <f t="shared" si="18"/>
        <v>111</v>
      </c>
      <c r="AH23" s="32">
        <f t="shared" si="18"/>
        <v>117</v>
      </c>
      <c r="AI23" s="32">
        <f t="shared" si="18"/>
        <v>122</v>
      </c>
      <c r="AJ23" s="32">
        <f t="shared" ref="AJ23:BO23" si="19">ROUND(AJ21*AJ22, 0)</f>
        <v>128</v>
      </c>
      <c r="AK23" s="32">
        <f t="shared" si="19"/>
        <v>135</v>
      </c>
      <c r="AL23" s="32">
        <f t="shared" si="19"/>
        <v>141</v>
      </c>
      <c r="AM23" s="32">
        <f t="shared" si="19"/>
        <v>148</v>
      </c>
      <c r="AN23" s="32">
        <f t="shared" si="19"/>
        <v>156</v>
      </c>
      <c r="AO23" s="32">
        <f t="shared" si="19"/>
        <v>163</v>
      </c>
      <c r="AP23" s="32">
        <f t="shared" si="19"/>
        <v>171</v>
      </c>
      <c r="AQ23" s="32">
        <f t="shared" si="19"/>
        <v>180</v>
      </c>
      <c r="AR23" s="32">
        <f t="shared" si="19"/>
        <v>188</v>
      </c>
      <c r="AS23" s="32">
        <f t="shared" si="19"/>
        <v>197</v>
      </c>
      <c r="AT23" s="32">
        <f t="shared" si="19"/>
        <v>207</v>
      </c>
      <c r="AU23" s="32">
        <f t="shared" si="19"/>
        <v>217</v>
      </c>
      <c r="AV23" s="32">
        <f t="shared" si="19"/>
        <v>228</v>
      </c>
      <c r="AW23" s="32">
        <f t="shared" si="19"/>
        <v>239</v>
      </c>
      <c r="AX23" s="32">
        <f t="shared" si="19"/>
        <v>251</v>
      </c>
      <c r="AY23" s="32">
        <f t="shared" si="19"/>
        <v>263</v>
      </c>
      <c r="AZ23" s="32">
        <f t="shared" si="19"/>
        <v>276</v>
      </c>
      <c r="BA23" s="32">
        <f t="shared" si="19"/>
        <v>289</v>
      </c>
      <c r="BB23" s="32">
        <f t="shared" si="19"/>
        <v>303</v>
      </c>
      <c r="BC23" s="32">
        <f t="shared" si="19"/>
        <v>318</v>
      </c>
      <c r="BD23" s="32">
        <f t="shared" si="19"/>
        <v>333</v>
      </c>
      <c r="BE23" s="32">
        <f t="shared" si="19"/>
        <v>350</v>
      </c>
      <c r="BF23" s="32">
        <f t="shared" si="19"/>
        <v>367</v>
      </c>
      <c r="BG23" s="32">
        <f t="shared" si="19"/>
        <v>385</v>
      </c>
      <c r="BH23" s="32">
        <f t="shared" si="19"/>
        <v>404</v>
      </c>
      <c r="BI23" s="32">
        <f t="shared" si="19"/>
        <v>424</v>
      </c>
      <c r="BJ23" s="32">
        <f t="shared" si="19"/>
        <v>445</v>
      </c>
      <c r="BK23" s="32">
        <f t="shared" si="19"/>
        <v>467</v>
      </c>
      <c r="BL23" s="32">
        <f t="shared" si="19"/>
        <v>489</v>
      </c>
      <c r="BM23" s="32">
        <f t="shared" si="19"/>
        <v>514</v>
      </c>
      <c r="BN23" s="32">
        <f t="shared" si="19"/>
        <v>539</v>
      </c>
      <c r="BO23" s="32">
        <f t="shared" si="19"/>
        <v>566</v>
      </c>
      <c r="BP23" s="32">
        <f t="shared" ref="BP23:CU23" si="20">ROUND(BP21*BP22, 0)</f>
        <v>594</v>
      </c>
      <c r="BQ23" s="32">
        <f t="shared" si="20"/>
        <v>623</v>
      </c>
      <c r="BR23" s="32">
        <f t="shared" si="20"/>
        <v>654</v>
      </c>
      <c r="BS23" s="32">
        <f t="shared" si="20"/>
        <v>686</v>
      </c>
      <c r="BT23" s="32">
        <f t="shared" si="20"/>
        <v>720</v>
      </c>
      <c r="BU23" s="32">
        <f t="shared" si="20"/>
        <v>755</v>
      </c>
      <c r="BV23" s="32">
        <f t="shared" si="20"/>
        <v>793</v>
      </c>
      <c r="BW23" s="32">
        <f t="shared" si="20"/>
        <v>832</v>
      </c>
      <c r="BX23" s="32">
        <f t="shared" si="20"/>
        <v>873</v>
      </c>
      <c r="BY23" s="32">
        <f t="shared" si="20"/>
        <v>916</v>
      </c>
      <c r="BZ23" s="32">
        <f t="shared" si="20"/>
        <v>962</v>
      </c>
      <c r="CA23" s="32">
        <f t="shared" si="20"/>
        <v>1009</v>
      </c>
      <c r="CB23" s="32">
        <f t="shared" si="20"/>
        <v>1059</v>
      </c>
      <c r="CC23" s="32">
        <f t="shared" si="20"/>
        <v>1112</v>
      </c>
      <c r="CD23" s="32">
        <f t="shared" si="20"/>
        <v>1167</v>
      </c>
      <c r="CE23" s="32">
        <f t="shared" si="20"/>
        <v>1225</v>
      </c>
      <c r="CF23" s="32">
        <f t="shared" si="20"/>
        <v>1286</v>
      </c>
      <c r="CG23" s="32">
        <f t="shared" si="20"/>
        <v>1350</v>
      </c>
      <c r="CH23" s="32">
        <f t="shared" si="20"/>
        <v>1417</v>
      </c>
      <c r="CI23" s="32">
        <f t="shared" si="20"/>
        <v>1488</v>
      </c>
    </row>
    <row r="24" spans="1:87" ht="16.5">
      <c r="A24" s="6" t="s">
        <v>483</v>
      </c>
      <c r="B24" s="30" t="s">
        <v>458</v>
      </c>
      <c r="C24" s="17" t="s">
        <v>473</v>
      </c>
      <c r="D24" s="32">
        <f t="shared" ref="D24:AI24" si="21">D19</f>
        <v>25</v>
      </c>
      <c r="E24" s="32">
        <f t="shared" si="21"/>
        <v>26</v>
      </c>
      <c r="F24" s="32">
        <f t="shared" si="21"/>
        <v>27</v>
      </c>
      <c r="G24" s="32">
        <f t="shared" si="21"/>
        <v>29</v>
      </c>
      <c r="H24" s="32">
        <f t="shared" si="21"/>
        <v>30</v>
      </c>
      <c r="I24" s="32">
        <f t="shared" si="21"/>
        <v>31</v>
      </c>
      <c r="J24" s="32">
        <f t="shared" si="21"/>
        <v>33</v>
      </c>
      <c r="K24" s="32">
        <f t="shared" si="21"/>
        <v>34</v>
      </c>
      <c r="L24" s="32">
        <f t="shared" si="21"/>
        <v>35</v>
      </c>
      <c r="M24" s="32">
        <f t="shared" si="21"/>
        <v>37</v>
      </c>
      <c r="N24" s="32">
        <f t="shared" si="21"/>
        <v>39</v>
      </c>
      <c r="O24" s="32">
        <f t="shared" si="21"/>
        <v>40</v>
      </c>
      <c r="P24" s="32">
        <f t="shared" si="21"/>
        <v>42</v>
      </c>
      <c r="Q24" s="32">
        <f t="shared" si="21"/>
        <v>44</v>
      </c>
      <c r="R24" s="32">
        <f t="shared" si="21"/>
        <v>46</v>
      </c>
      <c r="S24" s="32">
        <f t="shared" si="21"/>
        <v>48</v>
      </c>
      <c r="T24" s="32">
        <f t="shared" si="21"/>
        <v>50</v>
      </c>
      <c r="U24" s="32">
        <f t="shared" si="21"/>
        <v>53</v>
      </c>
      <c r="V24" s="32">
        <f t="shared" si="21"/>
        <v>55</v>
      </c>
      <c r="W24" s="32">
        <f t="shared" si="21"/>
        <v>58</v>
      </c>
      <c r="X24" s="32">
        <f t="shared" si="21"/>
        <v>61</v>
      </c>
      <c r="Y24" s="32">
        <f t="shared" si="21"/>
        <v>63</v>
      </c>
      <c r="Z24" s="32">
        <f t="shared" si="21"/>
        <v>66</v>
      </c>
      <c r="AA24" s="32">
        <f t="shared" si="21"/>
        <v>69</v>
      </c>
      <c r="AB24" s="32">
        <f t="shared" si="21"/>
        <v>73</v>
      </c>
      <c r="AC24" s="32">
        <f t="shared" si="21"/>
        <v>76</v>
      </c>
      <c r="AD24" s="32">
        <f t="shared" si="21"/>
        <v>80</v>
      </c>
      <c r="AE24" s="32">
        <f t="shared" si="21"/>
        <v>84</v>
      </c>
      <c r="AF24" s="32">
        <f t="shared" si="21"/>
        <v>87</v>
      </c>
      <c r="AG24" s="32">
        <f t="shared" si="21"/>
        <v>92</v>
      </c>
      <c r="AH24" s="32">
        <f t="shared" si="21"/>
        <v>96</v>
      </c>
      <c r="AI24" s="32">
        <f t="shared" si="21"/>
        <v>101</v>
      </c>
      <c r="AJ24" s="32">
        <f t="shared" ref="AJ24:BO24" si="22">AJ19</f>
        <v>105</v>
      </c>
      <c r="AK24" s="32">
        <f t="shared" si="22"/>
        <v>111</v>
      </c>
      <c r="AL24" s="32">
        <f t="shared" si="22"/>
        <v>116</v>
      </c>
      <c r="AM24" s="32">
        <f t="shared" si="22"/>
        <v>121</v>
      </c>
      <c r="AN24" s="32">
        <f t="shared" si="22"/>
        <v>127</v>
      </c>
      <c r="AO24" s="32">
        <f t="shared" si="22"/>
        <v>134</v>
      </c>
      <c r="AP24" s="32">
        <f t="shared" si="22"/>
        <v>140</v>
      </c>
      <c r="AQ24" s="32">
        <f t="shared" si="22"/>
        <v>147</v>
      </c>
      <c r="AR24" s="32">
        <f t="shared" si="22"/>
        <v>154</v>
      </c>
      <c r="AS24" s="32">
        <f t="shared" si="22"/>
        <v>161</v>
      </c>
      <c r="AT24" s="32">
        <f t="shared" si="22"/>
        <v>169</v>
      </c>
      <c r="AU24" s="32">
        <f t="shared" si="22"/>
        <v>178</v>
      </c>
      <c r="AV24" s="32">
        <f t="shared" si="22"/>
        <v>186</v>
      </c>
      <c r="AW24" s="32">
        <f t="shared" si="22"/>
        <v>195</v>
      </c>
      <c r="AX24" s="32">
        <f t="shared" si="22"/>
        <v>205</v>
      </c>
      <c r="AY24" s="32">
        <f t="shared" si="22"/>
        <v>215</v>
      </c>
      <c r="AZ24" s="32">
        <f t="shared" si="22"/>
        <v>226</v>
      </c>
      <c r="BA24" s="32">
        <f t="shared" si="22"/>
        <v>237</v>
      </c>
      <c r="BB24" s="32">
        <f t="shared" si="22"/>
        <v>248</v>
      </c>
      <c r="BC24" s="32">
        <f t="shared" si="22"/>
        <v>260</v>
      </c>
      <c r="BD24" s="32">
        <f t="shared" si="22"/>
        <v>273</v>
      </c>
      <c r="BE24" s="32">
        <f t="shared" si="22"/>
        <v>287</v>
      </c>
      <c r="BF24" s="32">
        <f t="shared" si="22"/>
        <v>301</v>
      </c>
      <c r="BG24" s="32">
        <f t="shared" si="22"/>
        <v>316</v>
      </c>
      <c r="BH24" s="32">
        <f t="shared" si="22"/>
        <v>331</v>
      </c>
      <c r="BI24" s="32">
        <f t="shared" si="22"/>
        <v>348</v>
      </c>
      <c r="BJ24" s="32">
        <f t="shared" si="22"/>
        <v>365</v>
      </c>
      <c r="BK24" s="32">
        <f t="shared" si="22"/>
        <v>383</v>
      </c>
      <c r="BL24" s="32">
        <f t="shared" si="22"/>
        <v>402</v>
      </c>
      <c r="BM24" s="32">
        <f t="shared" si="22"/>
        <v>422</v>
      </c>
      <c r="BN24" s="32">
        <f t="shared" si="22"/>
        <v>443</v>
      </c>
      <c r="BO24" s="32">
        <f t="shared" si="22"/>
        <v>465</v>
      </c>
      <c r="BP24" s="32">
        <f t="shared" ref="BP24:CI24" si="23">BP19</f>
        <v>488</v>
      </c>
      <c r="BQ24" s="32">
        <f t="shared" si="23"/>
        <v>512</v>
      </c>
      <c r="BR24" s="32">
        <f t="shared" si="23"/>
        <v>537</v>
      </c>
      <c r="BS24" s="32">
        <f t="shared" si="23"/>
        <v>564</v>
      </c>
      <c r="BT24" s="32">
        <f t="shared" si="23"/>
        <v>592</v>
      </c>
      <c r="BU24" s="32">
        <f t="shared" si="23"/>
        <v>621</v>
      </c>
      <c r="BV24" s="32">
        <f t="shared" si="23"/>
        <v>652</v>
      </c>
      <c r="BW24" s="32">
        <f t="shared" si="23"/>
        <v>684</v>
      </c>
      <c r="BX24" s="32">
        <f t="shared" si="23"/>
        <v>719</v>
      </c>
      <c r="BY24" s="32">
        <f t="shared" si="23"/>
        <v>754</v>
      </c>
      <c r="BZ24" s="32">
        <f t="shared" si="23"/>
        <v>792</v>
      </c>
      <c r="CA24" s="32">
        <f t="shared" si="23"/>
        <v>831</v>
      </c>
      <c r="CB24" s="32">
        <f t="shared" si="23"/>
        <v>872</v>
      </c>
      <c r="CC24" s="32">
        <f t="shared" si="23"/>
        <v>916</v>
      </c>
      <c r="CD24" s="32">
        <f t="shared" si="23"/>
        <v>962</v>
      </c>
      <c r="CE24" s="32">
        <f t="shared" si="23"/>
        <v>1009</v>
      </c>
      <c r="CF24" s="32">
        <f t="shared" si="23"/>
        <v>1060</v>
      </c>
      <c r="CG24" s="32">
        <f t="shared" si="23"/>
        <v>1112</v>
      </c>
      <c r="CH24" s="32">
        <f t="shared" si="23"/>
        <v>1168</v>
      </c>
      <c r="CI24" s="32">
        <f t="shared" si="23"/>
        <v>1226</v>
      </c>
    </row>
    <row r="25" spans="1:87" ht="16.5">
      <c r="A25" s="6" t="s">
        <v>484</v>
      </c>
      <c r="B25" s="30" t="s">
        <v>455</v>
      </c>
      <c r="C25" s="17" t="s">
        <v>485</v>
      </c>
      <c r="D25" s="31">
        <v>0.02</v>
      </c>
      <c r="E25" s="31">
        <v>0.02</v>
      </c>
      <c r="F25" s="31">
        <v>0.02</v>
      </c>
      <c r="G25" s="31">
        <v>0.02</v>
      </c>
      <c r="H25" s="31">
        <v>0.02</v>
      </c>
      <c r="I25" s="31">
        <v>0.02</v>
      </c>
      <c r="J25" s="31">
        <v>0.02</v>
      </c>
      <c r="K25" s="31">
        <v>0.02</v>
      </c>
      <c r="L25" s="31">
        <v>0.02</v>
      </c>
      <c r="M25" s="31">
        <v>0.02</v>
      </c>
      <c r="N25" s="31">
        <v>0.02</v>
      </c>
      <c r="O25" s="31">
        <v>0.02</v>
      </c>
      <c r="P25" s="31">
        <v>0.02</v>
      </c>
      <c r="Q25" s="31">
        <v>0.02</v>
      </c>
      <c r="R25" s="31">
        <v>0.02</v>
      </c>
      <c r="S25" s="31">
        <v>0.02</v>
      </c>
      <c r="T25" s="31">
        <v>0.02</v>
      </c>
      <c r="U25" s="31">
        <v>0.02</v>
      </c>
      <c r="V25" s="31">
        <v>0.02</v>
      </c>
      <c r="W25" s="31">
        <v>0.02</v>
      </c>
      <c r="X25" s="31">
        <v>0.02</v>
      </c>
      <c r="Y25" s="31">
        <v>0.02</v>
      </c>
      <c r="Z25" s="31">
        <v>0.02</v>
      </c>
      <c r="AA25" s="31">
        <v>0.02</v>
      </c>
      <c r="AB25" s="31">
        <v>0.02</v>
      </c>
      <c r="AC25" s="31">
        <v>0.02</v>
      </c>
      <c r="AD25" s="31">
        <v>0.02</v>
      </c>
      <c r="AE25" s="31">
        <v>0.02</v>
      </c>
      <c r="AF25" s="31">
        <v>0.02</v>
      </c>
      <c r="AG25" s="31">
        <v>0.02</v>
      </c>
      <c r="AH25" s="31">
        <v>0.02</v>
      </c>
      <c r="AI25" s="31">
        <v>0.02</v>
      </c>
      <c r="AJ25" s="31">
        <v>0.02</v>
      </c>
      <c r="AK25" s="31">
        <v>0.02</v>
      </c>
      <c r="AL25" s="31">
        <v>0.02</v>
      </c>
      <c r="AM25" s="31">
        <v>0.02</v>
      </c>
      <c r="AN25" s="31">
        <v>0.02</v>
      </c>
      <c r="AO25" s="31">
        <v>0.02</v>
      </c>
      <c r="AP25" s="31">
        <v>0.02</v>
      </c>
      <c r="AQ25" s="31">
        <v>0.02</v>
      </c>
      <c r="AR25" s="31">
        <v>0.02</v>
      </c>
      <c r="AS25" s="31">
        <v>0.02</v>
      </c>
      <c r="AT25" s="31">
        <v>0.02</v>
      </c>
      <c r="AU25" s="31">
        <v>0.02</v>
      </c>
      <c r="AV25" s="31">
        <v>0.02</v>
      </c>
      <c r="AW25" s="31">
        <v>0.02</v>
      </c>
      <c r="AX25" s="31">
        <v>0.02</v>
      </c>
      <c r="AY25" s="31">
        <v>0.02</v>
      </c>
      <c r="AZ25" s="31">
        <v>0.02</v>
      </c>
      <c r="BA25" s="31">
        <v>0.02</v>
      </c>
      <c r="BB25" s="31">
        <v>0.02</v>
      </c>
      <c r="BC25" s="31">
        <v>0.02</v>
      </c>
      <c r="BD25" s="31">
        <v>0.02</v>
      </c>
      <c r="BE25" s="31">
        <v>0.02</v>
      </c>
      <c r="BF25" s="31">
        <v>0.02</v>
      </c>
      <c r="BG25" s="31">
        <v>0.02</v>
      </c>
      <c r="BH25" s="31">
        <v>0.02</v>
      </c>
      <c r="BI25" s="31">
        <v>0.02</v>
      </c>
      <c r="BJ25" s="31">
        <v>0.02</v>
      </c>
      <c r="BK25" s="31">
        <v>0.02</v>
      </c>
      <c r="BL25" s="31">
        <v>0.02</v>
      </c>
      <c r="BM25" s="31">
        <v>0.02</v>
      </c>
      <c r="BN25" s="31">
        <v>0.02</v>
      </c>
      <c r="BO25" s="31">
        <v>0.02</v>
      </c>
      <c r="BP25" s="31">
        <v>0.02</v>
      </c>
      <c r="BQ25" s="31">
        <v>0.02</v>
      </c>
      <c r="BR25" s="31">
        <v>0.02</v>
      </c>
      <c r="BS25" s="31">
        <v>0.02</v>
      </c>
      <c r="BT25" s="31">
        <v>0.02</v>
      </c>
      <c r="BU25" s="31">
        <v>0.02</v>
      </c>
      <c r="BV25" s="31">
        <v>0.02</v>
      </c>
      <c r="BW25" s="31">
        <v>0.02</v>
      </c>
      <c r="BX25" s="31">
        <v>0.02</v>
      </c>
      <c r="BY25" s="31">
        <v>0.02</v>
      </c>
      <c r="BZ25" s="31">
        <v>0.02</v>
      </c>
      <c r="CA25" s="31">
        <v>0.02</v>
      </c>
      <c r="CB25" s="31">
        <v>0.02</v>
      </c>
      <c r="CC25" s="31">
        <v>0.02</v>
      </c>
      <c r="CD25" s="31">
        <v>0.02</v>
      </c>
      <c r="CE25" s="31">
        <v>0.02</v>
      </c>
      <c r="CF25" s="31">
        <v>0.02</v>
      </c>
      <c r="CG25" s="31">
        <v>0.02</v>
      </c>
      <c r="CH25" s="31">
        <v>0.02</v>
      </c>
      <c r="CI25" s="31">
        <v>0.02</v>
      </c>
    </row>
    <row r="26" spans="1:87" ht="16.5">
      <c r="A26" s="6" t="s">
        <v>486</v>
      </c>
      <c r="B26" s="30" t="s">
        <v>458</v>
      </c>
      <c r="C26" s="17" t="s">
        <v>487</v>
      </c>
      <c r="D26" s="32">
        <f t="shared" ref="D26:AI26" si="24">ROUND(D21*D25, 0)</f>
        <v>1</v>
      </c>
      <c r="E26" s="32">
        <f t="shared" si="24"/>
        <v>1</v>
      </c>
      <c r="F26" s="32">
        <f t="shared" si="24"/>
        <v>1</v>
      </c>
      <c r="G26" s="32">
        <f t="shared" si="24"/>
        <v>2</v>
      </c>
      <c r="H26" s="32">
        <f t="shared" si="24"/>
        <v>2</v>
      </c>
      <c r="I26" s="32">
        <f t="shared" si="24"/>
        <v>3</v>
      </c>
      <c r="J26" s="32">
        <f t="shared" si="24"/>
        <v>3</v>
      </c>
      <c r="K26" s="32">
        <f t="shared" si="24"/>
        <v>4</v>
      </c>
      <c r="L26" s="32">
        <f t="shared" si="24"/>
        <v>4</v>
      </c>
      <c r="M26" s="32">
        <f t="shared" si="24"/>
        <v>4</v>
      </c>
      <c r="N26" s="32">
        <f t="shared" si="24"/>
        <v>5</v>
      </c>
      <c r="O26" s="32">
        <f t="shared" si="24"/>
        <v>5</v>
      </c>
      <c r="P26" s="32">
        <f t="shared" si="24"/>
        <v>6</v>
      </c>
      <c r="Q26" s="32">
        <f t="shared" si="24"/>
        <v>6</v>
      </c>
      <c r="R26" s="32">
        <f t="shared" si="24"/>
        <v>7</v>
      </c>
      <c r="S26" s="32">
        <f t="shared" si="24"/>
        <v>7</v>
      </c>
      <c r="T26" s="32">
        <f t="shared" si="24"/>
        <v>7</v>
      </c>
      <c r="U26" s="32">
        <f t="shared" si="24"/>
        <v>8</v>
      </c>
      <c r="V26" s="32">
        <f t="shared" si="24"/>
        <v>8</v>
      </c>
      <c r="W26" s="32">
        <f t="shared" si="24"/>
        <v>9</v>
      </c>
      <c r="X26" s="32">
        <f t="shared" si="24"/>
        <v>9</v>
      </c>
      <c r="Y26" s="32">
        <f t="shared" si="24"/>
        <v>10</v>
      </c>
      <c r="Z26" s="32">
        <f t="shared" si="24"/>
        <v>10</v>
      </c>
      <c r="AA26" s="32">
        <f t="shared" si="24"/>
        <v>11</v>
      </c>
      <c r="AB26" s="32">
        <f t="shared" si="24"/>
        <v>12</v>
      </c>
      <c r="AC26" s="32">
        <f t="shared" si="24"/>
        <v>12</v>
      </c>
      <c r="AD26" s="32">
        <f t="shared" si="24"/>
        <v>13</v>
      </c>
      <c r="AE26" s="32">
        <f t="shared" si="24"/>
        <v>13</v>
      </c>
      <c r="AF26" s="32">
        <f t="shared" si="24"/>
        <v>14</v>
      </c>
      <c r="AG26" s="32">
        <f t="shared" si="24"/>
        <v>15</v>
      </c>
      <c r="AH26" s="32">
        <f t="shared" si="24"/>
        <v>16</v>
      </c>
      <c r="AI26" s="32">
        <f t="shared" si="24"/>
        <v>16</v>
      </c>
      <c r="AJ26" s="32">
        <f t="shared" ref="AJ26:BO26" si="25">ROUND(AJ21*AJ25, 0)</f>
        <v>17</v>
      </c>
      <c r="AK26" s="32">
        <f t="shared" si="25"/>
        <v>18</v>
      </c>
      <c r="AL26" s="32">
        <f t="shared" si="25"/>
        <v>19</v>
      </c>
      <c r="AM26" s="32">
        <f t="shared" si="25"/>
        <v>20</v>
      </c>
      <c r="AN26" s="32">
        <f t="shared" si="25"/>
        <v>21</v>
      </c>
      <c r="AO26" s="32">
        <f t="shared" si="25"/>
        <v>22</v>
      </c>
      <c r="AP26" s="32">
        <f t="shared" si="25"/>
        <v>23</v>
      </c>
      <c r="AQ26" s="32">
        <f t="shared" si="25"/>
        <v>24</v>
      </c>
      <c r="AR26" s="32">
        <f t="shared" si="25"/>
        <v>25</v>
      </c>
      <c r="AS26" s="32">
        <f t="shared" si="25"/>
        <v>26</v>
      </c>
      <c r="AT26" s="32">
        <f t="shared" si="25"/>
        <v>28</v>
      </c>
      <c r="AU26" s="32">
        <f t="shared" si="25"/>
        <v>29</v>
      </c>
      <c r="AV26" s="32">
        <f t="shared" si="25"/>
        <v>30</v>
      </c>
      <c r="AW26" s="32">
        <f t="shared" si="25"/>
        <v>32</v>
      </c>
      <c r="AX26" s="32">
        <f t="shared" si="25"/>
        <v>33</v>
      </c>
      <c r="AY26" s="32">
        <f t="shared" si="25"/>
        <v>35</v>
      </c>
      <c r="AZ26" s="32">
        <f t="shared" si="25"/>
        <v>37</v>
      </c>
      <c r="BA26" s="32">
        <f t="shared" si="25"/>
        <v>39</v>
      </c>
      <c r="BB26" s="32">
        <f t="shared" si="25"/>
        <v>40</v>
      </c>
      <c r="BC26" s="32">
        <f t="shared" si="25"/>
        <v>42</v>
      </c>
      <c r="BD26" s="32">
        <f t="shared" si="25"/>
        <v>44</v>
      </c>
      <c r="BE26" s="32">
        <f t="shared" si="25"/>
        <v>47</v>
      </c>
      <c r="BF26" s="32">
        <f t="shared" si="25"/>
        <v>49</v>
      </c>
      <c r="BG26" s="32">
        <f t="shared" si="25"/>
        <v>51</v>
      </c>
      <c r="BH26" s="32">
        <f t="shared" si="25"/>
        <v>54</v>
      </c>
      <c r="BI26" s="32">
        <f t="shared" si="25"/>
        <v>57</v>
      </c>
      <c r="BJ26" s="32">
        <f t="shared" si="25"/>
        <v>59</v>
      </c>
      <c r="BK26" s="32">
        <f t="shared" si="25"/>
        <v>62</v>
      </c>
      <c r="BL26" s="32">
        <f t="shared" si="25"/>
        <v>65</v>
      </c>
      <c r="BM26" s="32">
        <f t="shared" si="25"/>
        <v>68</v>
      </c>
      <c r="BN26" s="32">
        <f t="shared" si="25"/>
        <v>72</v>
      </c>
      <c r="BO26" s="32">
        <f t="shared" si="25"/>
        <v>75</v>
      </c>
      <c r="BP26" s="32">
        <f t="shared" ref="BP26:CU26" si="26">ROUND(BP21*BP25, 0)</f>
        <v>79</v>
      </c>
      <c r="BQ26" s="32">
        <f t="shared" si="26"/>
        <v>83</v>
      </c>
      <c r="BR26" s="32">
        <f t="shared" si="26"/>
        <v>87</v>
      </c>
      <c r="BS26" s="32">
        <f t="shared" si="26"/>
        <v>91</v>
      </c>
      <c r="BT26" s="32">
        <f t="shared" si="26"/>
        <v>96</v>
      </c>
      <c r="BU26" s="32">
        <f t="shared" si="26"/>
        <v>101</v>
      </c>
      <c r="BV26" s="32">
        <f t="shared" si="26"/>
        <v>106</v>
      </c>
      <c r="BW26" s="32">
        <f t="shared" si="26"/>
        <v>111</v>
      </c>
      <c r="BX26" s="32">
        <f t="shared" si="26"/>
        <v>116</v>
      </c>
      <c r="BY26" s="32">
        <f t="shared" si="26"/>
        <v>122</v>
      </c>
      <c r="BZ26" s="32">
        <f t="shared" si="26"/>
        <v>128</v>
      </c>
      <c r="CA26" s="32">
        <f t="shared" si="26"/>
        <v>135</v>
      </c>
      <c r="CB26" s="32">
        <f t="shared" si="26"/>
        <v>141</v>
      </c>
      <c r="CC26" s="32">
        <f t="shared" si="26"/>
        <v>148</v>
      </c>
      <c r="CD26" s="32">
        <f t="shared" si="26"/>
        <v>156</v>
      </c>
      <c r="CE26" s="32">
        <f t="shared" si="26"/>
        <v>163</v>
      </c>
      <c r="CF26" s="32">
        <f t="shared" si="26"/>
        <v>172</v>
      </c>
      <c r="CG26" s="32">
        <f t="shared" si="26"/>
        <v>180</v>
      </c>
      <c r="CH26" s="32">
        <f t="shared" si="26"/>
        <v>189</v>
      </c>
      <c r="CI26" s="32">
        <f t="shared" si="26"/>
        <v>198</v>
      </c>
    </row>
    <row r="27" spans="1:87" ht="16.5">
      <c r="A27" s="6" t="s">
        <v>488</v>
      </c>
      <c r="B27" s="30" t="s">
        <v>455</v>
      </c>
      <c r="C27" s="17" t="s">
        <v>456</v>
      </c>
      <c r="D27" s="31">
        <v>0.05</v>
      </c>
      <c r="E27" s="31">
        <v>0.05</v>
      </c>
      <c r="F27" s="31">
        <v>0.05</v>
      </c>
      <c r="G27" s="31">
        <v>0.05</v>
      </c>
      <c r="H27" s="31">
        <v>0.05</v>
      </c>
      <c r="I27" s="31">
        <v>0.05</v>
      </c>
      <c r="J27" s="31">
        <v>0.05</v>
      </c>
      <c r="K27" s="31">
        <v>0.05</v>
      </c>
      <c r="L27" s="31">
        <v>0.05</v>
      </c>
      <c r="M27" s="31">
        <v>0.05</v>
      </c>
      <c r="N27" s="31">
        <v>0.05</v>
      </c>
      <c r="O27" s="31">
        <v>0.05</v>
      </c>
      <c r="P27" s="31">
        <v>0.05</v>
      </c>
      <c r="Q27" s="31">
        <v>0.05</v>
      </c>
      <c r="R27" s="31">
        <v>0.05</v>
      </c>
      <c r="S27" s="31">
        <v>0.05</v>
      </c>
      <c r="T27" s="31">
        <v>0.05</v>
      </c>
      <c r="U27" s="31">
        <v>0.05</v>
      </c>
      <c r="V27" s="31">
        <v>0.05</v>
      </c>
      <c r="W27" s="31">
        <v>0.05</v>
      </c>
      <c r="X27" s="31">
        <v>0.05</v>
      </c>
      <c r="Y27" s="31">
        <v>0.05</v>
      </c>
      <c r="Z27" s="31">
        <v>0.05</v>
      </c>
      <c r="AA27" s="31">
        <v>0.05</v>
      </c>
      <c r="AB27" s="31">
        <v>0.05</v>
      </c>
      <c r="AC27" s="31">
        <v>0.05</v>
      </c>
      <c r="AD27" s="31">
        <v>0.05</v>
      </c>
      <c r="AE27" s="31">
        <v>0.05</v>
      </c>
      <c r="AF27" s="31">
        <v>0.05</v>
      </c>
      <c r="AG27" s="31">
        <v>0.05</v>
      </c>
      <c r="AH27" s="31">
        <v>0.05</v>
      </c>
      <c r="AI27" s="31">
        <v>0.05</v>
      </c>
      <c r="AJ27" s="31">
        <v>0.05</v>
      </c>
      <c r="AK27" s="31">
        <v>0.05</v>
      </c>
      <c r="AL27" s="31">
        <v>0.05</v>
      </c>
      <c r="AM27" s="31">
        <v>0.05</v>
      </c>
      <c r="AN27" s="31">
        <v>0.05</v>
      </c>
      <c r="AO27" s="31">
        <v>0.05</v>
      </c>
      <c r="AP27" s="31">
        <v>0.05</v>
      </c>
      <c r="AQ27" s="31">
        <v>0.05</v>
      </c>
      <c r="AR27" s="31">
        <v>0.05</v>
      </c>
      <c r="AS27" s="31">
        <v>0.05</v>
      </c>
      <c r="AT27" s="31">
        <v>0.05</v>
      </c>
      <c r="AU27" s="31">
        <v>0.05</v>
      </c>
      <c r="AV27" s="31">
        <v>0.05</v>
      </c>
      <c r="AW27" s="31">
        <v>0.05</v>
      </c>
      <c r="AX27" s="31">
        <v>0.05</v>
      </c>
      <c r="AY27" s="31">
        <v>0.05</v>
      </c>
      <c r="AZ27" s="31">
        <v>0.05</v>
      </c>
      <c r="BA27" s="31">
        <v>0.05</v>
      </c>
      <c r="BB27" s="31">
        <v>0.05</v>
      </c>
      <c r="BC27" s="31">
        <v>0.05</v>
      </c>
      <c r="BD27" s="31">
        <v>0.05</v>
      </c>
      <c r="BE27" s="31">
        <v>0.05</v>
      </c>
      <c r="BF27" s="31">
        <v>0.05</v>
      </c>
      <c r="BG27" s="31">
        <v>0.05</v>
      </c>
      <c r="BH27" s="31">
        <v>0.05</v>
      </c>
      <c r="BI27" s="31">
        <v>0.05</v>
      </c>
      <c r="BJ27" s="31">
        <v>0.05</v>
      </c>
      <c r="BK27" s="31">
        <v>0.05</v>
      </c>
      <c r="BL27" s="31">
        <v>0.05</v>
      </c>
      <c r="BM27" s="31">
        <v>0.05</v>
      </c>
      <c r="BN27" s="31">
        <v>0.05</v>
      </c>
      <c r="BO27" s="31">
        <v>0.05</v>
      </c>
      <c r="BP27" s="31">
        <v>0.05</v>
      </c>
      <c r="BQ27" s="31">
        <v>0.05</v>
      </c>
      <c r="BR27" s="31">
        <v>0.05</v>
      </c>
      <c r="BS27" s="31">
        <v>0.05</v>
      </c>
      <c r="BT27" s="31">
        <v>0.05</v>
      </c>
      <c r="BU27" s="31">
        <v>0.05</v>
      </c>
      <c r="BV27" s="31">
        <v>0.05</v>
      </c>
      <c r="BW27" s="31">
        <v>0.05</v>
      </c>
      <c r="BX27" s="31">
        <v>0.05</v>
      </c>
      <c r="BY27" s="31">
        <v>0.05</v>
      </c>
      <c r="BZ27" s="31">
        <v>0.05</v>
      </c>
      <c r="CA27" s="31">
        <v>0.05</v>
      </c>
      <c r="CB27" s="31">
        <v>0.05</v>
      </c>
      <c r="CC27" s="31">
        <v>0.05</v>
      </c>
      <c r="CD27" s="31">
        <v>0.05</v>
      </c>
      <c r="CE27" s="31">
        <v>0.05</v>
      </c>
      <c r="CF27" s="31">
        <v>0.05</v>
      </c>
      <c r="CG27" s="31">
        <v>0.05</v>
      </c>
      <c r="CH27" s="31">
        <v>0.05</v>
      </c>
      <c r="CI27" s="31">
        <v>0.05</v>
      </c>
    </row>
    <row r="28" spans="1:87" ht="16.5">
      <c r="A28" s="6" t="s">
        <v>489</v>
      </c>
      <c r="B28" s="30" t="s">
        <v>458</v>
      </c>
      <c r="C28" s="17" t="s">
        <v>490</v>
      </c>
      <c r="D28" s="32">
        <f t="shared" ref="D28:AI28" si="27">ROUND(D21*D27, 0)</f>
        <v>1</v>
      </c>
      <c r="E28" s="32">
        <f t="shared" si="27"/>
        <v>2</v>
      </c>
      <c r="F28" s="32">
        <f t="shared" si="27"/>
        <v>4</v>
      </c>
      <c r="G28" s="32">
        <f t="shared" si="27"/>
        <v>5</v>
      </c>
      <c r="H28" s="32">
        <f t="shared" si="27"/>
        <v>6</v>
      </c>
      <c r="I28" s="32">
        <f t="shared" si="27"/>
        <v>7</v>
      </c>
      <c r="J28" s="32">
        <f t="shared" si="27"/>
        <v>8</v>
      </c>
      <c r="K28" s="32">
        <f t="shared" si="27"/>
        <v>9</v>
      </c>
      <c r="L28" s="32">
        <f t="shared" si="27"/>
        <v>10</v>
      </c>
      <c r="M28" s="32">
        <f t="shared" si="27"/>
        <v>11</v>
      </c>
      <c r="N28" s="32">
        <f t="shared" si="27"/>
        <v>12</v>
      </c>
      <c r="O28" s="32">
        <f t="shared" si="27"/>
        <v>13</v>
      </c>
      <c r="P28" s="32">
        <f t="shared" si="27"/>
        <v>14</v>
      </c>
      <c r="Q28" s="32">
        <f t="shared" si="27"/>
        <v>15</v>
      </c>
      <c r="R28" s="32">
        <f t="shared" si="27"/>
        <v>16</v>
      </c>
      <c r="S28" s="32">
        <f t="shared" si="27"/>
        <v>18</v>
      </c>
      <c r="T28" s="32">
        <f t="shared" si="27"/>
        <v>19</v>
      </c>
      <c r="U28" s="32">
        <f t="shared" si="27"/>
        <v>20</v>
      </c>
      <c r="V28" s="32">
        <f t="shared" si="27"/>
        <v>21</v>
      </c>
      <c r="W28" s="32">
        <f t="shared" si="27"/>
        <v>22</v>
      </c>
      <c r="X28" s="32">
        <f t="shared" si="27"/>
        <v>23</v>
      </c>
      <c r="Y28" s="32">
        <f t="shared" si="27"/>
        <v>25</v>
      </c>
      <c r="Z28" s="32">
        <f t="shared" si="27"/>
        <v>26</v>
      </c>
      <c r="AA28" s="32">
        <f t="shared" si="27"/>
        <v>27</v>
      </c>
      <c r="AB28" s="32">
        <f t="shared" si="27"/>
        <v>29</v>
      </c>
      <c r="AC28" s="32">
        <f t="shared" si="27"/>
        <v>30</v>
      </c>
      <c r="AD28" s="32">
        <f t="shared" si="27"/>
        <v>32</v>
      </c>
      <c r="AE28" s="32">
        <f t="shared" si="27"/>
        <v>34</v>
      </c>
      <c r="AF28" s="32">
        <f t="shared" si="27"/>
        <v>35</v>
      </c>
      <c r="AG28" s="32">
        <f t="shared" si="27"/>
        <v>37</v>
      </c>
      <c r="AH28" s="32">
        <f t="shared" si="27"/>
        <v>39</v>
      </c>
      <c r="AI28" s="32">
        <f t="shared" si="27"/>
        <v>41</v>
      </c>
      <c r="AJ28" s="32">
        <f t="shared" ref="AJ28:BO28" si="28">ROUND(AJ21*AJ27, 0)</f>
        <v>43</v>
      </c>
      <c r="AK28" s="32">
        <f t="shared" si="28"/>
        <v>45</v>
      </c>
      <c r="AL28" s="32">
        <f t="shared" si="28"/>
        <v>47</v>
      </c>
      <c r="AM28" s="32">
        <f t="shared" si="28"/>
        <v>49</v>
      </c>
      <c r="AN28" s="32">
        <f t="shared" si="28"/>
        <v>52</v>
      </c>
      <c r="AO28" s="32">
        <f t="shared" si="28"/>
        <v>54</v>
      </c>
      <c r="AP28" s="32">
        <f t="shared" si="28"/>
        <v>57</v>
      </c>
      <c r="AQ28" s="32">
        <f t="shared" si="28"/>
        <v>60</v>
      </c>
      <c r="AR28" s="32">
        <f t="shared" si="28"/>
        <v>63</v>
      </c>
      <c r="AS28" s="32">
        <f t="shared" si="28"/>
        <v>66</v>
      </c>
      <c r="AT28" s="32">
        <f t="shared" si="28"/>
        <v>69</v>
      </c>
      <c r="AU28" s="32">
        <f t="shared" si="28"/>
        <v>72</v>
      </c>
      <c r="AV28" s="32">
        <f t="shared" si="28"/>
        <v>76</v>
      </c>
      <c r="AW28" s="32">
        <f t="shared" si="28"/>
        <v>80</v>
      </c>
      <c r="AX28" s="32">
        <f t="shared" si="28"/>
        <v>84</v>
      </c>
      <c r="AY28" s="32">
        <f t="shared" si="28"/>
        <v>88</v>
      </c>
      <c r="AZ28" s="32">
        <f t="shared" si="28"/>
        <v>92</v>
      </c>
      <c r="BA28" s="32">
        <f t="shared" si="28"/>
        <v>96</v>
      </c>
      <c r="BB28" s="32">
        <f t="shared" si="28"/>
        <v>101</v>
      </c>
      <c r="BC28" s="32">
        <f t="shared" si="28"/>
        <v>106</v>
      </c>
      <c r="BD28" s="32">
        <f t="shared" si="28"/>
        <v>111</v>
      </c>
      <c r="BE28" s="32">
        <f t="shared" si="28"/>
        <v>117</v>
      </c>
      <c r="BF28" s="32">
        <f t="shared" si="28"/>
        <v>122</v>
      </c>
      <c r="BG28" s="32">
        <f t="shared" si="28"/>
        <v>128</v>
      </c>
      <c r="BH28" s="32">
        <f t="shared" si="28"/>
        <v>135</v>
      </c>
      <c r="BI28" s="32">
        <f t="shared" si="28"/>
        <v>141</v>
      </c>
      <c r="BJ28" s="32">
        <f t="shared" si="28"/>
        <v>148</v>
      </c>
      <c r="BK28" s="32">
        <f t="shared" si="28"/>
        <v>156</v>
      </c>
      <c r="BL28" s="32">
        <f t="shared" si="28"/>
        <v>163</v>
      </c>
      <c r="BM28" s="32">
        <f t="shared" si="28"/>
        <v>171</v>
      </c>
      <c r="BN28" s="32">
        <f t="shared" si="28"/>
        <v>180</v>
      </c>
      <c r="BO28" s="32">
        <f t="shared" si="28"/>
        <v>189</v>
      </c>
      <c r="BP28" s="32">
        <f t="shared" ref="BP28:CU28" si="29">ROUND(BP21*BP27, 0)</f>
        <v>198</v>
      </c>
      <c r="BQ28" s="32">
        <f t="shared" si="29"/>
        <v>208</v>
      </c>
      <c r="BR28" s="32">
        <f t="shared" si="29"/>
        <v>218</v>
      </c>
      <c r="BS28" s="32">
        <f t="shared" si="29"/>
        <v>229</v>
      </c>
      <c r="BT28" s="32">
        <f t="shared" si="29"/>
        <v>240</v>
      </c>
      <c r="BU28" s="32">
        <f t="shared" si="29"/>
        <v>252</v>
      </c>
      <c r="BV28" s="32">
        <f t="shared" si="29"/>
        <v>264</v>
      </c>
      <c r="BW28" s="32">
        <f t="shared" si="29"/>
        <v>277</v>
      </c>
      <c r="BX28" s="32">
        <f t="shared" si="29"/>
        <v>291</v>
      </c>
      <c r="BY28" s="32">
        <f t="shared" si="29"/>
        <v>305</v>
      </c>
      <c r="BZ28" s="32">
        <f t="shared" si="29"/>
        <v>321</v>
      </c>
      <c r="CA28" s="32">
        <f t="shared" si="29"/>
        <v>336</v>
      </c>
      <c r="CB28" s="32">
        <f t="shared" si="29"/>
        <v>353</v>
      </c>
      <c r="CC28" s="32">
        <f t="shared" si="29"/>
        <v>371</v>
      </c>
      <c r="CD28" s="32">
        <f t="shared" si="29"/>
        <v>389</v>
      </c>
      <c r="CE28" s="32">
        <f t="shared" si="29"/>
        <v>408</v>
      </c>
      <c r="CF28" s="32">
        <f t="shared" si="29"/>
        <v>429</v>
      </c>
      <c r="CG28" s="32">
        <f t="shared" si="29"/>
        <v>450</v>
      </c>
      <c r="CH28" s="32">
        <f t="shared" si="29"/>
        <v>472</v>
      </c>
      <c r="CI28" s="32">
        <f t="shared" si="29"/>
        <v>496</v>
      </c>
    </row>
    <row r="30" spans="1:87" ht="16">
      <c r="A30" s="128" t="s">
        <v>491</v>
      </c>
      <c r="B30" s="120"/>
      <c r="C30" s="120"/>
    </row>
    <row r="31" spans="1:87" ht="16.5">
      <c r="A31" s="6" t="s">
        <v>454</v>
      </c>
      <c r="B31" s="30" t="s">
        <v>455</v>
      </c>
      <c r="C31" s="17" t="s">
        <v>476</v>
      </c>
      <c r="D31" s="31">
        <v>0.08</v>
      </c>
      <c r="E31" s="31">
        <v>0.08</v>
      </c>
      <c r="F31" s="31">
        <v>0.08</v>
      </c>
      <c r="G31" s="31">
        <v>0.08</v>
      </c>
      <c r="H31" s="31">
        <v>0.08</v>
      </c>
      <c r="I31" s="31">
        <v>0.08</v>
      </c>
      <c r="J31" s="31">
        <v>0.08</v>
      </c>
      <c r="K31" s="31">
        <v>0.08</v>
      </c>
      <c r="L31" s="31">
        <v>0.08</v>
      </c>
      <c r="M31" s="31">
        <v>0.08</v>
      </c>
      <c r="N31" s="31">
        <v>0.08</v>
      </c>
      <c r="O31" s="31">
        <v>0.08</v>
      </c>
      <c r="P31" s="31">
        <v>0.08</v>
      </c>
      <c r="Q31" s="31">
        <v>0.08</v>
      </c>
      <c r="R31" s="31">
        <v>0.08</v>
      </c>
      <c r="S31" s="31">
        <v>0.08</v>
      </c>
      <c r="T31" s="31">
        <v>0.08</v>
      </c>
      <c r="U31" s="31">
        <v>0.08</v>
      </c>
      <c r="V31" s="31">
        <v>0.08</v>
      </c>
      <c r="W31" s="31">
        <v>0.08</v>
      </c>
      <c r="X31" s="31">
        <v>0.08</v>
      </c>
      <c r="Y31" s="31">
        <v>0.08</v>
      </c>
      <c r="Z31" s="31">
        <v>0.08</v>
      </c>
      <c r="AA31" s="31">
        <v>0.08</v>
      </c>
      <c r="AB31" s="31">
        <v>0.08</v>
      </c>
      <c r="AC31" s="31">
        <v>0.08</v>
      </c>
      <c r="AD31" s="31">
        <v>0.08</v>
      </c>
      <c r="AE31" s="31">
        <v>0.08</v>
      </c>
      <c r="AF31" s="31">
        <v>0.08</v>
      </c>
      <c r="AG31" s="31">
        <v>0.08</v>
      </c>
      <c r="AH31" s="31">
        <v>0.08</v>
      </c>
      <c r="AI31" s="31">
        <v>0.08</v>
      </c>
      <c r="AJ31" s="31">
        <v>0.08</v>
      </c>
      <c r="AK31" s="31">
        <v>0.08</v>
      </c>
      <c r="AL31" s="31">
        <v>0.08</v>
      </c>
      <c r="AM31" s="31">
        <v>0.08</v>
      </c>
      <c r="AN31" s="31">
        <v>0.08</v>
      </c>
      <c r="AO31" s="31">
        <v>0.08</v>
      </c>
      <c r="AP31" s="31">
        <v>0.08</v>
      </c>
      <c r="AQ31" s="31">
        <v>0.08</v>
      </c>
      <c r="AR31" s="31">
        <v>0.08</v>
      </c>
      <c r="AS31" s="31">
        <v>0.08</v>
      </c>
      <c r="AT31" s="31">
        <v>0.08</v>
      </c>
      <c r="AU31" s="31">
        <v>0.08</v>
      </c>
      <c r="AV31" s="31">
        <v>0.08</v>
      </c>
      <c r="AW31" s="31">
        <v>0.08</v>
      </c>
      <c r="AX31" s="31">
        <v>0.08</v>
      </c>
      <c r="AY31" s="31">
        <v>0.08</v>
      </c>
      <c r="AZ31" s="31">
        <v>0.08</v>
      </c>
      <c r="BA31" s="31">
        <v>0.08</v>
      </c>
      <c r="BB31" s="31">
        <v>0.08</v>
      </c>
      <c r="BC31" s="31">
        <v>0.08</v>
      </c>
      <c r="BD31" s="31">
        <v>0.08</v>
      </c>
      <c r="BE31" s="31">
        <v>0.08</v>
      </c>
      <c r="BF31" s="31">
        <v>0.08</v>
      </c>
      <c r="BG31" s="31">
        <v>0.08</v>
      </c>
      <c r="BH31" s="31">
        <v>0.08</v>
      </c>
      <c r="BI31" s="31">
        <v>0.08</v>
      </c>
      <c r="BJ31" s="31">
        <v>0.08</v>
      </c>
      <c r="BK31" s="31">
        <v>0.08</v>
      </c>
      <c r="BL31" s="31">
        <v>0.08</v>
      </c>
      <c r="BM31" s="31">
        <v>0.08</v>
      </c>
      <c r="BN31" s="31">
        <v>0.08</v>
      </c>
      <c r="BO31" s="31">
        <v>0.08</v>
      </c>
      <c r="BP31" s="31">
        <v>0.08</v>
      </c>
      <c r="BQ31" s="31">
        <v>0.08</v>
      </c>
      <c r="BR31" s="31">
        <v>0.08</v>
      </c>
      <c r="BS31" s="31">
        <v>0.08</v>
      </c>
      <c r="BT31" s="31">
        <v>0.08</v>
      </c>
      <c r="BU31" s="31">
        <v>0.08</v>
      </c>
      <c r="BV31" s="31">
        <v>0.08</v>
      </c>
      <c r="BW31" s="31">
        <v>0.08</v>
      </c>
      <c r="BX31" s="31">
        <v>0.08</v>
      </c>
      <c r="BY31" s="31">
        <v>0.08</v>
      </c>
      <c r="BZ31" s="31">
        <v>0.08</v>
      </c>
      <c r="CA31" s="31">
        <v>0.08</v>
      </c>
      <c r="CB31" s="31">
        <v>0.08</v>
      </c>
      <c r="CC31" s="31">
        <v>0.08</v>
      </c>
      <c r="CD31" s="31">
        <v>0.08</v>
      </c>
      <c r="CE31" s="31">
        <v>0.08</v>
      </c>
      <c r="CF31" s="31">
        <v>0.08</v>
      </c>
      <c r="CG31" s="31">
        <v>0.08</v>
      </c>
      <c r="CH31" s="31">
        <v>0.08</v>
      </c>
      <c r="CI31" s="31">
        <v>0.08</v>
      </c>
    </row>
    <row r="32" spans="1:87" ht="16.5">
      <c r="A32" s="6" t="s">
        <v>457</v>
      </c>
      <c r="B32" s="30" t="s">
        <v>458</v>
      </c>
      <c r="C32" s="17" t="s">
        <v>459</v>
      </c>
      <c r="D32" s="32">
        <v>2027</v>
      </c>
      <c r="E32" s="32">
        <f t="shared" ref="E32:AJ32" si="30">D32*(1+E31)</f>
        <v>2189.1600000000003</v>
      </c>
      <c r="F32" s="32">
        <f t="shared" si="30"/>
        <v>2364.2928000000006</v>
      </c>
      <c r="G32" s="32">
        <f t="shared" si="30"/>
        <v>2553.4362240000009</v>
      </c>
      <c r="H32" s="32">
        <f t="shared" si="30"/>
        <v>2757.711121920001</v>
      </c>
      <c r="I32" s="32">
        <f t="shared" si="30"/>
        <v>2978.3280116736014</v>
      </c>
      <c r="J32" s="32">
        <f t="shared" si="30"/>
        <v>3216.5942526074896</v>
      </c>
      <c r="K32" s="32">
        <f t="shared" si="30"/>
        <v>3473.9217928160888</v>
      </c>
      <c r="L32" s="32">
        <f t="shared" si="30"/>
        <v>3751.8355362413763</v>
      </c>
      <c r="M32" s="32">
        <f t="shared" si="30"/>
        <v>4051.9823791406866</v>
      </c>
      <c r="N32" s="32">
        <f t="shared" si="30"/>
        <v>4376.1409694719414</v>
      </c>
      <c r="O32" s="32">
        <f t="shared" si="30"/>
        <v>4726.2322470296967</v>
      </c>
      <c r="P32" s="32">
        <f t="shared" si="30"/>
        <v>5104.3308267920729</v>
      </c>
      <c r="Q32" s="32">
        <f t="shared" si="30"/>
        <v>5512.6772929354393</v>
      </c>
      <c r="R32" s="32">
        <f t="shared" si="30"/>
        <v>5953.6914763702744</v>
      </c>
      <c r="S32" s="32">
        <f t="shared" si="30"/>
        <v>6429.9867944798971</v>
      </c>
      <c r="T32" s="32">
        <f t="shared" si="30"/>
        <v>6944.3857380382897</v>
      </c>
      <c r="U32" s="32">
        <f t="shared" si="30"/>
        <v>7499.9365970813533</v>
      </c>
      <c r="V32" s="32">
        <f t="shared" si="30"/>
        <v>8099.9315248478624</v>
      </c>
      <c r="W32" s="32">
        <f t="shared" si="30"/>
        <v>8747.9260468356915</v>
      </c>
      <c r="X32" s="32">
        <f t="shared" si="30"/>
        <v>9447.7601305825483</v>
      </c>
      <c r="Y32" s="32">
        <f t="shared" si="30"/>
        <v>10203.580941029153</v>
      </c>
      <c r="Z32" s="32">
        <f t="shared" si="30"/>
        <v>11019.867416311487</v>
      </c>
      <c r="AA32" s="32">
        <f t="shared" si="30"/>
        <v>11901.456809616406</v>
      </c>
      <c r="AB32" s="32">
        <f t="shared" si="30"/>
        <v>12853.573354385719</v>
      </c>
      <c r="AC32" s="32">
        <f t="shared" si="30"/>
        <v>13881.859222736577</v>
      </c>
      <c r="AD32" s="32">
        <f t="shared" si="30"/>
        <v>14992.407960555503</v>
      </c>
      <c r="AE32" s="32">
        <f t="shared" si="30"/>
        <v>16191.800597399944</v>
      </c>
      <c r="AF32" s="32">
        <f t="shared" si="30"/>
        <v>17487.14464519194</v>
      </c>
      <c r="AG32" s="32">
        <f t="shared" si="30"/>
        <v>18886.116216807295</v>
      </c>
      <c r="AH32" s="32">
        <f t="shared" si="30"/>
        <v>20397.005514151879</v>
      </c>
      <c r="AI32" s="32">
        <f t="shared" si="30"/>
        <v>22028.76595528403</v>
      </c>
      <c r="AJ32" s="32">
        <f t="shared" si="30"/>
        <v>23791.067231706755</v>
      </c>
      <c r="AK32" s="32">
        <f t="shared" ref="AK32:BP32" si="31">AJ32*(1+AK31)</f>
        <v>25694.352610243295</v>
      </c>
      <c r="AL32" s="32">
        <f t="shared" si="31"/>
        <v>27749.900819062761</v>
      </c>
      <c r="AM32" s="32">
        <f t="shared" si="31"/>
        <v>29969.892884587785</v>
      </c>
      <c r="AN32" s="32">
        <f t="shared" si="31"/>
        <v>32367.48431535481</v>
      </c>
      <c r="AO32" s="32">
        <f t="shared" si="31"/>
        <v>34956.883060583197</v>
      </c>
      <c r="AP32" s="32">
        <f t="shared" si="31"/>
        <v>37753.433705429852</v>
      </c>
      <c r="AQ32" s="32">
        <f t="shared" si="31"/>
        <v>40773.708401864242</v>
      </c>
      <c r="AR32" s="32">
        <f t="shared" si="31"/>
        <v>44035.605074013387</v>
      </c>
      <c r="AS32" s="32">
        <f t="shared" si="31"/>
        <v>47558.453479934462</v>
      </c>
      <c r="AT32" s="32">
        <f t="shared" si="31"/>
        <v>51363.129758329225</v>
      </c>
      <c r="AU32" s="32">
        <f t="shared" si="31"/>
        <v>55472.180138995565</v>
      </c>
      <c r="AV32" s="32">
        <f t="shared" si="31"/>
        <v>59909.954550115217</v>
      </c>
      <c r="AW32" s="32">
        <f t="shared" si="31"/>
        <v>64702.750914124437</v>
      </c>
      <c r="AX32" s="32">
        <f t="shared" si="31"/>
        <v>69878.97098725439</v>
      </c>
      <c r="AY32" s="32">
        <f t="shared" si="31"/>
        <v>75469.288666234745</v>
      </c>
      <c r="AZ32" s="32">
        <f t="shared" si="31"/>
        <v>81506.831759533525</v>
      </c>
      <c r="BA32" s="32">
        <f t="shared" si="31"/>
        <v>88027.378300296215</v>
      </c>
      <c r="BB32" s="32">
        <f t="shared" si="31"/>
        <v>95069.568564319925</v>
      </c>
      <c r="BC32" s="32">
        <f t="shared" si="31"/>
        <v>102675.13404946553</v>
      </c>
      <c r="BD32" s="32">
        <f t="shared" si="31"/>
        <v>110889.14477342278</v>
      </c>
      <c r="BE32" s="32">
        <f t="shared" si="31"/>
        <v>119760.27635529662</v>
      </c>
      <c r="BF32" s="32">
        <f t="shared" si="31"/>
        <v>129341.09846372037</v>
      </c>
      <c r="BG32" s="32">
        <f t="shared" si="31"/>
        <v>139688.38634081799</v>
      </c>
      <c r="BH32" s="32">
        <f t="shared" si="31"/>
        <v>150863.45724808343</v>
      </c>
      <c r="BI32" s="32">
        <f t="shared" si="31"/>
        <v>162932.53382793011</v>
      </c>
      <c r="BJ32" s="32">
        <f t="shared" si="31"/>
        <v>175967.13653416451</v>
      </c>
      <c r="BK32" s="32">
        <f t="shared" si="31"/>
        <v>190044.5074568977</v>
      </c>
      <c r="BL32" s="32">
        <f t="shared" si="31"/>
        <v>205248.06805344953</v>
      </c>
      <c r="BM32" s="32">
        <f t="shared" si="31"/>
        <v>221667.9134977255</v>
      </c>
      <c r="BN32" s="32">
        <f t="shared" si="31"/>
        <v>239401.34657754356</v>
      </c>
      <c r="BO32" s="32">
        <f t="shared" si="31"/>
        <v>258553.45430374707</v>
      </c>
      <c r="BP32" s="32">
        <f t="shared" si="31"/>
        <v>279237.73064804688</v>
      </c>
      <c r="BQ32" s="32">
        <f t="shared" ref="BQ32:CV32" si="32">BP32*(1+BQ31)</f>
        <v>301576.74909989064</v>
      </c>
      <c r="BR32" s="32">
        <f t="shared" si="32"/>
        <v>325702.8890278819</v>
      </c>
      <c r="BS32" s="32">
        <f t="shared" si="32"/>
        <v>351759.12015011249</v>
      </c>
      <c r="BT32" s="32">
        <f t="shared" si="32"/>
        <v>379899.84976212151</v>
      </c>
      <c r="BU32" s="32">
        <f t="shared" si="32"/>
        <v>410291.83774309128</v>
      </c>
      <c r="BV32" s="32">
        <f t="shared" si="32"/>
        <v>443115.18476253859</v>
      </c>
      <c r="BW32" s="32">
        <f t="shared" si="32"/>
        <v>478564.39954354172</v>
      </c>
      <c r="BX32" s="32">
        <f t="shared" si="32"/>
        <v>516849.55150702508</v>
      </c>
      <c r="BY32" s="32">
        <f t="shared" si="32"/>
        <v>558197.5156275871</v>
      </c>
      <c r="BZ32" s="32">
        <f t="shared" si="32"/>
        <v>602853.3168777941</v>
      </c>
      <c r="CA32" s="32">
        <f t="shared" si="32"/>
        <v>651081.58222801762</v>
      </c>
      <c r="CB32" s="32">
        <f t="shared" si="32"/>
        <v>703168.10880625912</v>
      </c>
      <c r="CC32" s="32">
        <f t="shared" si="32"/>
        <v>759421.55751075991</v>
      </c>
      <c r="CD32" s="32">
        <f t="shared" si="32"/>
        <v>820175.28211162076</v>
      </c>
      <c r="CE32" s="32">
        <f t="shared" si="32"/>
        <v>885789.30468055047</v>
      </c>
      <c r="CF32" s="32">
        <f t="shared" si="32"/>
        <v>956652.44905499462</v>
      </c>
      <c r="CG32" s="32">
        <f t="shared" si="32"/>
        <v>1033184.6449793943</v>
      </c>
      <c r="CH32" s="32">
        <f t="shared" si="32"/>
        <v>1115839.4165777459</v>
      </c>
      <c r="CI32" s="32">
        <f t="shared" si="32"/>
        <v>1205106.5699039656</v>
      </c>
    </row>
    <row r="33" spans="1:87" ht="16.5">
      <c r="A33" s="6" t="s">
        <v>460</v>
      </c>
      <c r="B33" s="30" t="s">
        <v>455</v>
      </c>
      <c r="C33" s="17" t="s">
        <v>485</v>
      </c>
      <c r="D33" s="31">
        <v>0.02</v>
      </c>
      <c r="E33" s="31">
        <v>0.02</v>
      </c>
      <c r="F33" s="31">
        <v>0.02</v>
      </c>
      <c r="G33" s="31">
        <v>0.02</v>
      </c>
      <c r="H33" s="31">
        <v>0.02</v>
      </c>
      <c r="I33" s="31">
        <v>0.02</v>
      </c>
      <c r="J33" s="31">
        <v>0.02</v>
      </c>
      <c r="K33" s="31">
        <v>0.02</v>
      </c>
      <c r="L33" s="31">
        <v>0.02</v>
      </c>
      <c r="M33" s="31">
        <v>0.02</v>
      </c>
      <c r="N33" s="31">
        <v>0.02</v>
      </c>
      <c r="O33" s="31">
        <v>0.02</v>
      </c>
      <c r="P33" s="31">
        <v>0.02</v>
      </c>
      <c r="Q33" s="31">
        <v>0.02</v>
      </c>
      <c r="R33" s="31">
        <v>0.02</v>
      </c>
      <c r="S33" s="31">
        <v>0.02</v>
      </c>
      <c r="T33" s="31">
        <v>0.02</v>
      </c>
      <c r="U33" s="31">
        <v>0.02</v>
      </c>
      <c r="V33" s="31">
        <v>0.02</v>
      </c>
      <c r="W33" s="31">
        <v>0.02</v>
      </c>
      <c r="X33" s="31">
        <v>0.02</v>
      </c>
      <c r="Y33" s="31">
        <v>0.02</v>
      </c>
      <c r="Z33" s="31">
        <v>0.02</v>
      </c>
      <c r="AA33" s="31">
        <v>0.02</v>
      </c>
      <c r="AB33" s="31">
        <v>0.02</v>
      </c>
      <c r="AC33" s="31">
        <v>0.02</v>
      </c>
      <c r="AD33" s="31">
        <v>0.02</v>
      </c>
      <c r="AE33" s="31">
        <v>0.02</v>
      </c>
      <c r="AF33" s="31">
        <v>0.02</v>
      </c>
      <c r="AG33" s="31">
        <v>0.02</v>
      </c>
      <c r="AH33" s="31">
        <v>0.02</v>
      </c>
      <c r="AI33" s="31">
        <v>0.02</v>
      </c>
      <c r="AJ33" s="31">
        <v>0.02</v>
      </c>
      <c r="AK33" s="31">
        <v>0.02</v>
      </c>
      <c r="AL33" s="31">
        <v>0.02</v>
      </c>
      <c r="AM33" s="31">
        <v>0.02</v>
      </c>
      <c r="AN33" s="31">
        <v>0.02</v>
      </c>
      <c r="AO33" s="31">
        <v>0.02</v>
      </c>
      <c r="AP33" s="31">
        <v>0.02</v>
      </c>
      <c r="AQ33" s="31">
        <v>0.02</v>
      </c>
      <c r="AR33" s="31">
        <v>0.02</v>
      </c>
      <c r="AS33" s="31">
        <v>0.02</v>
      </c>
      <c r="AT33" s="31">
        <v>0.02</v>
      </c>
      <c r="AU33" s="31">
        <v>0.02</v>
      </c>
      <c r="AV33" s="31">
        <v>0.02</v>
      </c>
      <c r="AW33" s="31">
        <v>0.02</v>
      </c>
      <c r="AX33" s="31">
        <v>0.02</v>
      </c>
      <c r="AY33" s="31">
        <v>0.02</v>
      </c>
      <c r="AZ33" s="31">
        <v>0.02</v>
      </c>
      <c r="BA33" s="31">
        <v>0.02</v>
      </c>
      <c r="BB33" s="31">
        <v>0.02</v>
      </c>
      <c r="BC33" s="31">
        <v>0.02</v>
      </c>
      <c r="BD33" s="31">
        <v>0.02</v>
      </c>
      <c r="BE33" s="31">
        <v>0.02</v>
      </c>
      <c r="BF33" s="31">
        <v>0.02</v>
      </c>
      <c r="BG33" s="31">
        <v>0.02</v>
      </c>
      <c r="BH33" s="31">
        <v>0.02</v>
      </c>
      <c r="BI33" s="31">
        <v>0.02</v>
      </c>
      <c r="BJ33" s="31">
        <v>0.02</v>
      </c>
      <c r="BK33" s="31">
        <v>0.02</v>
      </c>
      <c r="BL33" s="31">
        <v>0.02</v>
      </c>
      <c r="BM33" s="31">
        <v>0.02</v>
      </c>
      <c r="BN33" s="31">
        <v>0.02</v>
      </c>
      <c r="BO33" s="31">
        <v>0.02</v>
      </c>
      <c r="BP33" s="31">
        <v>0.02</v>
      </c>
      <c r="BQ33" s="31">
        <v>0.02</v>
      </c>
      <c r="BR33" s="31">
        <v>0.02</v>
      </c>
      <c r="BS33" s="31">
        <v>0.02</v>
      </c>
      <c r="BT33" s="31">
        <v>0.02</v>
      </c>
      <c r="BU33" s="31">
        <v>0.02</v>
      </c>
      <c r="BV33" s="31">
        <v>0.02</v>
      </c>
      <c r="BW33" s="31">
        <v>0.02</v>
      </c>
      <c r="BX33" s="31">
        <v>0.02</v>
      </c>
      <c r="BY33" s="31">
        <v>0.02</v>
      </c>
      <c r="BZ33" s="31">
        <v>0.02</v>
      </c>
      <c r="CA33" s="31">
        <v>0.02</v>
      </c>
      <c r="CB33" s="31">
        <v>0.02</v>
      </c>
      <c r="CC33" s="31">
        <v>0.02</v>
      </c>
      <c r="CD33" s="31">
        <v>0.02</v>
      </c>
      <c r="CE33" s="31">
        <v>0.02</v>
      </c>
      <c r="CF33" s="31">
        <v>0.02</v>
      </c>
      <c r="CG33" s="31">
        <v>0.02</v>
      </c>
      <c r="CH33" s="31">
        <v>0.02</v>
      </c>
      <c r="CI33" s="31">
        <v>0.02</v>
      </c>
    </row>
    <row r="34" spans="1:87" ht="16.5">
      <c r="A34" s="6" t="s">
        <v>462</v>
      </c>
      <c r="B34" s="30" t="s">
        <v>458</v>
      </c>
      <c r="C34" s="17" t="s">
        <v>463</v>
      </c>
      <c r="D34" s="32">
        <f t="shared" ref="D34:AI34" si="33">ROUND(D32*D33, 0)</f>
        <v>41</v>
      </c>
      <c r="E34" s="32">
        <f t="shared" si="33"/>
        <v>44</v>
      </c>
      <c r="F34" s="32">
        <f t="shared" si="33"/>
        <v>47</v>
      </c>
      <c r="G34" s="32">
        <f t="shared" si="33"/>
        <v>51</v>
      </c>
      <c r="H34" s="32">
        <f t="shared" si="33"/>
        <v>55</v>
      </c>
      <c r="I34" s="32">
        <f t="shared" si="33"/>
        <v>60</v>
      </c>
      <c r="J34" s="32">
        <f t="shared" si="33"/>
        <v>64</v>
      </c>
      <c r="K34" s="32">
        <f t="shared" si="33"/>
        <v>69</v>
      </c>
      <c r="L34" s="32">
        <f t="shared" si="33"/>
        <v>75</v>
      </c>
      <c r="M34" s="32">
        <f t="shared" si="33"/>
        <v>81</v>
      </c>
      <c r="N34" s="32">
        <f t="shared" si="33"/>
        <v>88</v>
      </c>
      <c r="O34" s="32">
        <f t="shared" si="33"/>
        <v>95</v>
      </c>
      <c r="P34" s="32">
        <f t="shared" si="33"/>
        <v>102</v>
      </c>
      <c r="Q34" s="32">
        <f t="shared" si="33"/>
        <v>110</v>
      </c>
      <c r="R34" s="32">
        <f t="shared" si="33"/>
        <v>119</v>
      </c>
      <c r="S34" s="32">
        <f t="shared" si="33"/>
        <v>129</v>
      </c>
      <c r="T34" s="32">
        <f t="shared" si="33"/>
        <v>139</v>
      </c>
      <c r="U34" s="32">
        <f t="shared" si="33"/>
        <v>150</v>
      </c>
      <c r="V34" s="32">
        <f t="shared" si="33"/>
        <v>162</v>
      </c>
      <c r="W34" s="32">
        <f t="shared" si="33"/>
        <v>175</v>
      </c>
      <c r="X34" s="32">
        <f t="shared" si="33"/>
        <v>189</v>
      </c>
      <c r="Y34" s="32">
        <f t="shared" si="33"/>
        <v>204</v>
      </c>
      <c r="Z34" s="32">
        <f t="shared" si="33"/>
        <v>220</v>
      </c>
      <c r="AA34" s="32">
        <f t="shared" si="33"/>
        <v>238</v>
      </c>
      <c r="AB34" s="32">
        <f t="shared" si="33"/>
        <v>257</v>
      </c>
      <c r="AC34" s="32">
        <f t="shared" si="33"/>
        <v>278</v>
      </c>
      <c r="AD34" s="32">
        <f t="shared" si="33"/>
        <v>300</v>
      </c>
      <c r="AE34" s="32">
        <f t="shared" si="33"/>
        <v>324</v>
      </c>
      <c r="AF34" s="32">
        <f t="shared" si="33"/>
        <v>350</v>
      </c>
      <c r="AG34" s="32">
        <f t="shared" si="33"/>
        <v>378</v>
      </c>
      <c r="AH34" s="32">
        <f t="shared" si="33"/>
        <v>408</v>
      </c>
      <c r="AI34" s="32">
        <f t="shared" si="33"/>
        <v>441</v>
      </c>
      <c r="AJ34" s="32">
        <f t="shared" ref="AJ34:BO34" si="34">ROUND(AJ32*AJ33, 0)</f>
        <v>476</v>
      </c>
      <c r="AK34" s="32">
        <f t="shared" si="34"/>
        <v>514</v>
      </c>
      <c r="AL34" s="32">
        <f t="shared" si="34"/>
        <v>555</v>
      </c>
      <c r="AM34" s="32">
        <f t="shared" si="34"/>
        <v>599</v>
      </c>
      <c r="AN34" s="32">
        <f t="shared" si="34"/>
        <v>647</v>
      </c>
      <c r="AO34" s="32">
        <f t="shared" si="34"/>
        <v>699</v>
      </c>
      <c r="AP34" s="32">
        <f t="shared" si="34"/>
        <v>755</v>
      </c>
      <c r="AQ34" s="32">
        <f t="shared" si="34"/>
        <v>815</v>
      </c>
      <c r="AR34" s="32">
        <f t="shared" si="34"/>
        <v>881</v>
      </c>
      <c r="AS34" s="32">
        <f t="shared" si="34"/>
        <v>951</v>
      </c>
      <c r="AT34" s="32">
        <f t="shared" si="34"/>
        <v>1027</v>
      </c>
      <c r="AU34" s="32">
        <f t="shared" si="34"/>
        <v>1109</v>
      </c>
      <c r="AV34" s="32">
        <f t="shared" si="34"/>
        <v>1198</v>
      </c>
      <c r="AW34" s="32">
        <f t="shared" si="34"/>
        <v>1294</v>
      </c>
      <c r="AX34" s="32">
        <f t="shared" si="34"/>
        <v>1398</v>
      </c>
      <c r="AY34" s="32">
        <f t="shared" si="34"/>
        <v>1509</v>
      </c>
      <c r="AZ34" s="32">
        <f t="shared" si="34"/>
        <v>1630</v>
      </c>
      <c r="BA34" s="32">
        <f t="shared" si="34"/>
        <v>1761</v>
      </c>
      <c r="BB34" s="32">
        <f t="shared" si="34"/>
        <v>1901</v>
      </c>
      <c r="BC34" s="32">
        <f t="shared" si="34"/>
        <v>2054</v>
      </c>
      <c r="BD34" s="32">
        <f t="shared" si="34"/>
        <v>2218</v>
      </c>
      <c r="BE34" s="32">
        <f t="shared" si="34"/>
        <v>2395</v>
      </c>
      <c r="BF34" s="32">
        <f t="shared" si="34"/>
        <v>2587</v>
      </c>
      <c r="BG34" s="32">
        <f t="shared" si="34"/>
        <v>2794</v>
      </c>
      <c r="BH34" s="32">
        <f t="shared" si="34"/>
        <v>3017</v>
      </c>
      <c r="BI34" s="32">
        <f t="shared" si="34"/>
        <v>3259</v>
      </c>
      <c r="BJ34" s="32">
        <f t="shared" si="34"/>
        <v>3519</v>
      </c>
      <c r="BK34" s="32">
        <f t="shared" si="34"/>
        <v>3801</v>
      </c>
      <c r="BL34" s="32">
        <f t="shared" si="34"/>
        <v>4105</v>
      </c>
      <c r="BM34" s="32">
        <f t="shared" si="34"/>
        <v>4433</v>
      </c>
      <c r="BN34" s="32">
        <f t="shared" si="34"/>
        <v>4788</v>
      </c>
      <c r="BO34" s="32">
        <f t="shared" si="34"/>
        <v>5171</v>
      </c>
      <c r="BP34" s="32">
        <f t="shared" ref="BP34:CU34" si="35">ROUND(BP32*BP33, 0)</f>
        <v>5585</v>
      </c>
      <c r="BQ34" s="32">
        <f t="shared" si="35"/>
        <v>6032</v>
      </c>
      <c r="BR34" s="32">
        <f t="shared" si="35"/>
        <v>6514</v>
      </c>
      <c r="BS34" s="32">
        <f t="shared" si="35"/>
        <v>7035</v>
      </c>
      <c r="BT34" s="32">
        <f t="shared" si="35"/>
        <v>7598</v>
      </c>
      <c r="BU34" s="32">
        <f t="shared" si="35"/>
        <v>8206</v>
      </c>
      <c r="BV34" s="32">
        <f t="shared" si="35"/>
        <v>8862</v>
      </c>
      <c r="BW34" s="32">
        <f t="shared" si="35"/>
        <v>9571</v>
      </c>
      <c r="BX34" s="32">
        <f t="shared" si="35"/>
        <v>10337</v>
      </c>
      <c r="BY34" s="32">
        <f t="shared" si="35"/>
        <v>11164</v>
      </c>
      <c r="BZ34" s="32">
        <f t="shared" si="35"/>
        <v>12057</v>
      </c>
      <c r="CA34" s="32">
        <f t="shared" si="35"/>
        <v>13022</v>
      </c>
      <c r="CB34" s="32">
        <f t="shared" si="35"/>
        <v>14063</v>
      </c>
      <c r="CC34" s="32">
        <f t="shared" si="35"/>
        <v>15188</v>
      </c>
      <c r="CD34" s="32">
        <f t="shared" si="35"/>
        <v>16404</v>
      </c>
      <c r="CE34" s="32">
        <f t="shared" si="35"/>
        <v>17716</v>
      </c>
      <c r="CF34" s="32">
        <f t="shared" si="35"/>
        <v>19133</v>
      </c>
      <c r="CG34" s="32">
        <f t="shared" si="35"/>
        <v>20664</v>
      </c>
      <c r="CH34" s="32">
        <f t="shared" si="35"/>
        <v>22317</v>
      </c>
      <c r="CI34" s="32">
        <f t="shared" si="35"/>
        <v>24102</v>
      </c>
    </row>
    <row r="35" spans="1:87" ht="16.5">
      <c r="A35" s="6" t="s">
        <v>464</v>
      </c>
      <c r="B35" s="30" t="s">
        <v>465</v>
      </c>
      <c r="C35" s="17" t="s">
        <v>466</v>
      </c>
      <c r="D35" s="33">
        <f>'1_PANEL_CONTROL'!$C$80+'1_PANEL_CONTROL'!$C$69+'1_PANEL_CONTROL'!$C$68</f>
        <v>2955</v>
      </c>
      <c r="E35" s="33">
        <f>'1_PANEL_CONTROL'!$C$80+'1_PANEL_CONTROL'!$C$69+'1_PANEL_CONTROL'!$C$68</f>
        <v>2955</v>
      </c>
      <c r="F35" s="33">
        <f>'1_PANEL_CONTROL'!$C$80+'1_PANEL_CONTROL'!$C$69+'1_PANEL_CONTROL'!$C$68</f>
        <v>2955</v>
      </c>
      <c r="G35" s="33">
        <f>'1_PANEL_CONTROL'!$C$80+'1_PANEL_CONTROL'!$C$69+'1_PANEL_CONTROL'!$C$68</f>
        <v>2955</v>
      </c>
      <c r="H35" s="33">
        <f>'1_PANEL_CONTROL'!$C$80+'1_PANEL_CONTROL'!$C$69+'1_PANEL_CONTROL'!$C$68</f>
        <v>2955</v>
      </c>
      <c r="I35" s="33">
        <f>'1_PANEL_CONTROL'!$C$80+'1_PANEL_CONTROL'!$C$69+'1_PANEL_CONTROL'!$C$68</f>
        <v>2955</v>
      </c>
      <c r="J35" s="33">
        <f>'1_PANEL_CONTROL'!$C$80+'1_PANEL_CONTROL'!$C$69+'1_PANEL_CONTROL'!$C$68</f>
        <v>2955</v>
      </c>
      <c r="K35" s="33">
        <f>'1_PANEL_CONTROL'!$C$80+'1_PANEL_CONTROL'!$C$69+'1_PANEL_CONTROL'!$C$68</f>
        <v>2955</v>
      </c>
      <c r="L35" s="33">
        <f>'1_PANEL_CONTROL'!$C$80+'1_PANEL_CONTROL'!$C$69+'1_PANEL_CONTROL'!$C$68</f>
        <v>2955</v>
      </c>
      <c r="M35" s="33">
        <f>'1_PANEL_CONTROL'!$C$80+'1_PANEL_CONTROL'!$C$69+'1_PANEL_CONTROL'!$C$68</f>
        <v>2955</v>
      </c>
      <c r="N35" s="33">
        <f>'1_PANEL_CONTROL'!$C$80+'1_PANEL_CONTROL'!$C$69+'1_PANEL_CONTROL'!$C$68</f>
        <v>2955</v>
      </c>
      <c r="O35" s="33">
        <f>'1_PANEL_CONTROL'!$C$80+'1_PANEL_CONTROL'!$C$69+'1_PANEL_CONTROL'!$C$68</f>
        <v>2955</v>
      </c>
      <c r="P35" s="33">
        <f>'1_PANEL_CONTROL'!$C$80+'1_PANEL_CONTROL'!$C$69+'1_PANEL_CONTROL'!$C$68</f>
        <v>2955</v>
      </c>
      <c r="Q35" s="33">
        <f>'1_PANEL_CONTROL'!$C$80+'1_PANEL_CONTROL'!$C$69+'1_PANEL_CONTROL'!$C$68</f>
        <v>2955</v>
      </c>
      <c r="R35" s="33">
        <f>'1_PANEL_CONTROL'!$C$80+'1_PANEL_CONTROL'!$C$69+'1_PANEL_CONTROL'!$C$68</f>
        <v>2955</v>
      </c>
      <c r="S35" s="33">
        <f>'1_PANEL_CONTROL'!$C$80+'1_PANEL_CONTROL'!$C$69+'1_PANEL_CONTROL'!$C$68</f>
        <v>2955</v>
      </c>
      <c r="T35" s="33">
        <f>'1_PANEL_CONTROL'!$C$80+'1_PANEL_CONTROL'!$C$69+'1_PANEL_CONTROL'!$C$68</f>
        <v>2955</v>
      </c>
      <c r="U35" s="33">
        <f>'1_PANEL_CONTROL'!$C$80+'1_PANEL_CONTROL'!$C$69+'1_PANEL_CONTROL'!$C$68</f>
        <v>2955</v>
      </c>
      <c r="V35" s="33">
        <f>'1_PANEL_CONTROL'!$C$80+'1_PANEL_CONTROL'!$C$69+'1_PANEL_CONTROL'!$C$68</f>
        <v>2955</v>
      </c>
      <c r="W35" s="33">
        <f>'1_PANEL_CONTROL'!$C$80+'1_PANEL_CONTROL'!$C$69+'1_PANEL_CONTROL'!$C$68</f>
        <v>2955</v>
      </c>
      <c r="X35" s="33">
        <f>'1_PANEL_CONTROL'!$C$80+'1_PANEL_CONTROL'!$C$69+'1_PANEL_CONTROL'!$C$68</f>
        <v>2955</v>
      </c>
      <c r="Y35" s="33">
        <f>'1_PANEL_CONTROL'!$C$80+'1_PANEL_CONTROL'!$C$69+'1_PANEL_CONTROL'!$C$68</f>
        <v>2955</v>
      </c>
      <c r="Z35" s="33">
        <f>'1_PANEL_CONTROL'!$C$80+'1_PANEL_CONTROL'!$C$69+'1_PANEL_CONTROL'!$C$68</f>
        <v>2955</v>
      </c>
      <c r="AA35" s="33">
        <f>'1_PANEL_CONTROL'!$C$80+'1_PANEL_CONTROL'!$C$69+'1_PANEL_CONTROL'!$C$68</f>
        <v>2955</v>
      </c>
      <c r="AB35" s="33">
        <f>'1_PANEL_CONTROL'!$C$80+'1_PANEL_CONTROL'!$C$69+'1_PANEL_CONTROL'!$C$68</f>
        <v>2955</v>
      </c>
      <c r="AC35" s="33">
        <f>'1_PANEL_CONTROL'!$C$80+'1_PANEL_CONTROL'!$C$69+'1_PANEL_CONTROL'!$C$68</f>
        <v>2955</v>
      </c>
      <c r="AD35" s="33">
        <f>'1_PANEL_CONTROL'!$C$80+'1_PANEL_CONTROL'!$C$69+'1_PANEL_CONTROL'!$C$68</f>
        <v>2955</v>
      </c>
      <c r="AE35" s="33">
        <f>'1_PANEL_CONTROL'!$C$80+'1_PANEL_CONTROL'!$C$69+'1_PANEL_CONTROL'!$C$68</f>
        <v>2955</v>
      </c>
      <c r="AF35" s="33">
        <f>'1_PANEL_CONTROL'!$C$80+'1_PANEL_CONTROL'!$C$69+'1_PANEL_CONTROL'!$C$68</f>
        <v>2955</v>
      </c>
      <c r="AG35" s="33">
        <f>'1_PANEL_CONTROL'!$C$80+'1_PANEL_CONTROL'!$C$69+'1_PANEL_CONTROL'!$C$68</f>
        <v>2955</v>
      </c>
      <c r="AH35" s="33">
        <f>'1_PANEL_CONTROL'!$C$80+'1_PANEL_CONTROL'!$C$69+'1_PANEL_CONTROL'!$C$68</f>
        <v>2955</v>
      </c>
      <c r="AI35" s="33">
        <f>'1_PANEL_CONTROL'!$C$80+'1_PANEL_CONTROL'!$C$69+'1_PANEL_CONTROL'!$C$68</f>
        <v>2955</v>
      </c>
      <c r="AJ35" s="33">
        <f>'1_PANEL_CONTROL'!$C$80+'1_PANEL_CONTROL'!$C$69+'1_PANEL_CONTROL'!$C$68</f>
        <v>2955</v>
      </c>
      <c r="AK35" s="33">
        <f>'1_PANEL_CONTROL'!$C$80+'1_PANEL_CONTROL'!$C$69+'1_PANEL_CONTROL'!$C$68</f>
        <v>2955</v>
      </c>
      <c r="AL35" s="33">
        <f>'1_PANEL_CONTROL'!$C$80+'1_PANEL_CONTROL'!$C$69+'1_PANEL_CONTROL'!$C$68</f>
        <v>2955</v>
      </c>
      <c r="AM35" s="33">
        <f>'1_PANEL_CONTROL'!$C$80+'1_PANEL_CONTROL'!$C$69+'1_PANEL_CONTROL'!$C$68</f>
        <v>2955</v>
      </c>
      <c r="AN35" s="33">
        <f>'1_PANEL_CONTROL'!$C$80+'1_PANEL_CONTROL'!$C$69+'1_PANEL_CONTROL'!$C$68</f>
        <v>2955</v>
      </c>
      <c r="AO35" s="33">
        <f>'1_PANEL_CONTROL'!$C$80+'1_PANEL_CONTROL'!$C$69+'1_PANEL_CONTROL'!$C$68</f>
        <v>2955</v>
      </c>
      <c r="AP35" s="33">
        <f>'1_PANEL_CONTROL'!$C$80+'1_PANEL_CONTROL'!$C$69+'1_PANEL_CONTROL'!$C$68</f>
        <v>2955</v>
      </c>
      <c r="AQ35" s="33">
        <f>'1_PANEL_CONTROL'!$C$80+'1_PANEL_CONTROL'!$C$69+'1_PANEL_CONTROL'!$C$68</f>
        <v>2955</v>
      </c>
      <c r="AR35" s="33">
        <f>'1_PANEL_CONTROL'!$C$80+'1_PANEL_CONTROL'!$C$69+'1_PANEL_CONTROL'!$C$68</f>
        <v>2955</v>
      </c>
      <c r="AS35" s="33">
        <f>'1_PANEL_CONTROL'!$C$80+'1_PANEL_CONTROL'!$C$69+'1_PANEL_CONTROL'!$C$68</f>
        <v>2955</v>
      </c>
      <c r="AT35" s="33">
        <f>'1_PANEL_CONTROL'!$C$80+'1_PANEL_CONTROL'!$C$69+'1_PANEL_CONTROL'!$C$68</f>
        <v>2955</v>
      </c>
      <c r="AU35" s="33">
        <f>'1_PANEL_CONTROL'!$C$80+'1_PANEL_CONTROL'!$C$69+'1_PANEL_CONTROL'!$C$68</f>
        <v>2955</v>
      </c>
      <c r="AV35" s="33">
        <f>'1_PANEL_CONTROL'!$C$80+'1_PANEL_CONTROL'!$C$69+'1_PANEL_CONTROL'!$C$68</f>
        <v>2955</v>
      </c>
      <c r="AW35" s="33">
        <f>'1_PANEL_CONTROL'!$C$80+'1_PANEL_CONTROL'!$C$69+'1_PANEL_CONTROL'!$C$68</f>
        <v>2955</v>
      </c>
      <c r="AX35" s="33">
        <f>'1_PANEL_CONTROL'!$C$80+'1_PANEL_CONTROL'!$C$69+'1_PANEL_CONTROL'!$C$68</f>
        <v>2955</v>
      </c>
      <c r="AY35" s="33">
        <f>'1_PANEL_CONTROL'!$C$80+'1_PANEL_CONTROL'!$C$69+'1_PANEL_CONTROL'!$C$68</f>
        <v>2955</v>
      </c>
      <c r="AZ35" s="33">
        <f>'1_PANEL_CONTROL'!$C$80+'1_PANEL_CONTROL'!$C$69+'1_PANEL_CONTROL'!$C$68</f>
        <v>2955</v>
      </c>
      <c r="BA35" s="33">
        <f>'1_PANEL_CONTROL'!$C$80+'1_PANEL_CONTROL'!$C$69+'1_PANEL_CONTROL'!$C$68</f>
        <v>2955</v>
      </c>
      <c r="BB35" s="33">
        <f>'1_PANEL_CONTROL'!$C$80+'1_PANEL_CONTROL'!$C$69+'1_PANEL_CONTROL'!$C$68</f>
        <v>2955</v>
      </c>
      <c r="BC35" s="33">
        <f>'1_PANEL_CONTROL'!$C$80+'1_PANEL_CONTROL'!$C$69+'1_PANEL_CONTROL'!$C$68</f>
        <v>2955</v>
      </c>
      <c r="BD35" s="33">
        <f>'1_PANEL_CONTROL'!$C$80+'1_PANEL_CONTROL'!$C$69+'1_PANEL_CONTROL'!$C$68</f>
        <v>2955</v>
      </c>
      <c r="BE35" s="33">
        <f>'1_PANEL_CONTROL'!$C$80+'1_PANEL_CONTROL'!$C$69+'1_PANEL_CONTROL'!$C$68</f>
        <v>2955</v>
      </c>
      <c r="BF35" s="33">
        <f>'1_PANEL_CONTROL'!$C$80+'1_PANEL_CONTROL'!$C$69+'1_PANEL_CONTROL'!$C$68</f>
        <v>2955</v>
      </c>
      <c r="BG35" s="33">
        <f>'1_PANEL_CONTROL'!$C$80+'1_PANEL_CONTROL'!$C$69+'1_PANEL_CONTROL'!$C$68</f>
        <v>2955</v>
      </c>
      <c r="BH35" s="33">
        <f>'1_PANEL_CONTROL'!$C$80+'1_PANEL_CONTROL'!$C$69+'1_PANEL_CONTROL'!$C$68</f>
        <v>2955</v>
      </c>
      <c r="BI35" s="33">
        <f>'1_PANEL_CONTROL'!$C$80+'1_PANEL_CONTROL'!$C$69+'1_PANEL_CONTROL'!$C$68</f>
        <v>2955</v>
      </c>
      <c r="BJ35" s="33">
        <f>'1_PANEL_CONTROL'!$C$80+'1_PANEL_CONTROL'!$C$69+'1_PANEL_CONTROL'!$C$68</f>
        <v>2955</v>
      </c>
      <c r="BK35" s="33">
        <f>'1_PANEL_CONTROL'!$C$80+'1_PANEL_CONTROL'!$C$69+'1_PANEL_CONTROL'!$C$68</f>
        <v>2955</v>
      </c>
      <c r="BL35" s="33">
        <f>'1_PANEL_CONTROL'!$C$80+'1_PANEL_CONTROL'!$C$69+'1_PANEL_CONTROL'!$C$68</f>
        <v>2955</v>
      </c>
      <c r="BM35" s="33">
        <f>'1_PANEL_CONTROL'!$C$80+'1_PANEL_CONTROL'!$C$69+'1_PANEL_CONTROL'!$C$68</f>
        <v>2955</v>
      </c>
      <c r="BN35" s="33">
        <f>'1_PANEL_CONTROL'!$C$80+'1_PANEL_CONTROL'!$C$69+'1_PANEL_CONTROL'!$C$68</f>
        <v>2955</v>
      </c>
      <c r="BO35" s="33">
        <f>'1_PANEL_CONTROL'!$C$80+'1_PANEL_CONTROL'!$C$69+'1_PANEL_CONTROL'!$C$68</f>
        <v>2955</v>
      </c>
      <c r="BP35" s="33">
        <f>'1_PANEL_CONTROL'!$C$80+'1_PANEL_CONTROL'!$C$69+'1_PANEL_CONTROL'!$C$68</f>
        <v>2955</v>
      </c>
      <c r="BQ35" s="33">
        <f>'1_PANEL_CONTROL'!$C$80+'1_PANEL_CONTROL'!$C$69+'1_PANEL_CONTROL'!$C$68</f>
        <v>2955</v>
      </c>
      <c r="BR35" s="33">
        <f>'1_PANEL_CONTROL'!$C$80+'1_PANEL_CONTROL'!$C$69+'1_PANEL_CONTROL'!$C$68</f>
        <v>2955</v>
      </c>
      <c r="BS35" s="33">
        <f>'1_PANEL_CONTROL'!$C$80+'1_PANEL_CONTROL'!$C$69+'1_PANEL_CONTROL'!$C$68</f>
        <v>2955</v>
      </c>
      <c r="BT35" s="33">
        <f>'1_PANEL_CONTROL'!$C$80+'1_PANEL_CONTROL'!$C$69+'1_PANEL_CONTROL'!$C$68</f>
        <v>2955</v>
      </c>
      <c r="BU35" s="33">
        <f>'1_PANEL_CONTROL'!$C$80+'1_PANEL_CONTROL'!$C$69+'1_PANEL_CONTROL'!$C$68</f>
        <v>2955</v>
      </c>
      <c r="BV35" s="33">
        <f>'1_PANEL_CONTROL'!$C$80+'1_PANEL_CONTROL'!$C$69+'1_PANEL_CONTROL'!$C$68</f>
        <v>2955</v>
      </c>
      <c r="BW35" s="33">
        <f>'1_PANEL_CONTROL'!$C$80+'1_PANEL_CONTROL'!$C$69+'1_PANEL_CONTROL'!$C$68</f>
        <v>2955</v>
      </c>
      <c r="BX35" s="33">
        <f>'1_PANEL_CONTROL'!$C$80+'1_PANEL_CONTROL'!$C$69+'1_PANEL_CONTROL'!$C$68</f>
        <v>2955</v>
      </c>
      <c r="BY35" s="33">
        <f>'1_PANEL_CONTROL'!$C$80+'1_PANEL_CONTROL'!$C$69+'1_PANEL_CONTROL'!$C$68</f>
        <v>2955</v>
      </c>
      <c r="BZ35" s="33">
        <f>'1_PANEL_CONTROL'!$C$80+'1_PANEL_CONTROL'!$C$69+'1_PANEL_CONTROL'!$C$68</f>
        <v>2955</v>
      </c>
      <c r="CA35" s="33">
        <f>'1_PANEL_CONTROL'!$C$80+'1_PANEL_CONTROL'!$C$69+'1_PANEL_CONTROL'!$C$68</f>
        <v>2955</v>
      </c>
      <c r="CB35" s="33">
        <f>'1_PANEL_CONTROL'!$C$80+'1_PANEL_CONTROL'!$C$69+'1_PANEL_CONTROL'!$C$68</f>
        <v>2955</v>
      </c>
      <c r="CC35" s="33">
        <f>'1_PANEL_CONTROL'!$C$80+'1_PANEL_CONTROL'!$C$69+'1_PANEL_CONTROL'!$C$68</f>
        <v>2955</v>
      </c>
      <c r="CD35" s="33">
        <f>'1_PANEL_CONTROL'!$C$80+'1_PANEL_CONTROL'!$C$69+'1_PANEL_CONTROL'!$C$68</f>
        <v>2955</v>
      </c>
      <c r="CE35" s="33">
        <f>'1_PANEL_CONTROL'!$C$80+'1_PANEL_CONTROL'!$C$69+'1_PANEL_CONTROL'!$C$68</f>
        <v>2955</v>
      </c>
      <c r="CF35" s="33">
        <f>'1_PANEL_CONTROL'!$C$80+'1_PANEL_CONTROL'!$C$69+'1_PANEL_CONTROL'!$C$68</f>
        <v>2955</v>
      </c>
      <c r="CG35" s="33">
        <f>'1_PANEL_CONTROL'!$C$80+'1_PANEL_CONTROL'!$C$69+'1_PANEL_CONTROL'!$C$68</f>
        <v>2955</v>
      </c>
      <c r="CH35" s="33">
        <f>'1_PANEL_CONTROL'!$C$80+'1_PANEL_CONTROL'!$C$69+'1_PANEL_CONTROL'!$C$68</f>
        <v>2955</v>
      </c>
      <c r="CI35" s="33">
        <f>'1_PANEL_CONTROL'!$C$80+'1_PANEL_CONTROL'!$C$69+'1_PANEL_CONTROL'!$C$68</f>
        <v>2955</v>
      </c>
    </row>
    <row r="36" spans="1:87" ht="16.5">
      <c r="A36" s="6" t="s">
        <v>467</v>
      </c>
      <c r="B36" s="30" t="s">
        <v>465</v>
      </c>
      <c r="C36" s="17" t="s">
        <v>492</v>
      </c>
      <c r="D36" s="33">
        <v>11</v>
      </c>
      <c r="E36" s="33">
        <v>11</v>
      </c>
      <c r="F36" s="33">
        <v>11</v>
      </c>
      <c r="G36" s="33">
        <v>11</v>
      </c>
      <c r="H36" s="33">
        <v>11</v>
      </c>
      <c r="I36" s="33">
        <v>11</v>
      </c>
      <c r="J36" s="33">
        <v>11</v>
      </c>
      <c r="K36" s="33">
        <v>11</v>
      </c>
      <c r="L36" s="33">
        <v>11</v>
      </c>
      <c r="M36" s="33">
        <v>11</v>
      </c>
      <c r="N36" s="33">
        <v>11</v>
      </c>
      <c r="O36" s="33">
        <v>11</v>
      </c>
      <c r="P36" s="33">
        <v>11</v>
      </c>
      <c r="Q36" s="33">
        <v>11</v>
      </c>
      <c r="R36" s="33">
        <v>11</v>
      </c>
      <c r="S36" s="33">
        <v>11</v>
      </c>
      <c r="T36" s="33">
        <v>11</v>
      </c>
      <c r="U36" s="33">
        <v>11</v>
      </c>
      <c r="V36" s="33">
        <v>11</v>
      </c>
      <c r="W36" s="33">
        <v>11</v>
      </c>
      <c r="X36" s="33">
        <v>11</v>
      </c>
      <c r="Y36" s="33">
        <v>11</v>
      </c>
      <c r="Z36" s="33">
        <v>11</v>
      </c>
      <c r="AA36" s="33">
        <v>11</v>
      </c>
      <c r="AB36" s="33">
        <v>11</v>
      </c>
      <c r="AC36" s="33">
        <v>11</v>
      </c>
      <c r="AD36" s="33">
        <v>11</v>
      </c>
      <c r="AE36" s="33">
        <v>11</v>
      </c>
      <c r="AF36" s="33">
        <v>11</v>
      </c>
      <c r="AG36" s="33">
        <v>11</v>
      </c>
      <c r="AH36" s="33">
        <v>11</v>
      </c>
      <c r="AI36" s="33">
        <v>11</v>
      </c>
      <c r="AJ36" s="33">
        <v>11</v>
      </c>
      <c r="AK36" s="33">
        <v>11</v>
      </c>
      <c r="AL36" s="33">
        <v>11</v>
      </c>
      <c r="AM36" s="33">
        <v>11</v>
      </c>
      <c r="AN36" s="33">
        <v>11</v>
      </c>
      <c r="AO36" s="33">
        <v>11</v>
      </c>
      <c r="AP36" s="33">
        <v>11</v>
      </c>
      <c r="AQ36" s="33">
        <v>11</v>
      </c>
      <c r="AR36" s="33">
        <v>11</v>
      </c>
      <c r="AS36" s="33">
        <v>11</v>
      </c>
      <c r="AT36" s="33">
        <v>11</v>
      </c>
      <c r="AU36" s="33">
        <v>11</v>
      </c>
      <c r="AV36" s="33">
        <v>11</v>
      </c>
      <c r="AW36" s="33">
        <v>11</v>
      </c>
      <c r="AX36" s="33">
        <v>11</v>
      </c>
      <c r="AY36" s="33">
        <v>11</v>
      </c>
      <c r="AZ36" s="33">
        <v>11</v>
      </c>
      <c r="BA36" s="33">
        <v>11</v>
      </c>
      <c r="BB36" s="33">
        <v>11</v>
      </c>
      <c r="BC36" s="33">
        <v>11</v>
      </c>
      <c r="BD36" s="33">
        <v>11</v>
      </c>
      <c r="BE36" s="33">
        <v>11</v>
      </c>
      <c r="BF36" s="33">
        <v>11</v>
      </c>
      <c r="BG36" s="33">
        <v>11</v>
      </c>
      <c r="BH36" s="33">
        <v>11</v>
      </c>
      <c r="BI36" s="33">
        <v>11</v>
      </c>
      <c r="BJ36" s="33">
        <v>11</v>
      </c>
      <c r="BK36" s="33">
        <v>11</v>
      </c>
      <c r="BL36" s="33">
        <v>11</v>
      </c>
      <c r="BM36" s="33">
        <v>11</v>
      </c>
      <c r="BN36" s="33">
        <v>11</v>
      </c>
      <c r="BO36" s="33">
        <v>11</v>
      </c>
      <c r="BP36" s="33">
        <v>11</v>
      </c>
      <c r="BQ36" s="33">
        <v>11</v>
      </c>
      <c r="BR36" s="33">
        <v>11</v>
      </c>
      <c r="BS36" s="33">
        <v>11</v>
      </c>
      <c r="BT36" s="33">
        <v>11</v>
      </c>
      <c r="BU36" s="33">
        <v>11</v>
      </c>
      <c r="BV36" s="33">
        <v>11</v>
      </c>
      <c r="BW36" s="33">
        <v>11</v>
      </c>
      <c r="BX36" s="33">
        <v>11</v>
      </c>
      <c r="BY36" s="33">
        <v>11</v>
      </c>
      <c r="BZ36" s="33">
        <v>11</v>
      </c>
      <c r="CA36" s="33">
        <v>11</v>
      </c>
      <c r="CB36" s="33">
        <v>11</v>
      </c>
      <c r="CC36" s="33">
        <v>11</v>
      </c>
      <c r="CD36" s="33">
        <v>11</v>
      </c>
      <c r="CE36" s="33">
        <v>11</v>
      </c>
      <c r="CF36" s="33">
        <v>11</v>
      </c>
      <c r="CG36" s="33">
        <v>11</v>
      </c>
      <c r="CH36" s="33">
        <v>11</v>
      </c>
      <c r="CI36" s="33">
        <v>11</v>
      </c>
    </row>
    <row r="37" spans="1:87" ht="16.5">
      <c r="A37" s="6" t="s">
        <v>469</v>
      </c>
      <c r="B37" s="30" t="s">
        <v>458</v>
      </c>
      <c r="C37" s="17" t="s">
        <v>470</v>
      </c>
      <c r="D37" s="32">
        <f t="shared" ref="D37:AI37" si="36">ROUND(D35/D36, 0)</f>
        <v>269</v>
      </c>
      <c r="E37" s="32">
        <f t="shared" si="36"/>
        <v>269</v>
      </c>
      <c r="F37" s="32">
        <f t="shared" si="36"/>
        <v>269</v>
      </c>
      <c r="G37" s="32">
        <f t="shared" si="36"/>
        <v>269</v>
      </c>
      <c r="H37" s="32">
        <f t="shared" si="36"/>
        <v>269</v>
      </c>
      <c r="I37" s="32">
        <f t="shared" si="36"/>
        <v>269</v>
      </c>
      <c r="J37" s="32">
        <f t="shared" si="36"/>
        <v>269</v>
      </c>
      <c r="K37" s="32">
        <f t="shared" si="36"/>
        <v>269</v>
      </c>
      <c r="L37" s="32">
        <f t="shared" si="36"/>
        <v>269</v>
      </c>
      <c r="M37" s="32">
        <f t="shared" si="36"/>
        <v>269</v>
      </c>
      <c r="N37" s="32">
        <f t="shared" si="36"/>
        <v>269</v>
      </c>
      <c r="O37" s="32">
        <f t="shared" si="36"/>
        <v>269</v>
      </c>
      <c r="P37" s="32">
        <f t="shared" si="36"/>
        <v>269</v>
      </c>
      <c r="Q37" s="32">
        <f t="shared" si="36"/>
        <v>269</v>
      </c>
      <c r="R37" s="32">
        <f t="shared" si="36"/>
        <v>269</v>
      </c>
      <c r="S37" s="32">
        <f t="shared" si="36"/>
        <v>269</v>
      </c>
      <c r="T37" s="32">
        <f t="shared" si="36"/>
        <v>269</v>
      </c>
      <c r="U37" s="32">
        <f t="shared" si="36"/>
        <v>269</v>
      </c>
      <c r="V37" s="32">
        <f t="shared" si="36"/>
        <v>269</v>
      </c>
      <c r="W37" s="32">
        <f t="shared" si="36"/>
        <v>269</v>
      </c>
      <c r="X37" s="32">
        <f t="shared" si="36"/>
        <v>269</v>
      </c>
      <c r="Y37" s="32">
        <f t="shared" si="36"/>
        <v>269</v>
      </c>
      <c r="Z37" s="32">
        <f t="shared" si="36"/>
        <v>269</v>
      </c>
      <c r="AA37" s="32">
        <f t="shared" si="36"/>
        <v>269</v>
      </c>
      <c r="AB37" s="32">
        <f t="shared" si="36"/>
        <v>269</v>
      </c>
      <c r="AC37" s="32">
        <f t="shared" si="36"/>
        <v>269</v>
      </c>
      <c r="AD37" s="32">
        <f t="shared" si="36"/>
        <v>269</v>
      </c>
      <c r="AE37" s="32">
        <f t="shared" si="36"/>
        <v>269</v>
      </c>
      <c r="AF37" s="32">
        <f t="shared" si="36"/>
        <v>269</v>
      </c>
      <c r="AG37" s="32">
        <f t="shared" si="36"/>
        <v>269</v>
      </c>
      <c r="AH37" s="32">
        <f t="shared" si="36"/>
        <v>269</v>
      </c>
      <c r="AI37" s="32">
        <f t="shared" si="36"/>
        <v>269</v>
      </c>
      <c r="AJ37" s="32">
        <f t="shared" ref="AJ37:BO37" si="37">ROUND(AJ35/AJ36, 0)</f>
        <v>269</v>
      </c>
      <c r="AK37" s="32">
        <f t="shared" si="37"/>
        <v>269</v>
      </c>
      <c r="AL37" s="32">
        <f t="shared" si="37"/>
        <v>269</v>
      </c>
      <c r="AM37" s="32">
        <f t="shared" si="37"/>
        <v>269</v>
      </c>
      <c r="AN37" s="32">
        <f t="shared" si="37"/>
        <v>269</v>
      </c>
      <c r="AO37" s="32">
        <f t="shared" si="37"/>
        <v>269</v>
      </c>
      <c r="AP37" s="32">
        <f t="shared" si="37"/>
        <v>269</v>
      </c>
      <c r="AQ37" s="32">
        <f t="shared" si="37"/>
        <v>269</v>
      </c>
      <c r="AR37" s="32">
        <f t="shared" si="37"/>
        <v>269</v>
      </c>
      <c r="AS37" s="32">
        <f t="shared" si="37"/>
        <v>269</v>
      </c>
      <c r="AT37" s="32">
        <f t="shared" si="37"/>
        <v>269</v>
      </c>
      <c r="AU37" s="32">
        <f t="shared" si="37"/>
        <v>269</v>
      </c>
      <c r="AV37" s="32">
        <f t="shared" si="37"/>
        <v>269</v>
      </c>
      <c r="AW37" s="32">
        <f t="shared" si="37"/>
        <v>269</v>
      </c>
      <c r="AX37" s="32">
        <f t="shared" si="37"/>
        <v>269</v>
      </c>
      <c r="AY37" s="32">
        <f t="shared" si="37"/>
        <v>269</v>
      </c>
      <c r="AZ37" s="32">
        <f t="shared" si="37"/>
        <v>269</v>
      </c>
      <c r="BA37" s="32">
        <f t="shared" si="37"/>
        <v>269</v>
      </c>
      <c r="BB37" s="32">
        <f t="shared" si="37"/>
        <v>269</v>
      </c>
      <c r="BC37" s="32">
        <f t="shared" si="37"/>
        <v>269</v>
      </c>
      <c r="BD37" s="32">
        <f t="shared" si="37"/>
        <v>269</v>
      </c>
      <c r="BE37" s="32">
        <f t="shared" si="37"/>
        <v>269</v>
      </c>
      <c r="BF37" s="32">
        <f t="shared" si="37"/>
        <v>269</v>
      </c>
      <c r="BG37" s="32">
        <f t="shared" si="37"/>
        <v>269</v>
      </c>
      <c r="BH37" s="32">
        <f t="shared" si="37"/>
        <v>269</v>
      </c>
      <c r="BI37" s="32">
        <f t="shared" si="37"/>
        <v>269</v>
      </c>
      <c r="BJ37" s="32">
        <f t="shared" si="37"/>
        <v>269</v>
      </c>
      <c r="BK37" s="32">
        <f t="shared" si="37"/>
        <v>269</v>
      </c>
      <c r="BL37" s="32">
        <f t="shared" si="37"/>
        <v>269</v>
      </c>
      <c r="BM37" s="32">
        <f t="shared" si="37"/>
        <v>269</v>
      </c>
      <c r="BN37" s="32">
        <f t="shared" si="37"/>
        <v>269</v>
      </c>
      <c r="BO37" s="32">
        <f t="shared" si="37"/>
        <v>269</v>
      </c>
      <c r="BP37" s="32">
        <f t="shared" ref="BP37:CU37" si="38">ROUND(BP35/BP36, 0)</f>
        <v>269</v>
      </c>
      <c r="BQ37" s="32">
        <f t="shared" si="38"/>
        <v>269</v>
      </c>
      <c r="BR37" s="32">
        <f t="shared" si="38"/>
        <v>269</v>
      </c>
      <c r="BS37" s="32">
        <f t="shared" si="38"/>
        <v>269</v>
      </c>
      <c r="BT37" s="32">
        <f t="shared" si="38"/>
        <v>269</v>
      </c>
      <c r="BU37" s="32">
        <f t="shared" si="38"/>
        <v>269</v>
      </c>
      <c r="BV37" s="32">
        <f t="shared" si="38"/>
        <v>269</v>
      </c>
      <c r="BW37" s="32">
        <f t="shared" si="38"/>
        <v>269</v>
      </c>
      <c r="BX37" s="32">
        <f t="shared" si="38"/>
        <v>269</v>
      </c>
      <c r="BY37" s="32">
        <f t="shared" si="38"/>
        <v>269</v>
      </c>
      <c r="BZ37" s="32">
        <f t="shared" si="38"/>
        <v>269</v>
      </c>
      <c r="CA37" s="32">
        <f t="shared" si="38"/>
        <v>269</v>
      </c>
      <c r="CB37" s="32">
        <f t="shared" si="38"/>
        <v>269</v>
      </c>
      <c r="CC37" s="32">
        <f t="shared" si="38"/>
        <v>269</v>
      </c>
      <c r="CD37" s="32">
        <f t="shared" si="38"/>
        <v>269</v>
      </c>
      <c r="CE37" s="32">
        <f t="shared" si="38"/>
        <v>269</v>
      </c>
      <c r="CF37" s="32">
        <f t="shared" si="38"/>
        <v>269</v>
      </c>
      <c r="CG37" s="32">
        <f t="shared" si="38"/>
        <v>269</v>
      </c>
      <c r="CH37" s="32">
        <f t="shared" si="38"/>
        <v>269</v>
      </c>
      <c r="CI37" s="32">
        <f t="shared" si="38"/>
        <v>269</v>
      </c>
    </row>
    <row r="38" spans="1:87" ht="16.5">
      <c r="A38" s="6" t="s">
        <v>471</v>
      </c>
      <c r="B38" s="30" t="s">
        <v>458</v>
      </c>
      <c r="C38" s="17" t="s">
        <v>472</v>
      </c>
      <c r="D38" s="32">
        <f t="shared" ref="D38:AI38" si="39">ROUND(D37*D33, 0)</f>
        <v>5</v>
      </c>
      <c r="E38" s="32">
        <f t="shared" si="39"/>
        <v>5</v>
      </c>
      <c r="F38" s="32">
        <f t="shared" si="39"/>
        <v>5</v>
      </c>
      <c r="G38" s="32">
        <f t="shared" si="39"/>
        <v>5</v>
      </c>
      <c r="H38" s="32">
        <f t="shared" si="39"/>
        <v>5</v>
      </c>
      <c r="I38" s="32">
        <f t="shared" si="39"/>
        <v>5</v>
      </c>
      <c r="J38" s="32">
        <f t="shared" si="39"/>
        <v>5</v>
      </c>
      <c r="K38" s="32">
        <f t="shared" si="39"/>
        <v>5</v>
      </c>
      <c r="L38" s="32">
        <f t="shared" si="39"/>
        <v>5</v>
      </c>
      <c r="M38" s="32">
        <f t="shared" si="39"/>
        <v>5</v>
      </c>
      <c r="N38" s="32">
        <f t="shared" si="39"/>
        <v>5</v>
      </c>
      <c r="O38" s="32">
        <f t="shared" si="39"/>
        <v>5</v>
      </c>
      <c r="P38" s="32">
        <f t="shared" si="39"/>
        <v>5</v>
      </c>
      <c r="Q38" s="32">
        <f t="shared" si="39"/>
        <v>5</v>
      </c>
      <c r="R38" s="32">
        <f t="shared" si="39"/>
        <v>5</v>
      </c>
      <c r="S38" s="32">
        <f t="shared" si="39"/>
        <v>5</v>
      </c>
      <c r="T38" s="32">
        <f t="shared" si="39"/>
        <v>5</v>
      </c>
      <c r="U38" s="32">
        <f t="shared" si="39"/>
        <v>5</v>
      </c>
      <c r="V38" s="32">
        <f t="shared" si="39"/>
        <v>5</v>
      </c>
      <c r="W38" s="32">
        <f t="shared" si="39"/>
        <v>5</v>
      </c>
      <c r="X38" s="32">
        <f t="shared" si="39"/>
        <v>5</v>
      </c>
      <c r="Y38" s="32">
        <f t="shared" si="39"/>
        <v>5</v>
      </c>
      <c r="Z38" s="32">
        <f t="shared" si="39"/>
        <v>5</v>
      </c>
      <c r="AA38" s="32">
        <f t="shared" si="39"/>
        <v>5</v>
      </c>
      <c r="AB38" s="32">
        <f t="shared" si="39"/>
        <v>5</v>
      </c>
      <c r="AC38" s="32">
        <f t="shared" si="39"/>
        <v>5</v>
      </c>
      <c r="AD38" s="32">
        <f t="shared" si="39"/>
        <v>5</v>
      </c>
      <c r="AE38" s="32">
        <f t="shared" si="39"/>
        <v>5</v>
      </c>
      <c r="AF38" s="32">
        <f t="shared" si="39"/>
        <v>5</v>
      </c>
      <c r="AG38" s="32">
        <f t="shared" si="39"/>
        <v>5</v>
      </c>
      <c r="AH38" s="32">
        <f t="shared" si="39"/>
        <v>5</v>
      </c>
      <c r="AI38" s="32">
        <f t="shared" si="39"/>
        <v>5</v>
      </c>
      <c r="AJ38" s="32">
        <f t="shared" ref="AJ38:BO38" si="40">ROUND(AJ37*AJ33, 0)</f>
        <v>5</v>
      </c>
      <c r="AK38" s="32">
        <f t="shared" si="40"/>
        <v>5</v>
      </c>
      <c r="AL38" s="32">
        <f t="shared" si="40"/>
        <v>5</v>
      </c>
      <c r="AM38" s="32">
        <f t="shared" si="40"/>
        <v>5</v>
      </c>
      <c r="AN38" s="32">
        <f t="shared" si="40"/>
        <v>5</v>
      </c>
      <c r="AO38" s="32">
        <f t="shared" si="40"/>
        <v>5</v>
      </c>
      <c r="AP38" s="32">
        <f t="shared" si="40"/>
        <v>5</v>
      </c>
      <c r="AQ38" s="32">
        <f t="shared" si="40"/>
        <v>5</v>
      </c>
      <c r="AR38" s="32">
        <f t="shared" si="40"/>
        <v>5</v>
      </c>
      <c r="AS38" s="32">
        <f t="shared" si="40"/>
        <v>5</v>
      </c>
      <c r="AT38" s="32">
        <f t="shared" si="40"/>
        <v>5</v>
      </c>
      <c r="AU38" s="32">
        <f t="shared" si="40"/>
        <v>5</v>
      </c>
      <c r="AV38" s="32">
        <f t="shared" si="40"/>
        <v>5</v>
      </c>
      <c r="AW38" s="32">
        <f t="shared" si="40"/>
        <v>5</v>
      </c>
      <c r="AX38" s="32">
        <f t="shared" si="40"/>
        <v>5</v>
      </c>
      <c r="AY38" s="32">
        <f t="shared" si="40"/>
        <v>5</v>
      </c>
      <c r="AZ38" s="32">
        <f t="shared" si="40"/>
        <v>5</v>
      </c>
      <c r="BA38" s="32">
        <f t="shared" si="40"/>
        <v>5</v>
      </c>
      <c r="BB38" s="32">
        <f t="shared" si="40"/>
        <v>5</v>
      </c>
      <c r="BC38" s="32">
        <f t="shared" si="40"/>
        <v>5</v>
      </c>
      <c r="BD38" s="32">
        <f t="shared" si="40"/>
        <v>5</v>
      </c>
      <c r="BE38" s="32">
        <f t="shared" si="40"/>
        <v>5</v>
      </c>
      <c r="BF38" s="32">
        <f t="shared" si="40"/>
        <v>5</v>
      </c>
      <c r="BG38" s="32">
        <f t="shared" si="40"/>
        <v>5</v>
      </c>
      <c r="BH38" s="32">
        <f t="shared" si="40"/>
        <v>5</v>
      </c>
      <c r="BI38" s="32">
        <f t="shared" si="40"/>
        <v>5</v>
      </c>
      <c r="BJ38" s="32">
        <f t="shared" si="40"/>
        <v>5</v>
      </c>
      <c r="BK38" s="32">
        <f t="shared" si="40"/>
        <v>5</v>
      </c>
      <c r="BL38" s="32">
        <f t="shared" si="40"/>
        <v>5</v>
      </c>
      <c r="BM38" s="32">
        <f t="shared" si="40"/>
        <v>5</v>
      </c>
      <c r="BN38" s="32">
        <f t="shared" si="40"/>
        <v>5</v>
      </c>
      <c r="BO38" s="32">
        <f t="shared" si="40"/>
        <v>5</v>
      </c>
      <c r="BP38" s="32">
        <f t="shared" ref="BP38:CU38" si="41">ROUND(BP37*BP33, 0)</f>
        <v>5</v>
      </c>
      <c r="BQ38" s="32">
        <f t="shared" si="41"/>
        <v>5</v>
      </c>
      <c r="BR38" s="32">
        <f t="shared" si="41"/>
        <v>5</v>
      </c>
      <c r="BS38" s="32">
        <f t="shared" si="41"/>
        <v>5</v>
      </c>
      <c r="BT38" s="32">
        <f t="shared" si="41"/>
        <v>5</v>
      </c>
      <c r="BU38" s="32">
        <f t="shared" si="41"/>
        <v>5</v>
      </c>
      <c r="BV38" s="32">
        <f t="shared" si="41"/>
        <v>5</v>
      </c>
      <c r="BW38" s="32">
        <f t="shared" si="41"/>
        <v>5</v>
      </c>
      <c r="BX38" s="32">
        <f t="shared" si="41"/>
        <v>5</v>
      </c>
      <c r="BY38" s="32">
        <f t="shared" si="41"/>
        <v>5</v>
      </c>
      <c r="BZ38" s="32">
        <f t="shared" si="41"/>
        <v>5</v>
      </c>
      <c r="CA38" s="32">
        <f t="shared" si="41"/>
        <v>5</v>
      </c>
      <c r="CB38" s="32">
        <f t="shared" si="41"/>
        <v>5</v>
      </c>
      <c r="CC38" s="32">
        <f t="shared" si="41"/>
        <v>5</v>
      </c>
      <c r="CD38" s="32">
        <f t="shared" si="41"/>
        <v>5</v>
      </c>
      <c r="CE38" s="32">
        <f t="shared" si="41"/>
        <v>5</v>
      </c>
      <c r="CF38" s="32">
        <f t="shared" si="41"/>
        <v>5</v>
      </c>
      <c r="CG38" s="32">
        <f t="shared" si="41"/>
        <v>5</v>
      </c>
      <c r="CH38" s="32">
        <f t="shared" si="41"/>
        <v>5</v>
      </c>
      <c r="CI38" s="32">
        <f t="shared" si="41"/>
        <v>5</v>
      </c>
    </row>
    <row r="39" spans="1:87" ht="16.5">
      <c r="A39" s="6" t="s">
        <v>473</v>
      </c>
      <c r="B39" s="30" t="s">
        <v>458</v>
      </c>
      <c r="C39" s="17" t="s">
        <v>474</v>
      </c>
      <c r="D39" s="32">
        <f t="shared" ref="D39:AI39" si="42">D34+D38</f>
        <v>46</v>
      </c>
      <c r="E39" s="32">
        <f t="shared" si="42"/>
        <v>49</v>
      </c>
      <c r="F39" s="32">
        <f t="shared" si="42"/>
        <v>52</v>
      </c>
      <c r="G39" s="32">
        <f t="shared" si="42"/>
        <v>56</v>
      </c>
      <c r="H39" s="32">
        <f t="shared" si="42"/>
        <v>60</v>
      </c>
      <c r="I39" s="32">
        <f t="shared" si="42"/>
        <v>65</v>
      </c>
      <c r="J39" s="32">
        <f t="shared" si="42"/>
        <v>69</v>
      </c>
      <c r="K39" s="32">
        <f t="shared" si="42"/>
        <v>74</v>
      </c>
      <c r="L39" s="32">
        <f t="shared" si="42"/>
        <v>80</v>
      </c>
      <c r="M39" s="32">
        <f t="shared" si="42"/>
        <v>86</v>
      </c>
      <c r="N39" s="32">
        <f t="shared" si="42"/>
        <v>93</v>
      </c>
      <c r="O39" s="32">
        <f t="shared" si="42"/>
        <v>100</v>
      </c>
      <c r="P39" s="32">
        <f t="shared" si="42"/>
        <v>107</v>
      </c>
      <c r="Q39" s="32">
        <f t="shared" si="42"/>
        <v>115</v>
      </c>
      <c r="R39" s="32">
        <f t="shared" si="42"/>
        <v>124</v>
      </c>
      <c r="S39" s="32">
        <f t="shared" si="42"/>
        <v>134</v>
      </c>
      <c r="T39" s="32">
        <f t="shared" si="42"/>
        <v>144</v>
      </c>
      <c r="U39" s="32">
        <f t="shared" si="42"/>
        <v>155</v>
      </c>
      <c r="V39" s="32">
        <f t="shared" si="42"/>
        <v>167</v>
      </c>
      <c r="W39" s="32">
        <f t="shared" si="42"/>
        <v>180</v>
      </c>
      <c r="X39" s="32">
        <f t="shared" si="42"/>
        <v>194</v>
      </c>
      <c r="Y39" s="32">
        <f t="shared" si="42"/>
        <v>209</v>
      </c>
      <c r="Z39" s="32">
        <f t="shared" si="42"/>
        <v>225</v>
      </c>
      <c r="AA39" s="32">
        <f t="shared" si="42"/>
        <v>243</v>
      </c>
      <c r="AB39" s="32">
        <f t="shared" si="42"/>
        <v>262</v>
      </c>
      <c r="AC39" s="32">
        <f t="shared" si="42"/>
        <v>283</v>
      </c>
      <c r="AD39" s="32">
        <f t="shared" si="42"/>
        <v>305</v>
      </c>
      <c r="AE39" s="32">
        <f t="shared" si="42"/>
        <v>329</v>
      </c>
      <c r="AF39" s="32">
        <f t="shared" si="42"/>
        <v>355</v>
      </c>
      <c r="AG39" s="32">
        <f t="shared" si="42"/>
        <v>383</v>
      </c>
      <c r="AH39" s="32">
        <f t="shared" si="42"/>
        <v>413</v>
      </c>
      <c r="AI39" s="32">
        <f t="shared" si="42"/>
        <v>446</v>
      </c>
      <c r="AJ39" s="32">
        <f t="shared" ref="AJ39:BO39" si="43">AJ34+AJ38</f>
        <v>481</v>
      </c>
      <c r="AK39" s="32">
        <f t="shared" si="43"/>
        <v>519</v>
      </c>
      <c r="AL39" s="32">
        <f t="shared" si="43"/>
        <v>560</v>
      </c>
      <c r="AM39" s="32">
        <f t="shared" si="43"/>
        <v>604</v>
      </c>
      <c r="AN39" s="32">
        <f t="shared" si="43"/>
        <v>652</v>
      </c>
      <c r="AO39" s="32">
        <f t="shared" si="43"/>
        <v>704</v>
      </c>
      <c r="AP39" s="32">
        <f t="shared" si="43"/>
        <v>760</v>
      </c>
      <c r="AQ39" s="32">
        <f t="shared" si="43"/>
        <v>820</v>
      </c>
      <c r="AR39" s="32">
        <f t="shared" si="43"/>
        <v>886</v>
      </c>
      <c r="AS39" s="32">
        <f t="shared" si="43"/>
        <v>956</v>
      </c>
      <c r="AT39" s="32">
        <f t="shared" si="43"/>
        <v>1032</v>
      </c>
      <c r="AU39" s="32">
        <f t="shared" si="43"/>
        <v>1114</v>
      </c>
      <c r="AV39" s="32">
        <f t="shared" si="43"/>
        <v>1203</v>
      </c>
      <c r="AW39" s="32">
        <f t="shared" si="43"/>
        <v>1299</v>
      </c>
      <c r="AX39" s="32">
        <f t="shared" si="43"/>
        <v>1403</v>
      </c>
      <c r="AY39" s="32">
        <f t="shared" si="43"/>
        <v>1514</v>
      </c>
      <c r="AZ39" s="32">
        <f t="shared" si="43"/>
        <v>1635</v>
      </c>
      <c r="BA39" s="32">
        <f t="shared" si="43"/>
        <v>1766</v>
      </c>
      <c r="BB39" s="32">
        <f t="shared" si="43"/>
        <v>1906</v>
      </c>
      <c r="BC39" s="32">
        <f t="shared" si="43"/>
        <v>2059</v>
      </c>
      <c r="BD39" s="32">
        <f t="shared" si="43"/>
        <v>2223</v>
      </c>
      <c r="BE39" s="32">
        <f t="shared" si="43"/>
        <v>2400</v>
      </c>
      <c r="BF39" s="32">
        <f t="shared" si="43"/>
        <v>2592</v>
      </c>
      <c r="BG39" s="32">
        <f t="shared" si="43"/>
        <v>2799</v>
      </c>
      <c r="BH39" s="32">
        <f t="shared" si="43"/>
        <v>3022</v>
      </c>
      <c r="BI39" s="32">
        <f t="shared" si="43"/>
        <v>3264</v>
      </c>
      <c r="BJ39" s="32">
        <f t="shared" si="43"/>
        <v>3524</v>
      </c>
      <c r="BK39" s="32">
        <f t="shared" si="43"/>
        <v>3806</v>
      </c>
      <c r="BL39" s="32">
        <f t="shared" si="43"/>
        <v>4110</v>
      </c>
      <c r="BM39" s="32">
        <f t="shared" si="43"/>
        <v>4438</v>
      </c>
      <c r="BN39" s="32">
        <f t="shared" si="43"/>
        <v>4793</v>
      </c>
      <c r="BO39" s="32">
        <f t="shared" si="43"/>
        <v>5176</v>
      </c>
      <c r="BP39" s="32">
        <f t="shared" ref="BP39:CU39" si="44">BP34+BP38</f>
        <v>5590</v>
      </c>
      <c r="BQ39" s="32">
        <f t="shared" si="44"/>
        <v>6037</v>
      </c>
      <c r="BR39" s="32">
        <f t="shared" si="44"/>
        <v>6519</v>
      </c>
      <c r="BS39" s="32">
        <f t="shared" si="44"/>
        <v>7040</v>
      </c>
      <c r="BT39" s="32">
        <f t="shared" si="44"/>
        <v>7603</v>
      </c>
      <c r="BU39" s="32">
        <f t="shared" si="44"/>
        <v>8211</v>
      </c>
      <c r="BV39" s="32">
        <f t="shared" si="44"/>
        <v>8867</v>
      </c>
      <c r="BW39" s="32">
        <f t="shared" si="44"/>
        <v>9576</v>
      </c>
      <c r="BX39" s="32">
        <f t="shared" si="44"/>
        <v>10342</v>
      </c>
      <c r="BY39" s="32">
        <f t="shared" si="44"/>
        <v>11169</v>
      </c>
      <c r="BZ39" s="32">
        <f t="shared" si="44"/>
        <v>12062</v>
      </c>
      <c r="CA39" s="32">
        <f t="shared" si="44"/>
        <v>13027</v>
      </c>
      <c r="CB39" s="32">
        <f t="shared" si="44"/>
        <v>14068</v>
      </c>
      <c r="CC39" s="32">
        <f t="shared" si="44"/>
        <v>15193</v>
      </c>
      <c r="CD39" s="32">
        <f t="shared" si="44"/>
        <v>16409</v>
      </c>
      <c r="CE39" s="32">
        <f t="shared" si="44"/>
        <v>17721</v>
      </c>
      <c r="CF39" s="32">
        <f t="shared" si="44"/>
        <v>19138</v>
      </c>
      <c r="CG39" s="32">
        <f t="shared" si="44"/>
        <v>20669</v>
      </c>
      <c r="CH39" s="32">
        <f t="shared" si="44"/>
        <v>22322</v>
      </c>
      <c r="CI39" s="32">
        <f t="shared" si="44"/>
        <v>24107</v>
      </c>
    </row>
    <row r="40" spans="1:87" ht="16.5">
      <c r="A40" s="6" t="s">
        <v>475</v>
      </c>
      <c r="B40" s="30" t="s">
        <v>455</v>
      </c>
      <c r="C40" s="17" t="s">
        <v>493</v>
      </c>
      <c r="D40" s="31">
        <v>4.8000000000000001E-2</v>
      </c>
      <c r="E40" s="31">
        <v>4.8000000000000001E-2</v>
      </c>
      <c r="F40" s="31">
        <v>4.8000000000000001E-2</v>
      </c>
      <c r="G40" s="31">
        <v>4.8000000000000001E-2</v>
      </c>
      <c r="H40" s="31">
        <v>4.8000000000000001E-2</v>
      </c>
      <c r="I40" s="31">
        <v>4.8000000000000001E-2</v>
      </c>
      <c r="J40" s="31">
        <v>4.8000000000000001E-2</v>
      </c>
      <c r="K40" s="31">
        <v>4.8000000000000001E-2</v>
      </c>
      <c r="L40" s="31">
        <v>4.8000000000000001E-2</v>
      </c>
      <c r="M40" s="31">
        <v>4.8000000000000001E-2</v>
      </c>
      <c r="N40" s="31">
        <v>4.8000000000000001E-2</v>
      </c>
      <c r="O40" s="31">
        <v>4.8000000000000001E-2</v>
      </c>
      <c r="P40" s="31">
        <v>4.8000000000000001E-2</v>
      </c>
      <c r="Q40" s="31">
        <v>4.8000000000000001E-2</v>
      </c>
      <c r="R40" s="31">
        <v>4.8000000000000001E-2</v>
      </c>
      <c r="S40" s="31">
        <v>4.8000000000000001E-2</v>
      </c>
      <c r="T40" s="31">
        <v>4.8000000000000001E-2</v>
      </c>
      <c r="U40" s="31">
        <v>4.8000000000000001E-2</v>
      </c>
      <c r="V40" s="31">
        <v>4.8000000000000001E-2</v>
      </c>
      <c r="W40" s="31">
        <v>4.8000000000000001E-2</v>
      </c>
      <c r="X40" s="31">
        <v>4.8000000000000001E-2</v>
      </c>
      <c r="Y40" s="31">
        <v>4.8000000000000001E-2</v>
      </c>
      <c r="Z40" s="31">
        <v>4.8000000000000001E-2</v>
      </c>
      <c r="AA40" s="31">
        <v>4.8000000000000001E-2</v>
      </c>
      <c r="AB40" s="31">
        <v>4.8000000000000001E-2</v>
      </c>
      <c r="AC40" s="31">
        <v>4.8000000000000001E-2</v>
      </c>
      <c r="AD40" s="31">
        <v>4.8000000000000001E-2</v>
      </c>
      <c r="AE40" s="31">
        <v>4.8000000000000001E-2</v>
      </c>
      <c r="AF40" s="31">
        <v>4.8000000000000001E-2</v>
      </c>
      <c r="AG40" s="31">
        <v>4.8000000000000001E-2</v>
      </c>
      <c r="AH40" s="31">
        <v>4.8000000000000001E-2</v>
      </c>
      <c r="AI40" s="31">
        <v>4.8000000000000001E-2</v>
      </c>
      <c r="AJ40" s="31">
        <v>4.8000000000000001E-2</v>
      </c>
      <c r="AK40" s="31">
        <v>4.8000000000000001E-2</v>
      </c>
      <c r="AL40" s="31">
        <v>4.8000000000000001E-2</v>
      </c>
      <c r="AM40" s="31">
        <v>4.8000000000000001E-2</v>
      </c>
      <c r="AN40" s="31">
        <v>4.8000000000000001E-2</v>
      </c>
      <c r="AO40" s="31">
        <v>4.8000000000000001E-2</v>
      </c>
      <c r="AP40" s="31">
        <v>4.8000000000000001E-2</v>
      </c>
      <c r="AQ40" s="31">
        <v>4.8000000000000001E-2</v>
      </c>
      <c r="AR40" s="31">
        <v>4.8000000000000001E-2</v>
      </c>
      <c r="AS40" s="31">
        <v>4.8000000000000001E-2</v>
      </c>
      <c r="AT40" s="31">
        <v>4.8000000000000001E-2</v>
      </c>
      <c r="AU40" s="31">
        <v>4.8000000000000001E-2</v>
      </c>
      <c r="AV40" s="31">
        <v>4.8000000000000001E-2</v>
      </c>
      <c r="AW40" s="31">
        <v>4.8000000000000001E-2</v>
      </c>
      <c r="AX40" s="31">
        <v>4.8000000000000001E-2</v>
      </c>
      <c r="AY40" s="31">
        <v>4.8000000000000001E-2</v>
      </c>
      <c r="AZ40" s="31">
        <v>4.8000000000000001E-2</v>
      </c>
      <c r="BA40" s="31">
        <v>4.8000000000000001E-2</v>
      </c>
      <c r="BB40" s="31">
        <v>4.8000000000000001E-2</v>
      </c>
      <c r="BC40" s="31">
        <v>4.8000000000000001E-2</v>
      </c>
      <c r="BD40" s="31">
        <v>4.8000000000000001E-2</v>
      </c>
      <c r="BE40" s="31">
        <v>4.8000000000000001E-2</v>
      </c>
      <c r="BF40" s="31">
        <v>4.8000000000000001E-2</v>
      </c>
      <c r="BG40" s="31">
        <v>4.8000000000000001E-2</v>
      </c>
      <c r="BH40" s="31">
        <v>4.8000000000000001E-2</v>
      </c>
      <c r="BI40" s="31">
        <v>4.8000000000000001E-2</v>
      </c>
      <c r="BJ40" s="31">
        <v>4.8000000000000001E-2</v>
      </c>
      <c r="BK40" s="31">
        <v>4.8000000000000001E-2</v>
      </c>
      <c r="BL40" s="31">
        <v>4.8000000000000001E-2</v>
      </c>
      <c r="BM40" s="31">
        <v>4.8000000000000001E-2</v>
      </c>
      <c r="BN40" s="31">
        <v>4.8000000000000001E-2</v>
      </c>
      <c r="BO40" s="31">
        <v>4.8000000000000001E-2</v>
      </c>
      <c r="BP40" s="31">
        <v>4.8000000000000001E-2</v>
      </c>
      <c r="BQ40" s="31">
        <v>4.8000000000000001E-2</v>
      </c>
      <c r="BR40" s="31">
        <v>4.8000000000000001E-2</v>
      </c>
      <c r="BS40" s="31">
        <v>4.8000000000000001E-2</v>
      </c>
      <c r="BT40" s="31">
        <v>4.8000000000000001E-2</v>
      </c>
      <c r="BU40" s="31">
        <v>4.8000000000000001E-2</v>
      </c>
      <c r="BV40" s="31">
        <v>4.8000000000000001E-2</v>
      </c>
      <c r="BW40" s="31">
        <v>4.8000000000000001E-2</v>
      </c>
      <c r="BX40" s="31">
        <v>4.8000000000000001E-2</v>
      </c>
      <c r="BY40" s="31">
        <v>4.8000000000000001E-2</v>
      </c>
      <c r="BZ40" s="31">
        <v>4.8000000000000001E-2</v>
      </c>
      <c r="CA40" s="31">
        <v>4.8000000000000001E-2</v>
      </c>
      <c r="CB40" s="31">
        <v>4.8000000000000001E-2</v>
      </c>
      <c r="CC40" s="31">
        <v>4.8000000000000001E-2</v>
      </c>
      <c r="CD40" s="31">
        <v>4.8000000000000001E-2</v>
      </c>
      <c r="CE40" s="31">
        <v>4.8000000000000001E-2</v>
      </c>
      <c r="CF40" s="31">
        <v>4.8000000000000001E-2</v>
      </c>
      <c r="CG40" s="31">
        <v>4.8000000000000001E-2</v>
      </c>
      <c r="CH40" s="31">
        <v>4.8000000000000001E-2</v>
      </c>
      <c r="CI40" s="31">
        <v>4.8000000000000001E-2</v>
      </c>
    </row>
    <row r="41" spans="1:87" ht="16.5">
      <c r="A41" s="6" t="s">
        <v>477</v>
      </c>
      <c r="B41" s="30" t="s">
        <v>458</v>
      </c>
      <c r="C41" s="17" t="s">
        <v>478</v>
      </c>
      <c r="D41" s="32">
        <f>D39</f>
        <v>46</v>
      </c>
      <c r="E41" s="32">
        <f t="shared" ref="E41:AJ41" si="45">ROUND(D41*(1-E40)+E39, 0)</f>
        <v>93</v>
      </c>
      <c r="F41" s="32">
        <f t="shared" si="45"/>
        <v>141</v>
      </c>
      <c r="G41" s="32">
        <f t="shared" si="45"/>
        <v>190</v>
      </c>
      <c r="H41" s="32">
        <f t="shared" si="45"/>
        <v>241</v>
      </c>
      <c r="I41" s="32">
        <f t="shared" si="45"/>
        <v>294</v>
      </c>
      <c r="J41" s="32">
        <f t="shared" si="45"/>
        <v>349</v>
      </c>
      <c r="K41" s="32">
        <f t="shared" si="45"/>
        <v>406</v>
      </c>
      <c r="L41" s="32">
        <f t="shared" si="45"/>
        <v>467</v>
      </c>
      <c r="M41" s="32">
        <f t="shared" si="45"/>
        <v>531</v>
      </c>
      <c r="N41" s="32">
        <f t="shared" si="45"/>
        <v>599</v>
      </c>
      <c r="O41" s="32">
        <f t="shared" si="45"/>
        <v>670</v>
      </c>
      <c r="P41" s="32">
        <f t="shared" si="45"/>
        <v>745</v>
      </c>
      <c r="Q41" s="32">
        <f t="shared" si="45"/>
        <v>824</v>
      </c>
      <c r="R41" s="32">
        <f t="shared" si="45"/>
        <v>908</v>
      </c>
      <c r="S41" s="32">
        <f t="shared" si="45"/>
        <v>998</v>
      </c>
      <c r="T41" s="32">
        <f t="shared" si="45"/>
        <v>1094</v>
      </c>
      <c r="U41" s="32">
        <f t="shared" si="45"/>
        <v>1196</v>
      </c>
      <c r="V41" s="32">
        <f t="shared" si="45"/>
        <v>1306</v>
      </c>
      <c r="W41" s="32">
        <f t="shared" si="45"/>
        <v>1423</v>
      </c>
      <c r="X41" s="32">
        <f t="shared" si="45"/>
        <v>1549</v>
      </c>
      <c r="Y41" s="32">
        <f t="shared" si="45"/>
        <v>1684</v>
      </c>
      <c r="Z41" s="32">
        <f t="shared" si="45"/>
        <v>1828</v>
      </c>
      <c r="AA41" s="32">
        <f t="shared" si="45"/>
        <v>1983</v>
      </c>
      <c r="AB41" s="32">
        <f t="shared" si="45"/>
        <v>2150</v>
      </c>
      <c r="AC41" s="32">
        <f t="shared" si="45"/>
        <v>2330</v>
      </c>
      <c r="AD41" s="32">
        <f t="shared" si="45"/>
        <v>2523</v>
      </c>
      <c r="AE41" s="32">
        <f t="shared" si="45"/>
        <v>2731</v>
      </c>
      <c r="AF41" s="32">
        <f t="shared" si="45"/>
        <v>2955</v>
      </c>
      <c r="AG41" s="32">
        <f t="shared" si="45"/>
        <v>3196</v>
      </c>
      <c r="AH41" s="32">
        <f t="shared" si="45"/>
        <v>3456</v>
      </c>
      <c r="AI41" s="32">
        <f t="shared" si="45"/>
        <v>3736</v>
      </c>
      <c r="AJ41" s="32">
        <f t="shared" si="45"/>
        <v>4038</v>
      </c>
      <c r="AK41" s="32">
        <f t="shared" ref="AK41:BP41" si="46">ROUND(AJ41*(1-AK40)+AK39, 0)</f>
        <v>4363</v>
      </c>
      <c r="AL41" s="32">
        <f t="shared" si="46"/>
        <v>4714</v>
      </c>
      <c r="AM41" s="32">
        <f t="shared" si="46"/>
        <v>5092</v>
      </c>
      <c r="AN41" s="32">
        <f t="shared" si="46"/>
        <v>5500</v>
      </c>
      <c r="AO41" s="32">
        <f t="shared" si="46"/>
        <v>5940</v>
      </c>
      <c r="AP41" s="32">
        <f t="shared" si="46"/>
        <v>6415</v>
      </c>
      <c r="AQ41" s="32">
        <f t="shared" si="46"/>
        <v>6927</v>
      </c>
      <c r="AR41" s="32">
        <f t="shared" si="46"/>
        <v>7481</v>
      </c>
      <c r="AS41" s="32">
        <f t="shared" si="46"/>
        <v>8078</v>
      </c>
      <c r="AT41" s="32">
        <f t="shared" si="46"/>
        <v>8722</v>
      </c>
      <c r="AU41" s="32">
        <f t="shared" si="46"/>
        <v>9417</v>
      </c>
      <c r="AV41" s="32">
        <f t="shared" si="46"/>
        <v>10168</v>
      </c>
      <c r="AW41" s="32">
        <f t="shared" si="46"/>
        <v>10979</v>
      </c>
      <c r="AX41" s="32">
        <f t="shared" si="46"/>
        <v>11855</v>
      </c>
      <c r="AY41" s="32">
        <f t="shared" si="46"/>
        <v>12800</v>
      </c>
      <c r="AZ41" s="32">
        <f t="shared" si="46"/>
        <v>13821</v>
      </c>
      <c r="BA41" s="32">
        <f t="shared" si="46"/>
        <v>14924</v>
      </c>
      <c r="BB41" s="32">
        <f t="shared" si="46"/>
        <v>16114</v>
      </c>
      <c r="BC41" s="32">
        <f t="shared" si="46"/>
        <v>17400</v>
      </c>
      <c r="BD41" s="32">
        <f t="shared" si="46"/>
        <v>18788</v>
      </c>
      <c r="BE41" s="32">
        <f t="shared" si="46"/>
        <v>20286</v>
      </c>
      <c r="BF41" s="32">
        <f t="shared" si="46"/>
        <v>21904</v>
      </c>
      <c r="BG41" s="32">
        <f t="shared" si="46"/>
        <v>23652</v>
      </c>
      <c r="BH41" s="32">
        <f t="shared" si="46"/>
        <v>25539</v>
      </c>
      <c r="BI41" s="32">
        <f t="shared" si="46"/>
        <v>27577</v>
      </c>
      <c r="BJ41" s="32">
        <f t="shared" si="46"/>
        <v>29777</v>
      </c>
      <c r="BK41" s="32">
        <f t="shared" si="46"/>
        <v>32154</v>
      </c>
      <c r="BL41" s="32">
        <f t="shared" si="46"/>
        <v>34721</v>
      </c>
      <c r="BM41" s="32">
        <f t="shared" si="46"/>
        <v>37492</v>
      </c>
      <c r="BN41" s="32">
        <f t="shared" si="46"/>
        <v>40485</v>
      </c>
      <c r="BO41" s="32">
        <f t="shared" si="46"/>
        <v>43718</v>
      </c>
      <c r="BP41" s="32">
        <f t="shared" si="46"/>
        <v>47210</v>
      </c>
      <c r="BQ41" s="32">
        <f t="shared" ref="BQ41:CV41" si="47">ROUND(BP41*(1-BQ40)+BQ39, 0)</f>
        <v>50981</v>
      </c>
      <c r="BR41" s="32">
        <f t="shared" si="47"/>
        <v>55053</v>
      </c>
      <c r="BS41" s="32">
        <f t="shared" si="47"/>
        <v>59450</v>
      </c>
      <c r="BT41" s="32">
        <f t="shared" si="47"/>
        <v>64199</v>
      </c>
      <c r="BU41" s="32">
        <f t="shared" si="47"/>
        <v>69328</v>
      </c>
      <c r="BV41" s="32">
        <f t="shared" si="47"/>
        <v>74867</v>
      </c>
      <c r="BW41" s="32">
        <f t="shared" si="47"/>
        <v>80849</v>
      </c>
      <c r="BX41" s="32">
        <f t="shared" si="47"/>
        <v>87310</v>
      </c>
      <c r="BY41" s="32">
        <f t="shared" si="47"/>
        <v>94288</v>
      </c>
      <c r="BZ41" s="32">
        <f t="shared" si="47"/>
        <v>101824</v>
      </c>
      <c r="CA41" s="32">
        <f t="shared" si="47"/>
        <v>109963</v>
      </c>
      <c r="CB41" s="32">
        <f t="shared" si="47"/>
        <v>118753</v>
      </c>
      <c r="CC41" s="32">
        <f t="shared" si="47"/>
        <v>128246</v>
      </c>
      <c r="CD41" s="32">
        <f t="shared" si="47"/>
        <v>138499</v>
      </c>
      <c r="CE41" s="32">
        <f t="shared" si="47"/>
        <v>149572</v>
      </c>
      <c r="CF41" s="32">
        <f t="shared" si="47"/>
        <v>161531</v>
      </c>
      <c r="CG41" s="32">
        <f t="shared" si="47"/>
        <v>174447</v>
      </c>
      <c r="CH41" s="32">
        <f t="shared" si="47"/>
        <v>188396</v>
      </c>
      <c r="CI41" s="32">
        <f t="shared" si="47"/>
        <v>203460</v>
      </c>
    </row>
    <row r="42" spans="1:87" ht="16.5">
      <c r="A42" s="6" t="s">
        <v>479</v>
      </c>
      <c r="B42" s="30" t="s">
        <v>455</v>
      </c>
      <c r="C42" s="17" t="s">
        <v>494</v>
      </c>
      <c r="D42" s="31">
        <v>0.3</v>
      </c>
      <c r="E42" s="31">
        <v>0.3</v>
      </c>
      <c r="F42" s="31">
        <v>0.3</v>
      </c>
      <c r="G42" s="31">
        <v>0.3</v>
      </c>
      <c r="H42" s="31">
        <v>0.3</v>
      </c>
      <c r="I42" s="31">
        <v>0.3</v>
      </c>
      <c r="J42" s="31">
        <v>0.3</v>
      </c>
      <c r="K42" s="31">
        <v>0.3</v>
      </c>
      <c r="L42" s="31">
        <v>0.3</v>
      </c>
      <c r="M42" s="31">
        <v>0.3</v>
      </c>
      <c r="N42" s="31">
        <v>0.3</v>
      </c>
      <c r="O42" s="31">
        <v>0.3</v>
      </c>
      <c r="P42" s="31">
        <v>0.3</v>
      </c>
      <c r="Q42" s="31">
        <v>0.3</v>
      </c>
      <c r="R42" s="31">
        <v>0.3</v>
      </c>
      <c r="S42" s="31">
        <v>0.3</v>
      </c>
      <c r="T42" s="31">
        <v>0.3</v>
      </c>
      <c r="U42" s="31">
        <v>0.3</v>
      </c>
      <c r="V42" s="31">
        <v>0.3</v>
      </c>
      <c r="W42" s="31">
        <v>0.3</v>
      </c>
      <c r="X42" s="31">
        <v>0.3</v>
      </c>
      <c r="Y42" s="31">
        <v>0.3</v>
      </c>
      <c r="Z42" s="31">
        <v>0.3</v>
      </c>
      <c r="AA42" s="31">
        <v>0.3</v>
      </c>
      <c r="AB42" s="31">
        <v>0.3</v>
      </c>
      <c r="AC42" s="31">
        <v>0.3</v>
      </c>
      <c r="AD42" s="31">
        <v>0.3</v>
      </c>
      <c r="AE42" s="31">
        <v>0.3</v>
      </c>
      <c r="AF42" s="31">
        <v>0.3</v>
      </c>
      <c r="AG42" s="31">
        <v>0.3</v>
      </c>
      <c r="AH42" s="31">
        <v>0.3</v>
      </c>
      <c r="AI42" s="31">
        <v>0.3</v>
      </c>
      <c r="AJ42" s="31">
        <v>0.3</v>
      </c>
      <c r="AK42" s="31">
        <v>0.3</v>
      </c>
      <c r="AL42" s="31">
        <v>0.3</v>
      </c>
      <c r="AM42" s="31">
        <v>0.3</v>
      </c>
      <c r="AN42" s="31">
        <v>0.3</v>
      </c>
      <c r="AO42" s="31">
        <v>0.3</v>
      </c>
      <c r="AP42" s="31">
        <v>0.3</v>
      </c>
      <c r="AQ42" s="31">
        <v>0.3</v>
      </c>
      <c r="AR42" s="31">
        <v>0.3</v>
      </c>
      <c r="AS42" s="31">
        <v>0.3</v>
      </c>
      <c r="AT42" s="31">
        <v>0.3</v>
      </c>
      <c r="AU42" s="31">
        <v>0.3</v>
      </c>
      <c r="AV42" s="31">
        <v>0.3</v>
      </c>
      <c r="AW42" s="31">
        <v>0.3</v>
      </c>
      <c r="AX42" s="31">
        <v>0.3</v>
      </c>
      <c r="AY42" s="31">
        <v>0.3</v>
      </c>
      <c r="AZ42" s="31">
        <v>0.3</v>
      </c>
      <c r="BA42" s="31">
        <v>0.3</v>
      </c>
      <c r="BB42" s="31">
        <v>0.3</v>
      </c>
      <c r="BC42" s="31">
        <v>0.3</v>
      </c>
      <c r="BD42" s="31">
        <v>0.3</v>
      </c>
      <c r="BE42" s="31">
        <v>0.3</v>
      </c>
      <c r="BF42" s="31">
        <v>0.3</v>
      </c>
      <c r="BG42" s="31">
        <v>0.3</v>
      </c>
      <c r="BH42" s="31">
        <v>0.3</v>
      </c>
      <c r="BI42" s="31">
        <v>0.3</v>
      </c>
      <c r="BJ42" s="31">
        <v>0.3</v>
      </c>
      <c r="BK42" s="31">
        <v>0.3</v>
      </c>
      <c r="BL42" s="31">
        <v>0.3</v>
      </c>
      <c r="BM42" s="31">
        <v>0.3</v>
      </c>
      <c r="BN42" s="31">
        <v>0.3</v>
      </c>
      <c r="BO42" s="31">
        <v>0.3</v>
      </c>
      <c r="BP42" s="31">
        <v>0.3</v>
      </c>
      <c r="BQ42" s="31">
        <v>0.3</v>
      </c>
      <c r="BR42" s="31">
        <v>0.3</v>
      </c>
      <c r="BS42" s="31">
        <v>0.3</v>
      </c>
      <c r="BT42" s="31">
        <v>0.3</v>
      </c>
      <c r="BU42" s="31">
        <v>0.3</v>
      </c>
      <c r="BV42" s="31">
        <v>0.3</v>
      </c>
      <c r="BW42" s="31">
        <v>0.3</v>
      </c>
      <c r="BX42" s="31">
        <v>0.3</v>
      </c>
      <c r="BY42" s="31">
        <v>0.3</v>
      </c>
      <c r="BZ42" s="31">
        <v>0.3</v>
      </c>
      <c r="CA42" s="31">
        <v>0.3</v>
      </c>
      <c r="CB42" s="31">
        <v>0.3</v>
      </c>
      <c r="CC42" s="31">
        <v>0.3</v>
      </c>
      <c r="CD42" s="31">
        <v>0.3</v>
      </c>
      <c r="CE42" s="31">
        <v>0.3</v>
      </c>
      <c r="CF42" s="31">
        <v>0.3</v>
      </c>
      <c r="CG42" s="31">
        <v>0.3</v>
      </c>
      <c r="CH42" s="31">
        <v>0.3</v>
      </c>
      <c r="CI42" s="31">
        <v>0.3</v>
      </c>
    </row>
    <row r="43" spans="1:87" ht="16.5">
      <c r="A43" s="6" t="s">
        <v>481</v>
      </c>
      <c r="B43" s="30" t="s">
        <v>458</v>
      </c>
      <c r="C43" s="17" t="s">
        <v>482</v>
      </c>
      <c r="D43" s="32">
        <f t="shared" ref="D43:AI43" si="48">ROUND(D41*D42, 0)</f>
        <v>14</v>
      </c>
      <c r="E43" s="32">
        <f t="shared" si="48"/>
        <v>28</v>
      </c>
      <c r="F43" s="32">
        <f t="shared" si="48"/>
        <v>42</v>
      </c>
      <c r="G43" s="32">
        <f t="shared" si="48"/>
        <v>57</v>
      </c>
      <c r="H43" s="32">
        <f t="shared" si="48"/>
        <v>72</v>
      </c>
      <c r="I43" s="32">
        <f t="shared" si="48"/>
        <v>88</v>
      </c>
      <c r="J43" s="32">
        <f t="shared" si="48"/>
        <v>105</v>
      </c>
      <c r="K43" s="32">
        <f t="shared" si="48"/>
        <v>122</v>
      </c>
      <c r="L43" s="32">
        <f t="shared" si="48"/>
        <v>140</v>
      </c>
      <c r="M43" s="32">
        <f t="shared" si="48"/>
        <v>159</v>
      </c>
      <c r="N43" s="32">
        <f t="shared" si="48"/>
        <v>180</v>
      </c>
      <c r="O43" s="32">
        <f t="shared" si="48"/>
        <v>201</v>
      </c>
      <c r="P43" s="32">
        <f t="shared" si="48"/>
        <v>224</v>
      </c>
      <c r="Q43" s="32">
        <f t="shared" si="48"/>
        <v>247</v>
      </c>
      <c r="R43" s="32">
        <f t="shared" si="48"/>
        <v>272</v>
      </c>
      <c r="S43" s="32">
        <f t="shared" si="48"/>
        <v>299</v>
      </c>
      <c r="T43" s="32">
        <f t="shared" si="48"/>
        <v>328</v>
      </c>
      <c r="U43" s="32">
        <f t="shared" si="48"/>
        <v>359</v>
      </c>
      <c r="V43" s="32">
        <f t="shared" si="48"/>
        <v>392</v>
      </c>
      <c r="W43" s="32">
        <f t="shared" si="48"/>
        <v>427</v>
      </c>
      <c r="X43" s="32">
        <f t="shared" si="48"/>
        <v>465</v>
      </c>
      <c r="Y43" s="32">
        <f t="shared" si="48"/>
        <v>505</v>
      </c>
      <c r="Z43" s="32">
        <f t="shared" si="48"/>
        <v>548</v>
      </c>
      <c r="AA43" s="32">
        <f t="shared" si="48"/>
        <v>595</v>
      </c>
      <c r="AB43" s="32">
        <f t="shared" si="48"/>
        <v>645</v>
      </c>
      <c r="AC43" s="32">
        <f t="shared" si="48"/>
        <v>699</v>
      </c>
      <c r="AD43" s="32">
        <f t="shared" si="48"/>
        <v>757</v>
      </c>
      <c r="AE43" s="32">
        <f t="shared" si="48"/>
        <v>819</v>
      </c>
      <c r="AF43" s="32">
        <f t="shared" si="48"/>
        <v>887</v>
      </c>
      <c r="AG43" s="32">
        <f t="shared" si="48"/>
        <v>959</v>
      </c>
      <c r="AH43" s="32">
        <f t="shared" si="48"/>
        <v>1037</v>
      </c>
      <c r="AI43" s="32">
        <f t="shared" si="48"/>
        <v>1121</v>
      </c>
      <c r="AJ43" s="32">
        <f t="shared" ref="AJ43:BO43" si="49">ROUND(AJ41*AJ42, 0)</f>
        <v>1211</v>
      </c>
      <c r="AK43" s="32">
        <f t="shared" si="49"/>
        <v>1309</v>
      </c>
      <c r="AL43" s="32">
        <f t="shared" si="49"/>
        <v>1414</v>
      </c>
      <c r="AM43" s="32">
        <f t="shared" si="49"/>
        <v>1528</v>
      </c>
      <c r="AN43" s="32">
        <f t="shared" si="49"/>
        <v>1650</v>
      </c>
      <c r="AO43" s="32">
        <f t="shared" si="49"/>
        <v>1782</v>
      </c>
      <c r="AP43" s="32">
        <f t="shared" si="49"/>
        <v>1925</v>
      </c>
      <c r="AQ43" s="32">
        <f t="shared" si="49"/>
        <v>2078</v>
      </c>
      <c r="AR43" s="32">
        <f t="shared" si="49"/>
        <v>2244</v>
      </c>
      <c r="AS43" s="32">
        <f t="shared" si="49"/>
        <v>2423</v>
      </c>
      <c r="AT43" s="32">
        <f t="shared" si="49"/>
        <v>2617</v>
      </c>
      <c r="AU43" s="32">
        <f t="shared" si="49"/>
        <v>2825</v>
      </c>
      <c r="AV43" s="32">
        <f t="shared" si="49"/>
        <v>3050</v>
      </c>
      <c r="AW43" s="32">
        <f t="shared" si="49"/>
        <v>3294</v>
      </c>
      <c r="AX43" s="32">
        <f t="shared" si="49"/>
        <v>3557</v>
      </c>
      <c r="AY43" s="32">
        <f t="shared" si="49"/>
        <v>3840</v>
      </c>
      <c r="AZ43" s="32">
        <f t="shared" si="49"/>
        <v>4146</v>
      </c>
      <c r="BA43" s="32">
        <f t="shared" si="49"/>
        <v>4477</v>
      </c>
      <c r="BB43" s="32">
        <f t="shared" si="49"/>
        <v>4834</v>
      </c>
      <c r="BC43" s="32">
        <f t="shared" si="49"/>
        <v>5220</v>
      </c>
      <c r="BD43" s="32">
        <f t="shared" si="49"/>
        <v>5636</v>
      </c>
      <c r="BE43" s="32">
        <f t="shared" si="49"/>
        <v>6086</v>
      </c>
      <c r="BF43" s="32">
        <f t="shared" si="49"/>
        <v>6571</v>
      </c>
      <c r="BG43" s="32">
        <f t="shared" si="49"/>
        <v>7096</v>
      </c>
      <c r="BH43" s="32">
        <f t="shared" si="49"/>
        <v>7662</v>
      </c>
      <c r="BI43" s="32">
        <f t="shared" si="49"/>
        <v>8273</v>
      </c>
      <c r="BJ43" s="32">
        <f t="shared" si="49"/>
        <v>8933</v>
      </c>
      <c r="BK43" s="32">
        <f t="shared" si="49"/>
        <v>9646</v>
      </c>
      <c r="BL43" s="32">
        <f t="shared" si="49"/>
        <v>10416</v>
      </c>
      <c r="BM43" s="32">
        <f t="shared" si="49"/>
        <v>11248</v>
      </c>
      <c r="BN43" s="32">
        <f t="shared" si="49"/>
        <v>12146</v>
      </c>
      <c r="BO43" s="32">
        <f t="shared" si="49"/>
        <v>13115</v>
      </c>
      <c r="BP43" s="32">
        <f t="shared" ref="BP43:CU43" si="50">ROUND(BP41*BP42, 0)</f>
        <v>14163</v>
      </c>
      <c r="BQ43" s="32">
        <f t="shared" si="50"/>
        <v>15294</v>
      </c>
      <c r="BR43" s="32">
        <f t="shared" si="50"/>
        <v>16516</v>
      </c>
      <c r="BS43" s="32">
        <f t="shared" si="50"/>
        <v>17835</v>
      </c>
      <c r="BT43" s="32">
        <f t="shared" si="50"/>
        <v>19260</v>
      </c>
      <c r="BU43" s="32">
        <f t="shared" si="50"/>
        <v>20798</v>
      </c>
      <c r="BV43" s="32">
        <f t="shared" si="50"/>
        <v>22460</v>
      </c>
      <c r="BW43" s="32">
        <f t="shared" si="50"/>
        <v>24255</v>
      </c>
      <c r="BX43" s="32">
        <f t="shared" si="50"/>
        <v>26193</v>
      </c>
      <c r="BY43" s="32">
        <f t="shared" si="50"/>
        <v>28286</v>
      </c>
      <c r="BZ43" s="32">
        <f t="shared" si="50"/>
        <v>30547</v>
      </c>
      <c r="CA43" s="32">
        <f t="shared" si="50"/>
        <v>32989</v>
      </c>
      <c r="CB43" s="32">
        <f t="shared" si="50"/>
        <v>35626</v>
      </c>
      <c r="CC43" s="32">
        <f t="shared" si="50"/>
        <v>38474</v>
      </c>
      <c r="CD43" s="32">
        <f t="shared" si="50"/>
        <v>41550</v>
      </c>
      <c r="CE43" s="32">
        <f t="shared" si="50"/>
        <v>44872</v>
      </c>
      <c r="CF43" s="32">
        <f t="shared" si="50"/>
        <v>48459</v>
      </c>
      <c r="CG43" s="32">
        <f t="shared" si="50"/>
        <v>52334</v>
      </c>
      <c r="CH43" s="32">
        <f t="shared" si="50"/>
        <v>56519</v>
      </c>
      <c r="CI43" s="32">
        <f t="shared" si="50"/>
        <v>61038</v>
      </c>
    </row>
    <row r="44" spans="1:87" ht="16.5">
      <c r="A44" s="6" t="s">
        <v>483</v>
      </c>
      <c r="B44" s="30" t="s">
        <v>458</v>
      </c>
      <c r="C44" s="17" t="s">
        <v>473</v>
      </c>
      <c r="D44" s="32">
        <f t="shared" ref="D44:AI44" si="51">D39</f>
        <v>46</v>
      </c>
      <c r="E44" s="32">
        <f t="shared" si="51"/>
        <v>49</v>
      </c>
      <c r="F44" s="32">
        <f t="shared" si="51"/>
        <v>52</v>
      </c>
      <c r="G44" s="32">
        <f t="shared" si="51"/>
        <v>56</v>
      </c>
      <c r="H44" s="32">
        <f t="shared" si="51"/>
        <v>60</v>
      </c>
      <c r="I44" s="32">
        <f t="shared" si="51"/>
        <v>65</v>
      </c>
      <c r="J44" s="32">
        <f t="shared" si="51"/>
        <v>69</v>
      </c>
      <c r="K44" s="32">
        <f t="shared" si="51"/>
        <v>74</v>
      </c>
      <c r="L44" s="32">
        <f t="shared" si="51"/>
        <v>80</v>
      </c>
      <c r="M44" s="32">
        <f t="shared" si="51"/>
        <v>86</v>
      </c>
      <c r="N44" s="32">
        <f t="shared" si="51"/>
        <v>93</v>
      </c>
      <c r="O44" s="32">
        <f t="shared" si="51"/>
        <v>100</v>
      </c>
      <c r="P44" s="32">
        <f t="shared" si="51"/>
        <v>107</v>
      </c>
      <c r="Q44" s="32">
        <f t="shared" si="51"/>
        <v>115</v>
      </c>
      <c r="R44" s="32">
        <f t="shared" si="51"/>
        <v>124</v>
      </c>
      <c r="S44" s="32">
        <f t="shared" si="51"/>
        <v>134</v>
      </c>
      <c r="T44" s="32">
        <f t="shared" si="51"/>
        <v>144</v>
      </c>
      <c r="U44" s="32">
        <f t="shared" si="51"/>
        <v>155</v>
      </c>
      <c r="V44" s="32">
        <f t="shared" si="51"/>
        <v>167</v>
      </c>
      <c r="W44" s="32">
        <f t="shared" si="51"/>
        <v>180</v>
      </c>
      <c r="X44" s="32">
        <f t="shared" si="51"/>
        <v>194</v>
      </c>
      <c r="Y44" s="32">
        <f t="shared" si="51"/>
        <v>209</v>
      </c>
      <c r="Z44" s="32">
        <f t="shared" si="51"/>
        <v>225</v>
      </c>
      <c r="AA44" s="32">
        <f t="shared" si="51"/>
        <v>243</v>
      </c>
      <c r="AB44" s="32">
        <f t="shared" si="51"/>
        <v>262</v>
      </c>
      <c r="AC44" s="32">
        <f t="shared" si="51"/>
        <v>283</v>
      </c>
      <c r="AD44" s="32">
        <f t="shared" si="51"/>
        <v>305</v>
      </c>
      <c r="AE44" s="32">
        <f t="shared" si="51"/>
        <v>329</v>
      </c>
      <c r="AF44" s="32">
        <f t="shared" si="51"/>
        <v>355</v>
      </c>
      <c r="AG44" s="32">
        <f t="shared" si="51"/>
        <v>383</v>
      </c>
      <c r="AH44" s="32">
        <f t="shared" si="51"/>
        <v>413</v>
      </c>
      <c r="AI44" s="32">
        <f t="shared" si="51"/>
        <v>446</v>
      </c>
      <c r="AJ44" s="32">
        <f t="shared" ref="AJ44:BO44" si="52">AJ39</f>
        <v>481</v>
      </c>
      <c r="AK44" s="32">
        <f t="shared" si="52"/>
        <v>519</v>
      </c>
      <c r="AL44" s="32">
        <f t="shared" si="52"/>
        <v>560</v>
      </c>
      <c r="AM44" s="32">
        <f t="shared" si="52"/>
        <v>604</v>
      </c>
      <c r="AN44" s="32">
        <f t="shared" si="52"/>
        <v>652</v>
      </c>
      <c r="AO44" s="32">
        <f t="shared" si="52"/>
        <v>704</v>
      </c>
      <c r="AP44" s="32">
        <f t="shared" si="52"/>
        <v>760</v>
      </c>
      <c r="AQ44" s="32">
        <f t="shared" si="52"/>
        <v>820</v>
      </c>
      <c r="AR44" s="32">
        <f t="shared" si="52"/>
        <v>886</v>
      </c>
      <c r="AS44" s="32">
        <f t="shared" si="52"/>
        <v>956</v>
      </c>
      <c r="AT44" s="32">
        <f t="shared" si="52"/>
        <v>1032</v>
      </c>
      <c r="AU44" s="32">
        <f t="shared" si="52"/>
        <v>1114</v>
      </c>
      <c r="AV44" s="32">
        <f t="shared" si="52"/>
        <v>1203</v>
      </c>
      <c r="AW44" s="32">
        <f t="shared" si="52"/>
        <v>1299</v>
      </c>
      <c r="AX44" s="32">
        <f t="shared" si="52"/>
        <v>1403</v>
      </c>
      <c r="AY44" s="32">
        <f t="shared" si="52"/>
        <v>1514</v>
      </c>
      <c r="AZ44" s="32">
        <f t="shared" si="52"/>
        <v>1635</v>
      </c>
      <c r="BA44" s="32">
        <f t="shared" si="52"/>
        <v>1766</v>
      </c>
      <c r="BB44" s="32">
        <f t="shared" si="52"/>
        <v>1906</v>
      </c>
      <c r="BC44" s="32">
        <f t="shared" si="52"/>
        <v>2059</v>
      </c>
      <c r="BD44" s="32">
        <f t="shared" si="52"/>
        <v>2223</v>
      </c>
      <c r="BE44" s="32">
        <f t="shared" si="52"/>
        <v>2400</v>
      </c>
      <c r="BF44" s="32">
        <f t="shared" si="52"/>
        <v>2592</v>
      </c>
      <c r="BG44" s="32">
        <f t="shared" si="52"/>
        <v>2799</v>
      </c>
      <c r="BH44" s="32">
        <f t="shared" si="52"/>
        <v>3022</v>
      </c>
      <c r="BI44" s="32">
        <f t="shared" si="52"/>
        <v>3264</v>
      </c>
      <c r="BJ44" s="32">
        <f t="shared" si="52"/>
        <v>3524</v>
      </c>
      <c r="BK44" s="32">
        <f t="shared" si="52"/>
        <v>3806</v>
      </c>
      <c r="BL44" s="32">
        <f t="shared" si="52"/>
        <v>4110</v>
      </c>
      <c r="BM44" s="32">
        <f t="shared" si="52"/>
        <v>4438</v>
      </c>
      <c r="BN44" s="32">
        <f t="shared" si="52"/>
        <v>4793</v>
      </c>
      <c r="BO44" s="32">
        <f t="shared" si="52"/>
        <v>5176</v>
      </c>
      <c r="BP44" s="32">
        <f t="shared" ref="BP44:CI44" si="53">BP39</f>
        <v>5590</v>
      </c>
      <c r="BQ44" s="32">
        <f t="shared" si="53"/>
        <v>6037</v>
      </c>
      <c r="BR44" s="32">
        <f t="shared" si="53"/>
        <v>6519</v>
      </c>
      <c r="BS44" s="32">
        <f t="shared" si="53"/>
        <v>7040</v>
      </c>
      <c r="BT44" s="32">
        <f t="shared" si="53"/>
        <v>7603</v>
      </c>
      <c r="BU44" s="32">
        <f t="shared" si="53"/>
        <v>8211</v>
      </c>
      <c r="BV44" s="32">
        <f t="shared" si="53"/>
        <v>8867</v>
      </c>
      <c r="BW44" s="32">
        <f t="shared" si="53"/>
        <v>9576</v>
      </c>
      <c r="BX44" s="32">
        <f t="shared" si="53"/>
        <v>10342</v>
      </c>
      <c r="BY44" s="32">
        <f t="shared" si="53"/>
        <v>11169</v>
      </c>
      <c r="BZ44" s="32">
        <f t="shared" si="53"/>
        <v>12062</v>
      </c>
      <c r="CA44" s="32">
        <f t="shared" si="53"/>
        <v>13027</v>
      </c>
      <c r="CB44" s="32">
        <f t="shared" si="53"/>
        <v>14068</v>
      </c>
      <c r="CC44" s="32">
        <f t="shared" si="53"/>
        <v>15193</v>
      </c>
      <c r="CD44" s="32">
        <f t="shared" si="53"/>
        <v>16409</v>
      </c>
      <c r="CE44" s="32">
        <f t="shared" si="53"/>
        <v>17721</v>
      </c>
      <c r="CF44" s="32">
        <f t="shared" si="53"/>
        <v>19138</v>
      </c>
      <c r="CG44" s="32">
        <f t="shared" si="53"/>
        <v>20669</v>
      </c>
      <c r="CH44" s="32">
        <f t="shared" si="53"/>
        <v>22322</v>
      </c>
      <c r="CI44" s="32">
        <f t="shared" si="53"/>
        <v>24107</v>
      </c>
    </row>
    <row r="45" spans="1:87" ht="16.5">
      <c r="A45" s="6" t="s">
        <v>484</v>
      </c>
      <c r="B45" s="30" t="s">
        <v>455</v>
      </c>
      <c r="C45" s="17" t="s">
        <v>495</v>
      </c>
      <c r="D45" s="31">
        <v>4.4999999999999998E-2</v>
      </c>
      <c r="E45" s="31">
        <v>4.4999999999999998E-2</v>
      </c>
      <c r="F45" s="31">
        <v>4.4999999999999998E-2</v>
      </c>
      <c r="G45" s="31">
        <v>4.4999999999999998E-2</v>
      </c>
      <c r="H45" s="31">
        <v>4.4999999999999998E-2</v>
      </c>
      <c r="I45" s="31">
        <v>4.4999999999999998E-2</v>
      </c>
      <c r="J45" s="31">
        <v>4.4999999999999998E-2</v>
      </c>
      <c r="K45" s="31">
        <v>4.4999999999999998E-2</v>
      </c>
      <c r="L45" s="31">
        <v>4.4999999999999998E-2</v>
      </c>
      <c r="M45" s="31">
        <v>4.4999999999999998E-2</v>
      </c>
      <c r="N45" s="31">
        <v>4.4999999999999998E-2</v>
      </c>
      <c r="O45" s="31">
        <v>4.4999999999999998E-2</v>
      </c>
      <c r="P45" s="31">
        <v>4.4999999999999998E-2</v>
      </c>
      <c r="Q45" s="31">
        <v>4.4999999999999998E-2</v>
      </c>
      <c r="R45" s="31">
        <v>4.4999999999999998E-2</v>
      </c>
      <c r="S45" s="31">
        <v>4.4999999999999998E-2</v>
      </c>
      <c r="T45" s="31">
        <v>4.4999999999999998E-2</v>
      </c>
      <c r="U45" s="31">
        <v>4.4999999999999998E-2</v>
      </c>
      <c r="V45" s="31">
        <v>4.4999999999999998E-2</v>
      </c>
      <c r="W45" s="31">
        <v>4.4999999999999998E-2</v>
      </c>
      <c r="X45" s="31">
        <v>4.4999999999999998E-2</v>
      </c>
      <c r="Y45" s="31">
        <v>4.4999999999999998E-2</v>
      </c>
      <c r="Z45" s="31">
        <v>4.4999999999999998E-2</v>
      </c>
      <c r="AA45" s="31">
        <v>4.4999999999999998E-2</v>
      </c>
      <c r="AB45" s="31">
        <v>4.4999999999999998E-2</v>
      </c>
      <c r="AC45" s="31">
        <v>4.4999999999999998E-2</v>
      </c>
      <c r="AD45" s="31">
        <v>4.4999999999999998E-2</v>
      </c>
      <c r="AE45" s="31">
        <v>4.4999999999999998E-2</v>
      </c>
      <c r="AF45" s="31">
        <v>4.4999999999999998E-2</v>
      </c>
      <c r="AG45" s="31">
        <v>4.4999999999999998E-2</v>
      </c>
      <c r="AH45" s="31">
        <v>4.4999999999999998E-2</v>
      </c>
      <c r="AI45" s="31">
        <v>4.4999999999999998E-2</v>
      </c>
      <c r="AJ45" s="31">
        <v>4.4999999999999998E-2</v>
      </c>
      <c r="AK45" s="31">
        <v>4.4999999999999998E-2</v>
      </c>
      <c r="AL45" s="31">
        <v>4.4999999999999998E-2</v>
      </c>
      <c r="AM45" s="31">
        <v>4.4999999999999998E-2</v>
      </c>
      <c r="AN45" s="31">
        <v>4.4999999999999998E-2</v>
      </c>
      <c r="AO45" s="31">
        <v>4.4999999999999998E-2</v>
      </c>
      <c r="AP45" s="31">
        <v>4.4999999999999998E-2</v>
      </c>
      <c r="AQ45" s="31">
        <v>4.4999999999999998E-2</v>
      </c>
      <c r="AR45" s="31">
        <v>4.4999999999999998E-2</v>
      </c>
      <c r="AS45" s="31">
        <v>4.4999999999999998E-2</v>
      </c>
      <c r="AT45" s="31">
        <v>4.4999999999999998E-2</v>
      </c>
      <c r="AU45" s="31">
        <v>4.4999999999999998E-2</v>
      </c>
      <c r="AV45" s="31">
        <v>4.4999999999999998E-2</v>
      </c>
      <c r="AW45" s="31">
        <v>4.4999999999999998E-2</v>
      </c>
      <c r="AX45" s="31">
        <v>4.4999999999999998E-2</v>
      </c>
      <c r="AY45" s="31">
        <v>4.4999999999999998E-2</v>
      </c>
      <c r="AZ45" s="31">
        <v>4.4999999999999998E-2</v>
      </c>
      <c r="BA45" s="31">
        <v>4.4999999999999998E-2</v>
      </c>
      <c r="BB45" s="31">
        <v>4.4999999999999998E-2</v>
      </c>
      <c r="BC45" s="31">
        <v>4.4999999999999998E-2</v>
      </c>
      <c r="BD45" s="31">
        <v>4.4999999999999998E-2</v>
      </c>
      <c r="BE45" s="31">
        <v>4.4999999999999998E-2</v>
      </c>
      <c r="BF45" s="31">
        <v>4.4999999999999998E-2</v>
      </c>
      <c r="BG45" s="31">
        <v>4.4999999999999998E-2</v>
      </c>
      <c r="BH45" s="31">
        <v>4.4999999999999998E-2</v>
      </c>
      <c r="BI45" s="31">
        <v>4.4999999999999998E-2</v>
      </c>
      <c r="BJ45" s="31">
        <v>4.4999999999999998E-2</v>
      </c>
      <c r="BK45" s="31">
        <v>4.4999999999999998E-2</v>
      </c>
      <c r="BL45" s="31">
        <v>4.4999999999999998E-2</v>
      </c>
      <c r="BM45" s="31">
        <v>4.4999999999999998E-2</v>
      </c>
      <c r="BN45" s="31">
        <v>4.4999999999999998E-2</v>
      </c>
      <c r="BO45" s="31">
        <v>4.4999999999999998E-2</v>
      </c>
      <c r="BP45" s="31">
        <v>4.4999999999999998E-2</v>
      </c>
      <c r="BQ45" s="31">
        <v>4.4999999999999998E-2</v>
      </c>
      <c r="BR45" s="31">
        <v>4.4999999999999998E-2</v>
      </c>
      <c r="BS45" s="31">
        <v>4.4999999999999998E-2</v>
      </c>
      <c r="BT45" s="31">
        <v>4.4999999999999998E-2</v>
      </c>
      <c r="BU45" s="31">
        <v>4.4999999999999998E-2</v>
      </c>
      <c r="BV45" s="31">
        <v>4.4999999999999998E-2</v>
      </c>
      <c r="BW45" s="31">
        <v>4.4999999999999998E-2</v>
      </c>
      <c r="BX45" s="31">
        <v>4.4999999999999998E-2</v>
      </c>
      <c r="BY45" s="31">
        <v>4.4999999999999998E-2</v>
      </c>
      <c r="BZ45" s="31">
        <v>4.4999999999999998E-2</v>
      </c>
      <c r="CA45" s="31">
        <v>4.4999999999999998E-2</v>
      </c>
      <c r="CB45" s="31">
        <v>4.4999999999999998E-2</v>
      </c>
      <c r="CC45" s="31">
        <v>4.4999999999999998E-2</v>
      </c>
      <c r="CD45" s="31">
        <v>4.4999999999999998E-2</v>
      </c>
      <c r="CE45" s="31">
        <v>4.4999999999999998E-2</v>
      </c>
      <c r="CF45" s="31">
        <v>4.4999999999999998E-2</v>
      </c>
      <c r="CG45" s="31">
        <v>4.4999999999999998E-2</v>
      </c>
      <c r="CH45" s="31">
        <v>4.4999999999999998E-2</v>
      </c>
      <c r="CI45" s="31">
        <v>4.4999999999999998E-2</v>
      </c>
    </row>
    <row r="46" spans="1:87" ht="16.5">
      <c r="A46" s="6" t="s">
        <v>486</v>
      </c>
      <c r="B46" s="30" t="s">
        <v>458</v>
      </c>
      <c r="C46" s="17" t="s">
        <v>487</v>
      </c>
      <c r="D46" s="32">
        <f t="shared" ref="D46:AI46" si="54">ROUND(D41*D45, 0)</f>
        <v>2</v>
      </c>
      <c r="E46" s="32">
        <f t="shared" si="54"/>
        <v>4</v>
      </c>
      <c r="F46" s="32">
        <f t="shared" si="54"/>
        <v>6</v>
      </c>
      <c r="G46" s="32">
        <f t="shared" si="54"/>
        <v>9</v>
      </c>
      <c r="H46" s="32">
        <f t="shared" si="54"/>
        <v>11</v>
      </c>
      <c r="I46" s="32">
        <f t="shared" si="54"/>
        <v>13</v>
      </c>
      <c r="J46" s="32">
        <f t="shared" si="54"/>
        <v>16</v>
      </c>
      <c r="K46" s="32">
        <f t="shared" si="54"/>
        <v>18</v>
      </c>
      <c r="L46" s="32">
        <f t="shared" si="54"/>
        <v>21</v>
      </c>
      <c r="M46" s="32">
        <f t="shared" si="54"/>
        <v>24</v>
      </c>
      <c r="N46" s="32">
        <f t="shared" si="54"/>
        <v>27</v>
      </c>
      <c r="O46" s="32">
        <f t="shared" si="54"/>
        <v>30</v>
      </c>
      <c r="P46" s="32">
        <f t="shared" si="54"/>
        <v>34</v>
      </c>
      <c r="Q46" s="32">
        <f t="shared" si="54"/>
        <v>37</v>
      </c>
      <c r="R46" s="32">
        <f t="shared" si="54"/>
        <v>41</v>
      </c>
      <c r="S46" s="32">
        <f t="shared" si="54"/>
        <v>45</v>
      </c>
      <c r="T46" s="32">
        <f t="shared" si="54"/>
        <v>49</v>
      </c>
      <c r="U46" s="32">
        <f t="shared" si="54"/>
        <v>54</v>
      </c>
      <c r="V46" s="32">
        <f t="shared" si="54"/>
        <v>59</v>
      </c>
      <c r="W46" s="32">
        <f t="shared" si="54"/>
        <v>64</v>
      </c>
      <c r="X46" s="32">
        <f t="shared" si="54"/>
        <v>70</v>
      </c>
      <c r="Y46" s="32">
        <f t="shared" si="54"/>
        <v>76</v>
      </c>
      <c r="Z46" s="32">
        <f t="shared" si="54"/>
        <v>82</v>
      </c>
      <c r="AA46" s="32">
        <f t="shared" si="54"/>
        <v>89</v>
      </c>
      <c r="AB46" s="32">
        <f t="shared" si="54"/>
        <v>97</v>
      </c>
      <c r="AC46" s="32">
        <f t="shared" si="54"/>
        <v>105</v>
      </c>
      <c r="AD46" s="32">
        <f t="shared" si="54"/>
        <v>114</v>
      </c>
      <c r="AE46" s="32">
        <f t="shared" si="54"/>
        <v>123</v>
      </c>
      <c r="AF46" s="32">
        <f t="shared" si="54"/>
        <v>133</v>
      </c>
      <c r="AG46" s="32">
        <f t="shared" si="54"/>
        <v>144</v>
      </c>
      <c r="AH46" s="32">
        <f t="shared" si="54"/>
        <v>156</v>
      </c>
      <c r="AI46" s="32">
        <f t="shared" si="54"/>
        <v>168</v>
      </c>
      <c r="AJ46" s="32">
        <f t="shared" ref="AJ46:BO46" si="55">ROUND(AJ41*AJ45, 0)</f>
        <v>182</v>
      </c>
      <c r="AK46" s="32">
        <f t="shared" si="55"/>
        <v>196</v>
      </c>
      <c r="AL46" s="32">
        <f t="shared" si="55"/>
        <v>212</v>
      </c>
      <c r="AM46" s="32">
        <f t="shared" si="55"/>
        <v>229</v>
      </c>
      <c r="AN46" s="32">
        <f t="shared" si="55"/>
        <v>248</v>
      </c>
      <c r="AO46" s="32">
        <f t="shared" si="55"/>
        <v>267</v>
      </c>
      <c r="AP46" s="32">
        <f t="shared" si="55"/>
        <v>289</v>
      </c>
      <c r="AQ46" s="32">
        <f t="shared" si="55"/>
        <v>312</v>
      </c>
      <c r="AR46" s="32">
        <f t="shared" si="55"/>
        <v>337</v>
      </c>
      <c r="AS46" s="32">
        <f t="shared" si="55"/>
        <v>364</v>
      </c>
      <c r="AT46" s="32">
        <f t="shared" si="55"/>
        <v>392</v>
      </c>
      <c r="AU46" s="32">
        <f t="shared" si="55"/>
        <v>424</v>
      </c>
      <c r="AV46" s="32">
        <f t="shared" si="55"/>
        <v>458</v>
      </c>
      <c r="AW46" s="32">
        <f t="shared" si="55"/>
        <v>494</v>
      </c>
      <c r="AX46" s="32">
        <f t="shared" si="55"/>
        <v>533</v>
      </c>
      <c r="AY46" s="32">
        <f t="shared" si="55"/>
        <v>576</v>
      </c>
      <c r="AZ46" s="32">
        <f t="shared" si="55"/>
        <v>622</v>
      </c>
      <c r="BA46" s="32">
        <f t="shared" si="55"/>
        <v>672</v>
      </c>
      <c r="BB46" s="32">
        <f t="shared" si="55"/>
        <v>725</v>
      </c>
      <c r="BC46" s="32">
        <f t="shared" si="55"/>
        <v>783</v>
      </c>
      <c r="BD46" s="32">
        <f t="shared" si="55"/>
        <v>845</v>
      </c>
      <c r="BE46" s="32">
        <f t="shared" si="55"/>
        <v>913</v>
      </c>
      <c r="BF46" s="32">
        <f t="shared" si="55"/>
        <v>986</v>
      </c>
      <c r="BG46" s="32">
        <f t="shared" si="55"/>
        <v>1064</v>
      </c>
      <c r="BH46" s="32">
        <f t="shared" si="55"/>
        <v>1149</v>
      </c>
      <c r="BI46" s="32">
        <f t="shared" si="55"/>
        <v>1241</v>
      </c>
      <c r="BJ46" s="32">
        <f t="shared" si="55"/>
        <v>1340</v>
      </c>
      <c r="BK46" s="32">
        <f t="shared" si="55"/>
        <v>1447</v>
      </c>
      <c r="BL46" s="32">
        <f t="shared" si="55"/>
        <v>1562</v>
      </c>
      <c r="BM46" s="32">
        <f t="shared" si="55"/>
        <v>1687</v>
      </c>
      <c r="BN46" s="32">
        <f t="shared" si="55"/>
        <v>1822</v>
      </c>
      <c r="BO46" s="32">
        <f t="shared" si="55"/>
        <v>1967</v>
      </c>
      <c r="BP46" s="32">
        <f t="shared" ref="BP46:CU46" si="56">ROUND(BP41*BP45, 0)</f>
        <v>2124</v>
      </c>
      <c r="BQ46" s="32">
        <f t="shared" si="56"/>
        <v>2294</v>
      </c>
      <c r="BR46" s="32">
        <f t="shared" si="56"/>
        <v>2477</v>
      </c>
      <c r="BS46" s="32">
        <f t="shared" si="56"/>
        <v>2675</v>
      </c>
      <c r="BT46" s="32">
        <f t="shared" si="56"/>
        <v>2889</v>
      </c>
      <c r="BU46" s="32">
        <f t="shared" si="56"/>
        <v>3120</v>
      </c>
      <c r="BV46" s="32">
        <f t="shared" si="56"/>
        <v>3369</v>
      </c>
      <c r="BW46" s="32">
        <f t="shared" si="56"/>
        <v>3638</v>
      </c>
      <c r="BX46" s="32">
        <f t="shared" si="56"/>
        <v>3929</v>
      </c>
      <c r="BY46" s="32">
        <f t="shared" si="56"/>
        <v>4243</v>
      </c>
      <c r="BZ46" s="32">
        <f t="shared" si="56"/>
        <v>4582</v>
      </c>
      <c r="CA46" s="32">
        <f t="shared" si="56"/>
        <v>4948</v>
      </c>
      <c r="CB46" s="32">
        <f t="shared" si="56"/>
        <v>5344</v>
      </c>
      <c r="CC46" s="32">
        <f t="shared" si="56"/>
        <v>5771</v>
      </c>
      <c r="CD46" s="32">
        <f t="shared" si="56"/>
        <v>6232</v>
      </c>
      <c r="CE46" s="32">
        <f t="shared" si="56"/>
        <v>6731</v>
      </c>
      <c r="CF46" s="32">
        <f t="shared" si="56"/>
        <v>7269</v>
      </c>
      <c r="CG46" s="32">
        <f t="shared" si="56"/>
        <v>7850</v>
      </c>
      <c r="CH46" s="32">
        <f t="shared" si="56"/>
        <v>8478</v>
      </c>
      <c r="CI46" s="32">
        <f t="shared" si="56"/>
        <v>9156</v>
      </c>
    </row>
    <row r="47" spans="1:87" ht="16.5">
      <c r="A47" s="6" t="s">
        <v>488</v>
      </c>
      <c r="B47" s="30" t="s">
        <v>455</v>
      </c>
      <c r="C47" s="17" t="s">
        <v>496</v>
      </c>
      <c r="D47" s="31">
        <v>0.2</v>
      </c>
      <c r="E47" s="31">
        <v>0.2</v>
      </c>
      <c r="F47" s="31">
        <v>0.2</v>
      </c>
      <c r="G47" s="31">
        <v>0.2</v>
      </c>
      <c r="H47" s="31">
        <v>0.2</v>
      </c>
      <c r="I47" s="31">
        <v>0.2</v>
      </c>
      <c r="J47" s="31">
        <v>0.2</v>
      </c>
      <c r="K47" s="31">
        <v>0.2</v>
      </c>
      <c r="L47" s="31">
        <v>0.2</v>
      </c>
      <c r="M47" s="31">
        <v>0.2</v>
      </c>
      <c r="N47" s="31">
        <v>0.2</v>
      </c>
      <c r="O47" s="31">
        <v>0.2</v>
      </c>
      <c r="P47" s="31">
        <v>0.2</v>
      </c>
      <c r="Q47" s="31">
        <v>0.2</v>
      </c>
      <c r="R47" s="31">
        <v>0.2</v>
      </c>
      <c r="S47" s="31">
        <v>0.2</v>
      </c>
      <c r="T47" s="31">
        <v>0.2</v>
      </c>
      <c r="U47" s="31">
        <v>0.2</v>
      </c>
      <c r="V47" s="31">
        <v>0.2</v>
      </c>
      <c r="W47" s="31">
        <v>0.2</v>
      </c>
      <c r="X47" s="31">
        <v>0.2</v>
      </c>
      <c r="Y47" s="31">
        <v>0.2</v>
      </c>
      <c r="Z47" s="31">
        <v>0.2</v>
      </c>
      <c r="AA47" s="31">
        <v>0.2</v>
      </c>
      <c r="AB47" s="31">
        <v>0.2</v>
      </c>
      <c r="AC47" s="31">
        <v>0.2</v>
      </c>
      <c r="AD47" s="31">
        <v>0.2</v>
      </c>
      <c r="AE47" s="31">
        <v>0.2</v>
      </c>
      <c r="AF47" s="31">
        <v>0.2</v>
      </c>
      <c r="AG47" s="31">
        <v>0.2</v>
      </c>
      <c r="AH47" s="31">
        <v>0.2</v>
      </c>
      <c r="AI47" s="31">
        <v>0.2</v>
      </c>
      <c r="AJ47" s="31">
        <v>0.2</v>
      </c>
      <c r="AK47" s="31">
        <v>0.2</v>
      </c>
      <c r="AL47" s="31">
        <v>0.2</v>
      </c>
      <c r="AM47" s="31">
        <v>0.2</v>
      </c>
      <c r="AN47" s="31">
        <v>0.2</v>
      </c>
      <c r="AO47" s="31">
        <v>0.2</v>
      </c>
      <c r="AP47" s="31">
        <v>0.2</v>
      </c>
      <c r="AQ47" s="31">
        <v>0.2</v>
      </c>
      <c r="AR47" s="31">
        <v>0.2</v>
      </c>
      <c r="AS47" s="31">
        <v>0.2</v>
      </c>
      <c r="AT47" s="31">
        <v>0.2</v>
      </c>
      <c r="AU47" s="31">
        <v>0.2</v>
      </c>
      <c r="AV47" s="31">
        <v>0.2</v>
      </c>
      <c r="AW47" s="31">
        <v>0.2</v>
      </c>
      <c r="AX47" s="31">
        <v>0.2</v>
      </c>
      <c r="AY47" s="31">
        <v>0.2</v>
      </c>
      <c r="AZ47" s="31">
        <v>0.2</v>
      </c>
      <c r="BA47" s="31">
        <v>0.2</v>
      </c>
      <c r="BB47" s="31">
        <v>0.2</v>
      </c>
      <c r="BC47" s="31">
        <v>0.2</v>
      </c>
      <c r="BD47" s="31">
        <v>0.2</v>
      </c>
      <c r="BE47" s="31">
        <v>0.2</v>
      </c>
      <c r="BF47" s="31">
        <v>0.2</v>
      </c>
      <c r="BG47" s="31">
        <v>0.2</v>
      </c>
      <c r="BH47" s="31">
        <v>0.2</v>
      </c>
      <c r="BI47" s="31">
        <v>0.2</v>
      </c>
      <c r="BJ47" s="31">
        <v>0.2</v>
      </c>
      <c r="BK47" s="31">
        <v>0.2</v>
      </c>
      <c r="BL47" s="31">
        <v>0.2</v>
      </c>
      <c r="BM47" s="31">
        <v>0.2</v>
      </c>
      <c r="BN47" s="31">
        <v>0.2</v>
      </c>
      <c r="BO47" s="31">
        <v>0.2</v>
      </c>
      <c r="BP47" s="31">
        <v>0.2</v>
      </c>
      <c r="BQ47" s="31">
        <v>0.2</v>
      </c>
      <c r="BR47" s="31">
        <v>0.2</v>
      </c>
      <c r="BS47" s="31">
        <v>0.2</v>
      </c>
      <c r="BT47" s="31">
        <v>0.2</v>
      </c>
      <c r="BU47" s="31">
        <v>0.2</v>
      </c>
      <c r="BV47" s="31">
        <v>0.2</v>
      </c>
      <c r="BW47" s="31">
        <v>0.2</v>
      </c>
      <c r="BX47" s="31">
        <v>0.2</v>
      </c>
      <c r="BY47" s="31">
        <v>0.2</v>
      </c>
      <c r="BZ47" s="31">
        <v>0.2</v>
      </c>
      <c r="CA47" s="31">
        <v>0.2</v>
      </c>
      <c r="CB47" s="31">
        <v>0.2</v>
      </c>
      <c r="CC47" s="31">
        <v>0.2</v>
      </c>
      <c r="CD47" s="31">
        <v>0.2</v>
      </c>
      <c r="CE47" s="31">
        <v>0.2</v>
      </c>
      <c r="CF47" s="31">
        <v>0.2</v>
      </c>
      <c r="CG47" s="31">
        <v>0.2</v>
      </c>
      <c r="CH47" s="31">
        <v>0.2</v>
      </c>
      <c r="CI47" s="31">
        <v>0.2</v>
      </c>
    </row>
    <row r="48" spans="1:87" ht="16.5">
      <c r="A48" s="6" t="s">
        <v>489</v>
      </c>
      <c r="B48" s="30" t="s">
        <v>458</v>
      </c>
      <c r="C48" s="17" t="s">
        <v>490</v>
      </c>
      <c r="D48" s="32">
        <f t="shared" ref="D48:AI48" si="57">ROUND(D41*D47, 0)</f>
        <v>9</v>
      </c>
      <c r="E48" s="32">
        <f t="shared" si="57"/>
        <v>19</v>
      </c>
      <c r="F48" s="32">
        <f t="shared" si="57"/>
        <v>28</v>
      </c>
      <c r="G48" s="32">
        <f t="shared" si="57"/>
        <v>38</v>
      </c>
      <c r="H48" s="32">
        <f t="shared" si="57"/>
        <v>48</v>
      </c>
      <c r="I48" s="32">
        <f t="shared" si="57"/>
        <v>59</v>
      </c>
      <c r="J48" s="32">
        <f t="shared" si="57"/>
        <v>70</v>
      </c>
      <c r="K48" s="32">
        <f t="shared" si="57"/>
        <v>81</v>
      </c>
      <c r="L48" s="32">
        <f t="shared" si="57"/>
        <v>93</v>
      </c>
      <c r="M48" s="32">
        <f t="shared" si="57"/>
        <v>106</v>
      </c>
      <c r="N48" s="32">
        <f t="shared" si="57"/>
        <v>120</v>
      </c>
      <c r="O48" s="32">
        <f t="shared" si="57"/>
        <v>134</v>
      </c>
      <c r="P48" s="32">
        <f t="shared" si="57"/>
        <v>149</v>
      </c>
      <c r="Q48" s="32">
        <f t="shared" si="57"/>
        <v>165</v>
      </c>
      <c r="R48" s="32">
        <f t="shared" si="57"/>
        <v>182</v>
      </c>
      <c r="S48" s="32">
        <f t="shared" si="57"/>
        <v>200</v>
      </c>
      <c r="T48" s="32">
        <f t="shared" si="57"/>
        <v>219</v>
      </c>
      <c r="U48" s="32">
        <f t="shared" si="57"/>
        <v>239</v>
      </c>
      <c r="V48" s="32">
        <f t="shared" si="57"/>
        <v>261</v>
      </c>
      <c r="W48" s="32">
        <f t="shared" si="57"/>
        <v>285</v>
      </c>
      <c r="X48" s="32">
        <f t="shared" si="57"/>
        <v>310</v>
      </c>
      <c r="Y48" s="32">
        <f t="shared" si="57"/>
        <v>337</v>
      </c>
      <c r="Z48" s="32">
        <f t="shared" si="57"/>
        <v>366</v>
      </c>
      <c r="AA48" s="32">
        <f t="shared" si="57"/>
        <v>397</v>
      </c>
      <c r="AB48" s="32">
        <f t="shared" si="57"/>
        <v>430</v>
      </c>
      <c r="AC48" s="32">
        <f t="shared" si="57"/>
        <v>466</v>
      </c>
      <c r="AD48" s="32">
        <f t="shared" si="57"/>
        <v>505</v>
      </c>
      <c r="AE48" s="32">
        <f t="shared" si="57"/>
        <v>546</v>
      </c>
      <c r="AF48" s="32">
        <f t="shared" si="57"/>
        <v>591</v>
      </c>
      <c r="AG48" s="32">
        <f t="shared" si="57"/>
        <v>639</v>
      </c>
      <c r="AH48" s="32">
        <f t="shared" si="57"/>
        <v>691</v>
      </c>
      <c r="AI48" s="32">
        <f t="shared" si="57"/>
        <v>747</v>
      </c>
      <c r="AJ48" s="32">
        <f t="shared" ref="AJ48:BO48" si="58">ROUND(AJ41*AJ47, 0)</f>
        <v>808</v>
      </c>
      <c r="AK48" s="32">
        <f t="shared" si="58"/>
        <v>873</v>
      </c>
      <c r="AL48" s="32">
        <f t="shared" si="58"/>
        <v>943</v>
      </c>
      <c r="AM48" s="32">
        <f t="shared" si="58"/>
        <v>1018</v>
      </c>
      <c r="AN48" s="32">
        <f t="shared" si="58"/>
        <v>1100</v>
      </c>
      <c r="AO48" s="32">
        <f t="shared" si="58"/>
        <v>1188</v>
      </c>
      <c r="AP48" s="32">
        <f t="shared" si="58"/>
        <v>1283</v>
      </c>
      <c r="AQ48" s="32">
        <f t="shared" si="58"/>
        <v>1385</v>
      </c>
      <c r="AR48" s="32">
        <f t="shared" si="58"/>
        <v>1496</v>
      </c>
      <c r="AS48" s="32">
        <f t="shared" si="58"/>
        <v>1616</v>
      </c>
      <c r="AT48" s="32">
        <f t="shared" si="58"/>
        <v>1744</v>
      </c>
      <c r="AU48" s="32">
        <f t="shared" si="58"/>
        <v>1883</v>
      </c>
      <c r="AV48" s="32">
        <f t="shared" si="58"/>
        <v>2034</v>
      </c>
      <c r="AW48" s="32">
        <f t="shared" si="58"/>
        <v>2196</v>
      </c>
      <c r="AX48" s="32">
        <f t="shared" si="58"/>
        <v>2371</v>
      </c>
      <c r="AY48" s="32">
        <f t="shared" si="58"/>
        <v>2560</v>
      </c>
      <c r="AZ48" s="32">
        <f t="shared" si="58"/>
        <v>2764</v>
      </c>
      <c r="BA48" s="32">
        <f t="shared" si="58"/>
        <v>2985</v>
      </c>
      <c r="BB48" s="32">
        <f t="shared" si="58"/>
        <v>3223</v>
      </c>
      <c r="BC48" s="32">
        <f t="shared" si="58"/>
        <v>3480</v>
      </c>
      <c r="BD48" s="32">
        <f t="shared" si="58"/>
        <v>3758</v>
      </c>
      <c r="BE48" s="32">
        <f t="shared" si="58"/>
        <v>4057</v>
      </c>
      <c r="BF48" s="32">
        <f t="shared" si="58"/>
        <v>4381</v>
      </c>
      <c r="BG48" s="32">
        <f t="shared" si="58"/>
        <v>4730</v>
      </c>
      <c r="BH48" s="32">
        <f t="shared" si="58"/>
        <v>5108</v>
      </c>
      <c r="BI48" s="32">
        <f t="shared" si="58"/>
        <v>5515</v>
      </c>
      <c r="BJ48" s="32">
        <f t="shared" si="58"/>
        <v>5955</v>
      </c>
      <c r="BK48" s="32">
        <f t="shared" si="58"/>
        <v>6431</v>
      </c>
      <c r="BL48" s="32">
        <f t="shared" si="58"/>
        <v>6944</v>
      </c>
      <c r="BM48" s="32">
        <f t="shared" si="58"/>
        <v>7498</v>
      </c>
      <c r="BN48" s="32">
        <f t="shared" si="58"/>
        <v>8097</v>
      </c>
      <c r="BO48" s="32">
        <f t="shared" si="58"/>
        <v>8744</v>
      </c>
      <c r="BP48" s="32">
        <f t="shared" ref="BP48:CU48" si="59">ROUND(BP41*BP47, 0)</f>
        <v>9442</v>
      </c>
      <c r="BQ48" s="32">
        <f t="shared" si="59"/>
        <v>10196</v>
      </c>
      <c r="BR48" s="32">
        <f t="shared" si="59"/>
        <v>11011</v>
      </c>
      <c r="BS48" s="32">
        <f t="shared" si="59"/>
        <v>11890</v>
      </c>
      <c r="BT48" s="32">
        <f t="shared" si="59"/>
        <v>12840</v>
      </c>
      <c r="BU48" s="32">
        <f t="shared" si="59"/>
        <v>13866</v>
      </c>
      <c r="BV48" s="32">
        <f t="shared" si="59"/>
        <v>14973</v>
      </c>
      <c r="BW48" s="32">
        <f t="shared" si="59"/>
        <v>16170</v>
      </c>
      <c r="BX48" s="32">
        <f t="shared" si="59"/>
        <v>17462</v>
      </c>
      <c r="BY48" s="32">
        <f t="shared" si="59"/>
        <v>18858</v>
      </c>
      <c r="BZ48" s="32">
        <f t="shared" si="59"/>
        <v>20365</v>
      </c>
      <c r="CA48" s="32">
        <f t="shared" si="59"/>
        <v>21993</v>
      </c>
      <c r="CB48" s="32">
        <f t="shared" si="59"/>
        <v>23751</v>
      </c>
      <c r="CC48" s="32">
        <f t="shared" si="59"/>
        <v>25649</v>
      </c>
      <c r="CD48" s="32">
        <f t="shared" si="59"/>
        <v>27700</v>
      </c>
      <c r="CE48" s="32">
        <f t="shared" si="59"/>
        <v>29914</v>
      </c>
      <c r="CF48" s="32">
        <f t="shared" si="59"/>
        <v>32306</v>
      </c>
      <c r="CG48" s="32">
        <f t="shared" si="59"/>
        <v>34889</v>
      </c>
      <c r="CH48" s="32">
        <f t="shared" si="59"/>
        <v>37679</v>
      </c>
      <c r="CI48" s="32">
        <f t="shared" si="59"/>
        <v>40692</v>
      </c>
    </row>
    <row r="50" spans="1:87" ht="16">
      <c r="A50" s="129" t="s">
        <v>497</v>
      </c>
      <c r="B50" s="120"/>
      <c r="C50" s="120"/>
    </row>
    <row r="51" spans="1:87" ht="16.5">
      <c r="A51" s="6" t="s">
        <v>454</v>
      </c>
      <c r="B51" s="30" t="s">
        <v>455</v>
      </c>
      <c r="C51" s="17" t="s">
        <v>480</v>
      </c>
      <c r="D51" s="31">
        <v>0.15</v>
      </c>
      <c r="E51" s="31">
        <v>0.15</v>
      </c>
      <c r="F51" s="31">
        <v>0.15</v>
      </c>
      <c r="G51" s="31">
        <v>0.15</v>
      </c>
      <c r="H51" s="31">
        <v>0.15</v>
      </c>
      <c r="I51" s="31">
        <v>0.15</v>
      </c>
      <c r="J51" s="31">
        <v>0.15</v>
      </c>
      <c r="K51" s="31">
        <v>0.15</v>
      </c>
      <c r="L51" s="31">
        <v>0.15</v>
      </c>
      <c r="M51" s="31">
        <v>0.15</v>
      </c>
      <c r="N51" s="31">
        <v>0.15</v>
      </c>
      <c r="O51" s="31">
        <v>0.15</v>
      </c>
      <c r="P51" s="31">
        <v>0.15</v>
      </c>
      <c r="Q51" s="31">
        <v>0.15</v>
      </c>
      <c r="R51" s="31">
        <v>0.15</v>
      </c>
      <c r="S51" s="31">
        <v>0.15</v>
      </c>
      <c r="T51" s="31">
        <v>0.15</v>
      </c>
      <c r="U51" s="31">
        <v>0.15</v>
      </c>
      <c r="V51" s="31">
        <v>0.15</v>
      </c>
      <c r="W51" s="31">
        <v>0.15</v>
      </c>
      <c r="X51" s="31">
        <v>0.15</v>
      </c>
      <c r="Y51" s="31">
        <v>0.15</v>
      </c>
      <c r="Z51" s="31">
        <v>0.15</v>
      </c>
      <c r="AA51" s="31">
        <v>0.15</v>
      </c>
      <c r="AB51" s="31">
        <v>0.15</v>
      </c>
      <c r="AC51" s="31">
        <v>0.15</v>
      </c>
      <c r="AD51" s="31">
        <v>0.15</v>
      </c>
      <c r="AE51" s="31">
        <v>0.15</v>
      </c>
      <c r="AF51" s="31">
        <v>0.15</v>
      </c>
      <c r="AG51" s="31">
        <v>0.15</v>
      </c>
      <c r="AH51" s="31">
        <v>0.15</v>
      </c>
      <c r="AI51" s="31">
        <v>0.15</v>
      </c>
      <c r="AJ51" s="31">
        <v>0.15</v>
      </c>
      <c r="AK51" s="31">
        <v>0.15</v>
      </c>
      <c r="AL51" s="31">
        <v>0.15</v>
      </c>
      <c r="AM51" s="31">
        <v>0.15</v>
      </c>
      <c r="AN51" s="31">
        <v>0.15</v>
      </c>
      <c r="AO51" s="31">
        <v>0.15</v>
      </c>
      <c r="AP51" s="31">
        <v>0.15</v>
      </c>
      <c r="AQ51" s="31">
        <v>0.15</v>
      </c>
      <c r="AR51" s="31">
        <v>0.15</v>
      </c>
      <c r="AS51" s="31">
        <v>0.15</v>
      </c>
      <c r="AT51" s="31">
        <v>0.15</v>
      </c>
      <c r="AU51" s="31">
        <v>0.15</v>
      </c>
      <c r="AV51" s="31">
        <v>0.15</v>
      </c>
      <c r="AW51" s="31">
        <v>0.15</v>
      </c>
      <c r="AX51" s="31">
        <v>0.15</v>
      </c>
      <c r="AY51" s="31">
        <v>0.15</v>
      </c>
      <c r="AZ51" s="31">
        <v>0.15</v>
      </c>
      <c r="BA51" s="31">
        <v>0.15</v>
      </c>
      <c r="BB51" s="31">
        <v>0.15</v>
      </c>
      <c r="BC51" s="31">
        <v>0.15</v>
      </c>
      <c r="BD51" s="31">
        <v>0.15</v>
      </c>
      <c r="BE51" s="31">
        <v>0.15</v>
      </c>
      <c r="BF51" s="31">
        <v>0.15</v>
      </c>
      <c r="BG51" s="31">
        <v>0.15</v>
      </c>
      <c r="BH51" s="31">
        <v>0.15</v>
      </c>
      <c r="BI51" s="31">
        <v>0.15</v>
      </c>
      <c r="BJ51" s="31">
        <v>0.15</v>
      </c>
      <c r="BK51" s="31">
        <v>0.15</v>
      </c>
      <c r="BL51" s="31">
        <v>0.15</v>
      </c>
      <c r="BM51" s="31">
        <v>0.15</v>
      </c>
      <c r="BN51" s="31">
        <v>0.15</v>
      </c>
      <c r="BO51" s="31">
        <v>0.15</v>
      </c>
      <c r="BP51" s="31">
        <v>0.15</v>
      </c>
      <c r="BQ51" s="31">
        <v>0.15</v>
      </c>
      <c r="BR51" s="31">
        <v>0.15</v>
      </c>
      <c r="BS51" s="31">
        <v>0.15</v>
      </c>
      <c r="BT51" s="31">
        <v>0.15</v>
      </c>
      <c r="BU51" s="31">
        <v>0.15</v>
      </c>
      <c r="BV51" s="31">
        <v>0.15</v>
      </c>
      <c r="BW51" s="31">
        <v>0.15</v>
      </c>
      <c r="BX51" s="31">
        <v>0.15</v>
      </c>
      <c r="BY51" s="31">
        <v>0.15</v>
      </c>
      <c r="BZ51" s="31">
        <v>0.15</v>
      </c>
      <c r="CA51" s="31">
        <v>0.15</v>
      </c>
      <c r="CB51" s="31">
        <v>0.15</v>
      </c>
      <c r="CC51" s="31">
        <v>0.15</v>
      </c>
      <c r="CD51" s="31">
        <v>0.15</v>
      </c>
      <c r="CE51" s="31">
        <v>0.15</v>
      </c>
      <c r="CF51" s="31">
        <v>0.15</v>
      </c>
      <c r="CG51" s="31">
        <v>0.15</v>
      </c>
      <c r="CH51" s="31">
        <v>0.15</v>
      </c>
      <c r="CI51" s="31">
        <v>0.15</v>
      </c>
    </row>
    <row r="52" spans="1:87" ht="16.5">
      <c r="A52" s="6" t="s">
        <v>457</v>
      </c>
      <c r="B52" s="30" t="s">
        <v>458</v>
      </c>
      <c r="C52" s="17" t="s">
        <v>459</v>
      </c>
      <c r="D52" s="32">
        <v>1000</v>
      </c>
      <c r="E52" s="32">
        <f t="shared" ref="E52:AJ52" si="60">D52*(1+E51)</f>
        <v>1150</v>
      </c>
      <c r="F52" s="32">
        <f t="shared" si="60"/>
        <v>1322.5</v>
      </c>
      <c r="G52" s="32">
        <f t="shared" si="60"/>
        <v>1520.8749999999998</v>
      </c>
      <c r="H52" s="32">
        <f t="shared" si="60"/>
        <v>1749.0062499999997</v>
      </c>
      <c r="I52" s="32">
        <f t="shared" si="60"/>
        <v>2011.3571874999996</v>
      </c>
      <c r="J52" s="32">
        <f t="shared" si="60"/>
        <v>2313.0607656249995</v>
      </c>
      <c r="K52" s="32">
        <f t="shared" si="60"/>
        <v>2660.0198804687493</v>
      </c>
      <c r="L52" s="32">
        <f t="shared" si="60"/>
        <v>3059.0228625390614</v>
      </c>
      <c r="M52" s="32">
        <f t="shared" si="60"/>
        <v>3517.8762919199203</v>
      </c>
      <c r="N52" s="32">
        <f t="shared" si="60"/>
        <v>4045.5577357079078</v>
      </c>
      <c r="O52" s="32">
        <f t="shared" si="60"/>
        <v>4652.3913960640939</v>
      </c>
      <c r="P52" s="32">
        <f t="shared" si="60"/>
        <v>5350.2501054737077</v>
      </c>
      <c r="Q52" s="32">
        <f t="shared" si="60"/>
        <v>6152.7876212947631</v>
      </c>
      <c r="R52" s="32">
        <f t="shared" si="60"/>
        <v>7075.7057644889774</v>
      </c>
      <c r="S52" s="32">
        <f t="shared" si="60"/>
        <v>8137.0616291623237</v>
      </c>
      <c r="T52" s="32">
        <f t="shared" si="60"/>
        <v>9357.6208735366708</v>
      </c>
      <c r="U52" s="32">
        <f t="shared" si="60"/>
        <v>10761.264004567171</v>
      </c>
      <c r="V52" s="32">
        <f t="shared" si="60"/>
        <v>12375.453605252245</v>
      </c>
      <c r="W52" s="32">
        <f t="shared" si="60"/>
        <v>14231.771646040081</v>
      </c>
      <c r="X52" s="32">
        <f t="shared" si="60"/>
        <v>16366.537392946091</v>
      </c>
      <c r="Y52" s="32">
        <f t="shared" si="60"/>
        <v>18821.518001888002</v>
      </c>
      <c r="Z52" s="32">
        <f t="shared" si="60"/>
        <v>21644.7457021712</v>
      </c>
      <c r="AA52" s="32">
        <f t="shared" si="60"/>
        <v>24891.457557496877</v>
      </c>
      <c r="AB52" s="32">
        <f t="shared" si="60"/>
        <v>28625.176191121405</v>
      </c>
      <c r="AC52" s="32">
        <f t="shared" si="60"/>
        <v>32918.952619789612</v>
      </c>
      <c r="AD52" s="32">
        <f t="shared" si="60"/>
        <v>37856.79551275805</v>
      </c>
      <c r="AE52" s="32">
        <f t="shared" si="60"/>
        <v>43535.314839671752</v>
      </c>
      <c r="AF52" s="32">
        <f t="shared" si="60"/>
        <v>50065.61206562251</v>
      </c>
      <c r="AG52" s="32">
        <f t="shared" si="60"/>
        <v>57575.453875465879</v>
      </c>
      <c r="AH52" s="32">
        <f t="shared" si="60"/>
        <v>66211.771956785757</v>
      </c>
      <c r="AI52" s="32">
        <f t="shared" si="60"/>
        <v>76143.537750303614</v>
      </c>
      <c r="AJ52" s="32">
        <f t="shared" si="60"/>
        <v>87565.068412849156</v>
      </c>
      <c r="AK52" s="32">
        <f t="shared" ref="AK52:BP52" si="61">AJ52*(1+AK51)</f>
        <v>100699.82867477652</v>
      </c>
      <c r="AL52" s="32">
        <f t="shared" si="61"/>
        <v>115804.80297599299</v>
      </c>
      <c r="AM52" s="32">
        <f t="shared" si="61"/>
        <v>133175.52342239194</v>
      </c>
      <c r="AN52" s="32">
        <f t="shared" si="61"/>
        <v>153151.85193575072</v>
      </c>
      <c r="AO52" s="32">
        <f t="shared" si="61"/>
        <v>176124.62972611331</v>
      </c>
      <c r="AP52" s="32">
        <f t="shared" si="61"/>
        <v>202543.3241850303</v>
      </c>
      <c r="AQ52" s="32">
        <f t="shared" si="61"/>
        <v>232924.82281278484</v>
      </c>
      <c r="AR52" s="32">
        <f t="shared" si="61"/>
        <v>267863.54623470258</v>
      </c>
      <c r="AS52" s="32">
        <f t="shared" si="61"/>
        <v>308043.07816990791</v>
      </c>
      <c r="AT52" s="32">
        <f t="shared" si="61"/>
        <v>354249.53989539406</v>
      </c>
      <c r="AU52" s="32">
        <f t="shared" si="61"/>
        <v>407386.97087970312</v>
      </c>
      <c r="AV52" s="32">
        <f t="shared" si="61"/>
        <v>468495.01651165856</v>
      </c>
      <c r="AW52" s="32">
        <f t="shared" si="61"/>
        <v>538769.26898840733</v>
      </c>
      <c r="AX52" s="32">
        <f t="shared" si="61"/>
        <v>619584.65933666844</v>
      </c>
      <c r="AY52" s="32">
        <f t="shared" si="61"/>
        <v>712522.35823716864</v>
      </c>
      <c r="AZ52" s="32">
        <f t="shared" si="61"/>
        <v>819400.71197274385</v>
      </c>
      <c r="BA52" s="32">
        <f t="shared" si="61"/>
        <v>942310.81876865542</v>
      </c>
      <c r="BB52" s="32">
        <f t="shared" si="61"/>
        <v>1083657.4415839536</v>
      </c>
      <c r="BC52" s="32">
        <f t="shared" si="61"/>
        <v>1246206.0578215464</v>
      </c>
      <c r="BD52" s="32">
        <f t="shared" si="61"/>
        <v>1433136.9664947784</v>
      </c>
      <c r="BE52" s="32">
        <f t="shared" si="61"/>
        <v>1648107.5114689951</v>
      </c>
      <c r="BF52" s="32">
        <f t="shared" si="61"/>
        <v>1895323.6381893442</v>
      </c>
      <c r="BG52" s="32">
        <f t="shared" si="61"/>
        <v>2179622.1839177455</v>
      </c>
      <c r="BH52" s="32">
        <f t="shared" si="61"/>
        <v>2506565.5115054073</v>
      </c>
      <c r="BI52" s="32">
        <f t="shared" si="61"/>
        <v>2882550.338231218</v>
      </c>
      <c r="BJ52" s="32">
        <f t="shared" si="61"/>
        <v>3314932.8889659005</v>
      </c>
      <c r="BK52" s="32">
        <f t="shared" si="61"/>
        <v>3812172.8223107853</v>
      </c>
      <c r="BL52" s="32">
        <f t="shared" si="61"/>
        <v>4383998.745657403</v>
      </c>
      <c r="BM52" s="32">
        <f t="shared" si="61"/>
        <v>5041598.5575060127</v>
      </c>
      <c r="BN52" s="32">
        <f t="shared" si="61"/>
        <v>5797838.3411319144</v>
      </c>
      <c r="BO52" s="32">
        <f t="shared" si="61"/>
        <v>6667514.0923017012</v>
      </c>
      <c r="BP52" s="32">
        <f t="shared" si="61"/>
        <v>7667641.2061469555</v>
      </c>
      <c r="BQ52" s="32">
        <f t="shared" ref="BQ52:CV52" si="62">BP52*(1+BQ51)</f>
        <v>8817787.3870689981</v>
      </c>
      <c r="BR52" s="32">
        <f t="shared" si="62"/>
        <v>10140455.495129347</v>
      </c>
      <c r="BS52" s="32">
        <f t="shared" si="62"/>
        <v>11661523.819398748</v>
      </c>
      <c r="BT52" s="32">
        <f t="shared" si="62"/>
        <v>13410752.392308559</v>
      </c>
      <c r="BU52" s="32">
        <f t="shared" si="62"/>
        <v>15422365.251154842</v>
      </c>
      <c r="BV52" s="32">
        <f t="shared" si="62"/>
        <v>17735720.038828067</v>
      </c>
      <c r="BW52" s="32">
        <f t="shared" si="62"/>
        <v>20396078.044652276</v>
      </c>
      <c r="BX52" s="32">
        <f t="shared" si="62"/>
        <v>23455489.751350116</v>
      </c>
      <c r="BY52" s="32">
        <f t="shared" si="62"/>
        <v>26973813.214052632</v>
      </c>
      <c r="BZ52" s="32">
        <f t="shared" si="62"/>
        <v>31019885.196160525</v>
      </c>
      <c r="CA52" s="32">
        <f t="shared" si="62"/>
        <v>35672867.975584604</v>
      </c>
      <c r="CB52" s="32">
        <f t="shared" si="62"/>
        <v>41023798.171922289</v>
      </c>
      <c r="CC52" s="32">
        <f t="shared" si="62"/>
        <v>47177367.897710629</v>
      </c>
      <c r="CD52" s="32">
        <f t="shared" si="62"/>
        <v>54253973.082367219</v>
      </c>
      <c r="CE52" s="32">
        <f t="shared" si="62"/>
        <v>62392069.044722296</v>
      </c>
      <c r="CF52" s="32">
        <f t="shared" si="62"/>
        <v>71750879.401430637</v>
      </c>
      <c r="CG52" s="32">
        <f t="shared" si="62"/>
        <v>82513511.311645225</v>
      </c>
      <c r="CH52" s="32">
        <f t="shared" si="62"/>
        <v>94890538.008392006</v>
      </c>
      <c r="CI52" s="32">
        <f t="shared" si="62"/>
        <v>109124118.7096508</v>
      </c>
    </row>
    <row r="53" spans="1:87" ht="16.5">
      <c r="A53" s="6" t="s">
        <v>460</v>
      </c>
      <c r="B53" s="30" t="s">
        <v>455</v>
      </c>
      <c r="C53" s="17" t="s">
        <v>476</v>
      </c>
      <c r="D53" s="31">
        <v>0.08</v>
      </c>
      <c r="E53" s="31">
        <v>0.08</v>
      </c>
      <c r="F53" s="31">
        <v>0.08</v>
      </c>
      <c r="G53" s="31">
        <v>0.08</v>
      </c>
      <c r="H53" s="31">
        <v>0.08</v>
      </c>
      <c r="I53" s="31">
        <v>0.08</v>
      </c>
      <c r="J53" s="31">
        <v>0.08</v>
      </c>
      <c r="K53" s="31">
        <v>0.08</v>
      </c>
      <c r="L53" s="31">
        <v>0.08</v>
      </c>
      <c r="M53" s="31">
        <v>0.08</v>
      </c>
      <c r="N53" s="31">
        <v>0.08</v>
      </c>
      <c r="O53" s="31">
        <v>0.08</v>
      </c>
      <c r="P53" s="31">
        <v>0.08</v>
      </c>
      <c r="Q53" s="31">
        <v>0.08</v>
      </c>
      <c r="R53" s="31">
        <v>0.08</v>
      </c>
      <c r="S53" s="31">
        <v>0.08</v>
      </c>
      <c r="T53" s="31">
        <v>0.08</v>
      </c>
      <c r="U53" s="31">
        <v>0.08</v>
      </c>
      <c r="V53" s="31">
        <v>0.08</v>
      </c>
      <c r="W53" s="31">
        <v>0.08</v>
      </c>
      <c r="X53" s="31">
        <v>0.08</v>
      </c>
      <c r="Y53" s="31">
        <v>0.08</v>
      </c>
      <c r="Z53" s="31">
        <v>0.08</v>
      </c>
      <c r="AA53" s="31">
        <v>0.08</v>
      </c>
      <c r="AB53" s="31">
        <v>0.08</v>
      </c>
      <c r="AC53" s="31">
        <v>0.08</v>
      </c>
      <c r="AD53" s="31">
        <v>0.08</v>
      </c>
      <c r="AE53" s="31">
        <v>0.08</v>
      </c>
      <c r="AF53" s="31">
        <v>0.08</v>
      </c>
      <c r="AG53" s="31">
        <v>0.08</v>
      </c>
      <c r="AH53" s="31">
        <v>0.08</v>
      </c>
      <c r="AI53" s="31">
        <v>0.08</v>
      </c>
      <c r="AJ53" s="31">
        <v>0.08</v>
      </c>
      <c r="AK53" s="31">
        <v>0.08</v>
      </c>
      <c r="AL53" s="31">
        <v>0.08</v>
      </c>
      <c r="AM53" s="31">
        <v>0.08</v>
      </c>
      <c r="AN53" s="31">
        <v>0.08</v>
      </c>
      <c r="AO53" s="31">
        <v>0.08</v>
      </c>
      <c r="AP53" s="31">
        <v>0.08</v>
      </c>
      <c r="AQ53" s="31">
        <v>0.08</v>
      </c>
      <c r="AR53" s="31">
        <v>0.08</v>
      </c>
      <c r="AS53" s="31">
        <v>0.08</v>
      </c>
      <c r="AT53" s="31">
        <v>0.08</v>
      </c>
      <c r="AU53" s="31">
        <v>0.08</v>
      </c>
      <c r="AV53" s="31">
        <v>0.08</v>
      </c>
      <c r="AW53" s="31">
        <v>0.08</v>
      </c>
      <c r="AX53" s="31">
        <v>0.08</v>
      </c>
      <c r="AY53" s="31">
        <v>0.08</v>
      </c>
      <c r="AZ53" s="31">
        <v>0.08</v>
      </c>
      <c r="BA53" s="31">
        <v>0.08</v>
      </c>
      <c r="BB53" s="31">
        <v>0.08</v>
      </c>
      <c r="BC53" s="31">
        <v>0.08</v>
      </c>
      <c r="BD53" s="31">
        <v>0.08</v>
      </c>
      <c r="BE53" s="31">
        <v>0.08</v>
      </c>
      <c r="BF53" s="31">
        <v>0.08</v>
      </c>
      <c r="BG53" s="31">
        <v>0.08</v>
      </c>
      <c r="BH53" s="31">
        <v>0.08</v>
      </c>
      <c r="BI53" s="31">
        <v>0.08</v>
      </c>
      <c r="BJ53" s="31">
        <v>0.08</v>
      </c>
      <c r="BK53" s="31">
        <v>0.08</v>
      </c>
      <c r="BL53" s="31">
        <v>0.08</v>
      </c>
      <c r="BM53" s="31">
        <v>0.08</v>
      </c>
      <c r="BN53" s="31">
        <v>0.08</v>
      </c>
      <c r="BO53" s="31">
        <v>0.08</v>
      </c>
      <c r="BP53" s="31">
        <v>0.08</v>
      </c>
      <c r="BQ53" s="31">
        <v>0.08</v>
      </c>
      <c r="BR53" s="31">
        <v>0.08</v>
      </c>
      <c r="BS53" s="31">
        <v>0.08</v>
      </c>
      <c r="BT53" s="31">
        <v>0.08</v>
      </c>
      <c r="BU53" s="31">
        <v>0.08</v>
      </c>
      <c r="BV53" s="31">
        <v>0.08</v>
      </c>
      <c r="BW53" s="31">
        <v>0.08</v>
      </c>
      <c r="BX53" s="31">
        <v>0.08</v>
      </c>
      <c r="BY53" s="31">
        <v>0.08</v>
      </c>
      <c r="BZ53" s="31">
        <v>0.08</v>
      </c>
      <c r="CA53" s="31">
        <v>0.08</v>
      </c>
      <c r="CB53" s="31">
        <v>0.08</v>
      </c>
      <c r="CC53" s="31">
        <v>0.08</v>
      </c>
      <c r="CD53" s="31">
        <v>0.08</v>
      </c>
      <c r="CE53" s="31">
        <v>0.08</v>
      </c>
      <c r="CF53" s="31">
        <v>0.08</v>
      </c>
      <c r="CG53" s="31">
        <v>0.08</v>
      </c>
      <c r="CH53" s="31">
        <v>0.08</v>
      </c>
      <c r="CI53" s="31">
        <v>0.08</v>
      </c>
    </row>
    <row r="54" spans="1:87" ht="16.5">
      <c r="A54" s="6" t="s">
        <v>462</v>
      </c>
      <c r="B54" s="30" t="s">
        <v>458</v>
      </c>
      <c r="C54" s="17" t="s">
        <v>463</v>
      </c>
      <c r="D54" s="32">
        <f t="shared" ref="D54:AI54" si="63">ROUND(D52*D53, 0)</f>
        <v>80</v>
      </c>
      <c r="E54" s="32">
        <f t="shared" si="63"/>
        <v>92</v>
      </c>
      <c r="F54" s="32">
        <f t="shared" si="63"/>
        <v>106</v>
      </c>
      <c r="G54" s="32">
        <f t="shared" si="63"/>
        <v>122</v>
      </c>
      <c r="H54" s="32">
        <f t="shared" si="63"/>
        <v>140</v>
      </c>
      <c r="I54" s="32">
        <f t="shared" si="63"/>
        <v>161</v>
      </c>
      <c r="J54" s="32">
        <f t="shared" si="63"/>
        <v>185</v>
      </c>
      <c r="K54" s="32">
        <f t="shared" si="63"/>
        <v>213</v>
      </c>
      <c r="L54" s="32">
        <f t="shared" si="63"/>
        <v>245</v>
      </c>
      <c r="M54" s="32">
        <f t="shared" si="63"/>
        <v>281</v>
      </c>
      <c r="N54" s="32">
        <f t="shared" si="63"/>
        <v>324</v>
      </c>
      <c r="O54" s="32">
        <f t="shared" si="63"/>
        <v>372</v>
      </c>
      <c r="P54" s="32">
        <f t="shared" si="63"/>
        <v>428</v>
      </c>
      <c r="Q54" s="32">
        <f t="shared" si="63"/>
        <v>492</v>
      </c>
      <c r="R54" s="32">
        <f t="shared" si="63"/>
        <v>566</v>
      </c>
      <c r="S54" s="32">
        <f t="shared" si="63"/>
        <v>651</v>
      </c>
      <c r="T54" s="32">
        <f t="shared" si="63"/>
        <v>749</v>
      </c>
      <c r="U54" s="32">
        <f t="shared" si="63"/>
        <v>861</v>
      </c>
      <c r="V54" s="32">
        <f t="shared" si="63"/>
        <v>990</v>
      </c>
      <c r="W54" s="32">
        <f t="shared" si="63"/>
        <v>1139</v>
      </c>
      <c r="X54" s="32">
        <f t="shared" si="63"/>
        <v>1309</v>
      </c>
      <c r="Y54" s="32">
        <f t="shared" si="63"/>
        <v>1506</v>
      </c>
      <c r="Z54" s="32">
        <f t="shared" si="63"/>
        <v>1732</v>
      </c>
      <c r="AA54" s="32">
        <f t="shared" si="63"/>
        <v>1991</v>
      </c>
      <c r="AB54" s="32">
        <f t="shared" si="63"/>
        <v>2290</v>
      </c>
      <c r="AC54" s="32">
        <f t="shared" si="63"/>
        <v>2634</v>
      </c>
      <c r="AD54" s="32">
        <f t="shared" si="63"/>
        <v>3029</v>
      </c>
      <c r="AE54" s="32">
        <f t="shared" si="63"/>
        <v>3483</v>
      </c>
      <c r="AF54" s="32">
        <f t="shared" si="63"/>
        <v>4005</v>
      </c>
      <c r="AG54" s="32">
        <f t="shared" si="63"/>
        <v>4606</v>
      </c>
      <c r="AH54" s="32">
        <f t="shared" si="63"/>
        <v>5297</v>
      </c>
      <c r="AI54" s="32">
        <f t="shared" si="63"/>
        <v>6091</v>
      </c>
      <c r="AJ54" s="32">
        <f t="shared" ref="AJ54:BO54" si="64">ROUND(AJ52*AJ53, 0)</f>
        <v>7005</v>
      </c>
      <c r="AK54" s="32">
        <f t="shared" si="64"/>
        <v>8056</v>
      </c>
      <c r="AL54" s="32">
        <f t="shared" si="64"/>
        <v>9264</v>
      </c>
      <c r="AM54" s="32">
        <f t="shared" si="64"/>
        <v>10654</v>
      </c>
      <c r="AN54" s="32">
        <f t="shared" si="64"/>
        <v>12252</v>
      </c>
      <c r="AO54" s="32">
        <f t="shared" si="64"/>
        <v>14090</v>
      </c>
      <c r="AP54" s="32">
        <f t="shared" si="64"/>
        <v>16203</v>
      </c>
      <c r="AQ54" s="32">
        <f t="shared" si="64"/>
        <v>18634</v>
      </c>
      <c r="AR54" s="32">
        <f t="shared" si="64"/>
        <v>21429</v>
      </c>
      <c r="AS54" s="32">
        <f t="shared" si="64"/>
        <v>24643</v>
      </c>
      <c r="AT54" s="32">
        <f t="shared" si="64"/>
        <v>28340</v>
      </c>
      <c r="AU54" s="32">
        <f t="shared" si="64"/>
        <v>32591</v>
      </c>
      <c r="AV54" s="32">
        <f t="shared" si="64"/>
        <v>37480</v>
      </c>
      <c r="AW54" s="32">
        <f t="shared" si="64"/>
        <v>43102</v>
      </c>
      <c r="AX54" s="32">
        <f t="shared" si="64"/>
        <v>49567</v>
      </c>
      <c r="AY54" s="32">
        <f t="shared" si="64"/>
        <v>57002</v>
      </c>
      <c r="AZ54" s="32">
        <f t="shared" si="64"/>
        <v>65552</v>
      </c>
      <c r="BA54" s="32">
        <f t="shared" si="64"/>
        <v>75385</v>
      </c>
      <c r="BB54" s="32">
        <f t="shared" si="64"/>
        <v>86693</v>
      </c>
      <c r="BC54" s="32">
        <f t="shared" si="64"/>
        <v>99696</v>
      </c>
      <c r="BD54" s="32">
        <f t="shared" si="64"/>
        <v>114651</v>
      </c>
      <c r="BE54" s="32">
        <f t="shared" si="64"/>
        <v>131849</v>
      </c>
      <c r="BF54" s="32">
        <f t="shared" si="64"/>
        <v>151626</v>
      </c>
      <c r="BG54" s="32">
        <f t="shared" si="64"/>
        <v>174370</v>
      </c>
      <c r="BH54" s="32">
        <f t="shared" si="64"/>
        <v>200525</v>
      </c>
      <c r="BI54" s="32">
        <f t="shared" si="64"/>
        <v>230604</v>
      </c>
      <c r="BJ54" s="32">
        <f t="shared" si="64"/>
        <v>265195</v>
      </c>
      <c r="BK54" s="32">
        <f t="shared" si="64"/>
        <v>304974</v>
      </c>
      <c r="BL54" s="32">
        <f t="shared" si="64"/>
        <v>350720</v>
      </c>
      <c r="BM54" s="32">
        <f t="shared" si="64"/>
        <v>403328</v>
      </c>
      <c r="BN54" s="32">
        <f t="shared" si="64"/>
        <v>463827</v>
      </c>
      <c r="BO54" s="32">
        <f t="shared" si="64"/>
        <v>533401</v>
      </c>
      <c r="BP54" s="32">
        <f t="shared" ref="BP54:CU54" si="65">ROUND(BP52*BP53, 0)</f>
        <v>613411</v>
      </c>
      <c r="BQ54" s="32">
        <f t="shared" si="65"/>
        <v>705423</v>
      </c>
      <c r="BR54" s="32">
        <f t="shared" si="65"/>
        <v>811236</v>
      </c>
      <c r="BS54" s="32">
        <f t="shared" si="65"/>
        <v>932922</v>
      </c>
      <c r="BT54" s="32">
        <f t="shared" si="65"/>
        <v>1072860</v>
      </c>
      <c r="BU54" s="32">
        <f t="shared" si="65"/>
        <v>1233789</v>
      </c>
      <c r="BV54" s="32">
        <f t="shared" si="65"/>
        <v>1418858</v>
      </c>
      <c r="BW54" s="32">
        <f t="shared" si="65"/>
        <v>1631686</v>
      </c>
      <c r="BX54" s="32">
        <f t="shared" si="65"/>
        <v>1876439</v>
      </c>
      <c r="BY54" s="32">
        <f t="shared" si="65"/>
        <v>2157905</v>
      </c>
      <c r="BZ54" s="32">
        <f t="shared" si="65"/>
        <v>2481591</v>
      </c>
      <c r="CA54" s="32">
        <f t="shared" si="65"/>
        <v>2853829</v>
      </c>
      <c r="CB54" s="32">
        <f t="shared" si="65"/>
        <v>3281904</v>
      </c>
      <c r="CC54" s="32">
        <f t="shared" si="65"/>
        <v>3774189</v>
      </c>
      <c r="CD54" s="32">
        <f t="shared" si="65"/>
        <v>4340318</v>
      </c>
      <c r="CE54" s="32">
        <f t="shared" si="65"/>
        <v>4991366</v>
      </c>
      <c r="CF54" s="32">
        <f t="shared" si="65"/>
        <v>5740070</v>
      </c>
      <c r="CG54" s="32">
        <f t="shared" si="65"/>
        <v>6601081</v>
      </c>
      <c r="CH54" s="32">
        <f t="shared" si="65"/>
        <v>7591243</v>
      </c>
      <c r="CI54" s="32">
        <f t="shared" si="65"/>
        <v>8729929</v>
      </c>
    </row>
    <row r="55" spans="1:87" ht="16.5">
      <c r="A55" s="6" t="s">
        <v>464</v>
      </c>
      <c r="B55" s="30" t="s">
        <v>465</v>
      </c>
      <c r="C55" s="17" t="s">
        <v>466</v>
      </c>
      <c r="D55" s="33">
        <f>'1_PANEL_CONTROL'!$C$80+'1_PANEL_CONTROL'!$C$69+'1_PANEL_CONTROL'!$C$68</f>
        <v>2955</v>
      </c>
      <c r="E55" s="33">
        <f>'1_PANEL_CONTROL'!$C$80+'1_PANEL_CONTROL'!$C$69+'1_PANEL_CONTROL'!$C$68</f>
        <v>2955</v>
      </c>
      <c r="F55" s="33">
        <f>'1_PANEL_CONTROL'!$C$80+'1_PANEL_CONTROL'!$C$69+'1_PANEL_CONTROL'!$C$68</f>
        <v>2955</v>
      </c>
      <c r="G55" s="33">
        <f>'1_PANEL_CONTROL'!$C$80+'1_PANEL_CONTROL'!$C$69+'1_PANEL_CONTROL'!$C$68</f>
        <v>2955</v>
      </c>
      <c r="H55" s="33">
        <f>'1_PANEL_CONTROL'!$C$80+'1_PANEL_CONTROL'!$C$69+'1_PANEL_CONTROL'!$C$68</f>
        <v>2955</v>
      </c>
      <c r="I55" s="33">
        <f>'1_PANEL_CONTROL'!$C$80+'1_PANEL_CONTROL'!$C$69+'1_PANEL_CONTROL'!$C$68</f>
        <v>2955</v>
      </c>
      <c r="J55" s="33">
        <f>'1_PANEL_CONTROL'!$C$80+'1_PANEL_CONTROL'!$C$69+'1_PANEL_CONTROL'!$C$68</f>
        <v>2955</v>
      </c>
      <c r="K55" s="33">
        <f>'1_PANEL_CONTROL'!$C$80+'1_PANEL_CONTROL'!$C$69+'1_PANEL_CONTROL'!$C$68</f>
        <v>2955</v>
      </c>
      <c r="L55" s="33">
        <f>'1_PANEL_CONTROL'!$C$80+'1_PANEL_CONTROL'!$C$69+'1_PANEL_CONTROL'!$C$68</f>
        <v>2955</v>
      </c>
      <c r="M55" s="33">
        <f>'1_PANEL_CONTROL'!$C$80+'1_PANEL_CONTROL'!$C$69+'1_PANEL_CONTROL'!$C$68</f>
        <v>2955</v>
      </c>
      <c r="N55" s="33">
        <f>'1_PANEL_CONTROL'!$C$80+'1_PANEL_CONTROL'!$C$69+'1_PANEL_CONTROL'!$C$68</f>
        <v>2955</v>
      </c>
      <c r="O55" s="33">
        <f>'1_PANEL_CONTROL'!$C$80+'1_PANEL_CONTROL'!$C$69+'1_PANEL_CONTROL'!$C$68</f>
        <v>2955</v>
      </c>
      <c r="P55" s="33">
        <f>'1_PANEL_CONTROL'!$C$80+'1_PANEL_CONTROL'!$C$69+'1_PANEL_CONTROL'!$C$68</f>
        <v>2955</v>
      </c>
      <c r="Q55" s="33">
        <f>'1_PANEL_CONTROL'!$C$80+'1_PANEL_CONTROL'!$C$69+'1_PANEL_CONTROL'!$C$68</f>
        <v>2955</v>
      </c>
      <c r="R55" s="33">
        <f>'1_PANEL_CONTROL'!$C$80+'1_PANEL_CONTROL'!$C$69+'1_PANEL_CONTROL'!$C$68</f>
        <v>2955</v>
      </c>
      <c r="S55" s="33">
        <f>'1_PANEL_CONTROL'!$C$80+'1_PANEL_CONTROL'!$C$69+'1_PANEL_CONTROL'!$C$68</f>
        <v>2955</v>
      </c>
      <c r="T55" s="33">
        <f>'1_PANEL_CONTROL'!$C$80+'1_PANEL_CONTROL'!$C$69+'1_PANEL_CONTROL'!$C$68</f>
        <v>2955</v>
      </c>
      <c r="U55" s="33">
        <f>'1_PANEL_CONTROL'!$C$80+'1_PANEL_CONTROL'!$C$69+'1_PANEL_CONTROL'!$C$68</f>
        <v>2955</v>
      </c>
      <c r="V55" s="33">
        <f>'1_PANEL_CONTROL'!$C$80+'1_PANEL_CONTROL'!$C$69+'1_PANEL_CONTROL'!$C$68</f>
        <v>2955</v>
      </c>
      <c r="W55" s="33">
        <f>'1_PANEL_CONTROL'!$C$80+'1_PANEL_CONTROL'!$C$69+'1_PANEL_CONTROL'!$C$68</f>
        <v>2955</v>
      </c>
      <c r="X55" s="33">
        <f>'1_PANEL_CONTROL'!$C$80+'1_PANEL_CONTROL'!$C$69+'1_PANEL_CONTROL'!$C$68</f>
        <v>2955</v>
      </c>
      <c r="Y55" s="33">
        <f>'1_PANEL_CONTROL'!$C$80+'1_PANEL_CONTROL'!$C$69+'1_PANEL_CONTROL'!$C$68</f>
        <v>2955</v>
      </c>
      <c r="Z55" s="33">
        <f>'1_PANEL_CONTROL'!$C$80+'1_PANEL_CONTROL'!$C$69+'1_PANEL_CONTROL'!$C$68</f>
        <v>2955</v>
      </c>
      <c r="AA55" s="33">
        <f>'1_PANEL_CONTROL'!$C$80+'1_PANEL_CONTROL'!$C$69+'1_PANEL_CONTROL'!$C$68</f>
        <v>2955</v>
      </c>
      <c r="AB55" s="33">
        <f>'1_PANEL_CONTROL'!$C$80+'1_PANEL_CONTROL'!$C$69+'1_PANEL_CONTROL'!$C$68</f>
        <v>2955</v>
      </c>
      <c r="AC55" s="33">
        <f>'1_PANEL_CONTROL'!$C$80+'1_PANEL_CONTROL'!$C$69+'1_PANEL_CONTROL'!$C$68</f>
        <v>2955</v>
      </c>
      <c r="AD55" s="33">
        <f>'1_PANEL_CONTROL'!$C$80+'1_PANEL_CONTROL'!$C$69+'1_PANEL_CONTROL'!$C$68</f>
        <v>2955</v>
      </c>
      <c r="AE55" s="33">
        <f>'1_PANEL_CONTROL'!$C$80+'1_PANEL_CONTROL'!$C$69+'1_PANEL_CONTROL'!$C$68</f>
        <v>2955</v>
      </c>
      <c r="AF55" s="33">
        <f>'1_PANEL_CONTROL'!$C$80+'1_PANEL_CONTROL'!$C$69+'1_PANEL_CONTROL'!$C$68</f>
        <v>2955</v>
      </c>
      <c r="AG55" s="33">
        <f>'1_PANEL_CONTROL'!$C$80+'1_PANEL_CONTROL'!$C$69+'1_PANEL_CONTROL'!$C$68</f>
        <v>2955</v>
      </c>
      <c r="AH55" s="33">
        <f>'1_PANEL_CONTROL'!$C$80+'1_PANEL_CONTROL'!$C$69+'1_PANEL_CONTROL'!$C$68</f>
        <v>2955</v>
      </c>
      <c r="AI55" s="33">
        <f>'1_PANEL_CONTROL'!$C$80+'1_PANEL_CONTROL'!$C$69+'1_PANEL_CONTROL'!$C$68</f>
        <v>2955</v>
      </c>
      <c r="AJ55" s="33">
        <f>'1_PANEL_CONTROL'!$C$80+'1_PANEL_CONTROL'!$C$69+'1_PANEL_CONTROL'!$C$68</f>
        <v>2955</v>
      </c>
      <c r="AK55" s="33">
        <f>'1_PANEL_CONTROL'!$C$80+'1_PANEL_CONTROL'!$C$69+'1_PANEL_CONTROL'!$C$68</f>
        <v>2955</v>
      </c>
      <c r="AL55" s="33">
        <f>'1_PANEL_CONTROL'!$C$80+'1_PANEL_CONTROL'!$C$69+'1_PANEL_CONTROL'!$C$68</f>
        <v>2955</v>
      </c>
      <c r="AM55" s="33">
        <f>'1_PANEL_CONTROL'!$C$80+'1_PANEL_CONTROL'!$C$69+'1_PANEL_CONTROL'!$C$68</f>
        <v>2955</v>
      </c>
      <c r="AN55" s="33">
        <f>'1_PANEL_CONTROL'!$C$80+'1_PANEL_CONTROL'!$C$69+'1_PANEL_CONTROL'!$C$68</f>
        <v>2955</v>
      </c>
      <c r="AO55" s="33">
        <f>'1_PANEL_CONTROL'!$C$80+'1_PANEL_CONTROL'!$C$69+'1_PANEL_CONTROL'!$C$68</f>
        <v>2955</v>
      </c>
      <c r="AP55" s="33">
        <f>'1_PANEL_CONTROL'!$C$80+'1_PANEL_CONTROL'!$C$69+'1_PANEL_CONTROL'!$C$68</f>
        <v>2955</v>
      </c>
      <c r="AQ55" s="33">
        <f>'1_PANEL_CONTROL'!$C$80+'1_PANEL_CONTROL'!$C$69+'1_PANEL_CONTROL'!$C$68</f>
        <v>2955</v>
      </c>
      <c r="AR55" s="33">
        <f>'1_PANEL_CONTROL'!$C$80+'1_PANEL_CONTROL'!$C$69+'1_PANEL_CONTROL'!$C$68</f>
        <v>2955</v>
      </c>
      <c r="AS55" s="33">
        <f>'1_PANEL_CONTROL'!$C$80+'1_PANEL_CONTROL'!$C$69+'1_PANEL_CONTROL'!$C$68</f>
        <v>2955</v>
      </c>
      <c r="AT55" s="33">
        <f>'1_PANEL_CONTROL'!$C$80+'1_PANEL_CONTROL'!$C$69+'1_PANEL_CONTROL'!$C$68</f>
        <v>2955</v>
      </c>
      <c r="AU55" s="33">
        <f>'1_PANEL_CONTROL'!$C$80+'1_PANEL_CONTROL'!$C$69+'1_PANEL_CONTROL'!$C$68</f>
        <v>2955</v>
      </c>
      <c r="AV55" s="33">
        <f>'1_PANEL_CONTROL'!$C$80+'1_PANEL_CONTROL'!$C$69+'1_PANEL_CONTROL'!$C$68</f>
        <v>2955</v>
      </c>
      <c r="AW55" s="33">
        <f>'1_PANEL_CONTROL'!$C$80+'1_PANEL_CONTROL'!$C$69+'1_PANEL_CONTROL'!$C$68</f>
        <v>2955</v>
      </c>
      <c r="AX55" s="33">
        <f>'1_PANEL_CONTROL'!$C$80+'1_PANEL_CONTROL'!$C$69+'1_PANEL_CONTROL'!$C$68</f>
        <v>2955</v>
      </c>
      <c r="AY55" s="33">
        <f>'1_PANEL_CONTROL'!$C$80+'1_PANEL_CONTROL'!$C$69+'1_PANEL_CONTROL'!$C$68</f>
        <v>2955</v>
      </c>
      <c r="AZ55" s="33">
        <f>'1_PANEL_CONTROL'!$C$80+'1_PANEL_CONTROL'!$C$69+'1_PANEL_CONTROL'!$C$68</f>
        <v>2955</v>
      </c>
      <c r="BA55" s="33">
        <f>'1_PANEL_CONTROL'!$C$80+'1_PANEL_CONTROL'!$C$69+'1_PANEL_CONTROL'!$C$68</f>
        <v>2955</v>
      </c>
      <c r="BB55" s="33">
        <f>'1_PANEL_CONTROL'!$C$80+'1_PANEL_CONTROL'!$C$69+'1_PANEL_CONTROL'!$C$68</f>
        <v>2955</v>
      </c>
      <c r="BC55" s="33">
        <f>'1_PANEL_CONTROL'!$C$80+'1_PANEL_CONTROL'!$C$69+'1_PANEL_CONTROL'!$C$68</f>
        <v>2955</v>
      </c>
      <c r="BD55" s="33">
        <f>'1_PANEL_CONTROL'!$C$80+'1_PANEL_CONTROL'!$C$69+'1_PANEL_CONTROL'!$C$68</f>
        <v>2955</v>
      </c>
      <c r="BE55" s="33">
        <f>'1_PANEL_CONTROL'!$C$80+'1_PANEL_CONTROL'!$C$69+'1_PANEL_CONTROL'!$C$68</f>
        <v>2955</v>
      </c>
      <c r="BF55" s="33">
        <f>'1_PANEL_CONTROL'!$C$80+'1_PANEL_CONTROL'!$C$69+'1_PANEL_CONTROL'!$C$68</f>
        <v>2955</v>
      </c>
      <c r="BG55" s="33">
        <f>'1_PANEL_CONTROL'!$C$80+'1_PANEL_CONTROL'!$C$69+'1_PANEL_CONTROL'!$C$68</f>
        <v>2955</v>
      </c>
      <c r="BH55" s="33">
        <f>'1_PANEL_CONTROL'!$C$80+'1_PANEL_CONTROL'!$C$69+'1_PANEL_CONTROL'!$C$68</f>
        <v>2955</v>
      </c>
      <c r="BI55" s="33">
        <f>'1_PANEL_CONTROL'!$C$80+'1_PANEL_CONTROL'!$C$69+'1_PANEL_CONTROL'!$C$68</f>
        <v>2955</v>
      </c>
      <c r="BJ55" s="33">
        <f>'1_PANEL_CONTROL'!$C$80+'1_PANEL_CONTROL'!$C$69+'1_PANEL_CONTROL'!$C$68</f>
        <v>2955</v>
      </c>
      <c r="BK55" s="33">
        <f>'1_PANEL_CONTROL'!$C$80+'1_PANEL_CONTROL'!$C$69+'1_PANEL_CONTROL'!$C$68</f>
        <v>2955</v>
      </c>
      <c r="BL55" s="33">
        <f>'1_PANEL_CONTROL'!$C$80+'1_PANEL_CONTROL'!$C$69+'1_PANEL_CONTROL'!$C$68</f>
        <v>2955</v>
      </c>
      <c r="BM55" s="33">
        <f>'1_PANEL_CONTROL'!$C$80+'1_PANEL_CONTROL'!$C$69+'1_PANEL_CONTROL'!$C$68</f>
        <v>2955</v>
      </c>
      <c r="BN55" s="33">
        <f>'1_PANEL_CONTROL'!$C$80+'1_PANEL_CONTROL'!$C$69+'1_PANEL_CONTROL'!$C$68</f>
        <v>2955</v>
      </c>
      <c r="BO55" s="33">
        <f>'1_PANEL_CONTROL'!$C$80+'1_PANEL_CONTROL'!$C$69+'1_PANEL_CONTROL'!$C$68</f>
        <v>2955</v>
      </c>
      <c r="BP55" s="33">
        <f>'1_PANEL_CONTROL'!$C$80+'1_PANEL_CONTROL'!$C$69+'1_PANEL_CONTROL'!$C$68</f>
        <v>2955</v>
      </c>
      <c r="BQ55" s="33">
        <f>'1_PANEL_CONTROL'!$C$80+'1_PANEL_CONTROL'!$C$69+'1_PANEL_CONTROL'!$C$68</f>
        <v>2955</v>
      </c>
      <c r="BR55" s="33">
        <f>'1_PANEL_CONTROL'!$C$80+'1_PANEL_CONTROL'!$C$69+'1_PANEL_CONTROL'!$C$68</f>
        <v>2955</v>
      </c>
      <c r="BS55" s="33">
        <f>'1_PANEL_CONTROL'!$C$80+'1_PANEL_CONTROL'!$C$69+'1_PANEL_CONTROL'!$C$68</f>
        <v>2955</v>
      </c>
      <c r="BT55" s="33">
        <f>'1_PANEL_CONTROL'!$C$80+'1_PANEL_CONTROL'!$C$69+'1_PANEL_CONTROL'!$C$68</f>
        <v>2955</v>
      </c>
      <c r="BU55" s="33">
        <f>'1_PANEL_CONTROL'!$C$80+'1_PANEL_CONTROL'!$C$69+'1_PANEL_CONTROL'!$C$68</f>
        <v>2955</v>
      </c>
      <c r="BV55" s="33">
        <f>'1_PANEL_CONTROL'!$C$80+'1_PANEL_CONTROL'!$C$69+'1_PANEL_CONTROL'!$C$68</f>
        <v>2955</v>
      </c>
      <c r="BW55" s="33">
        <f>'1_PANEL_CONTROL'!$C$80+'1_PANEL_CONTROL'!$C$69+'1_PANEL_CONTROL'!$C$68</f>
        <v>2955</v>
      </c>
      <c r="BX55" s="33">
        <f>'1_PANEL_CONTROL'!$C$80+'1_PANEL_CONTROL'!$C$69+'1_PANEL_CONTROL'!$C$68</f>
        <v>2955</v>
      </c>
      <c r="BY55" s="33">
        <f>'1_PANEL_CONTROL'!$C$80+'1_PANEL_CONTROL'!$C$69+'1_PANEL_CONTROL'!$C$68</f>
        <v>2955</v>
      </c>
      <c r="BZ55" s="33">
        <f>'1_PANEL_CONTROL'!$C$80+'1_PANEL_CONTROL'!$C$69+'1_PANEL_CONTROL'!$C$68</f>
        <v>2955</v>
      </c>
      <c r="CA55" s="33">
        <f>'1_PANEL_CONTROL'!$C$80+'1_PANEL_CONTROL'!$C$69+'1_PANEL_CONTROL'!$C$68</f>
        <v>2955</v>
      </c>
      <c r="CB55" s="33">
        <f>'1_PANEL_CONTROL'!$C$80+'1_PANEL_CONTROL'!$C$69+'1_PANEL_CONTROL'!$C$68</f>
        <v>2955</v>
      </c>
      <c r="CC55" s="33">
        <f>'1_PANEL_CONTROL'!$C$80+'1_PANEL_CONTROL'!$C$69+'1_PANEL_CONTROL'!$C$68</f>
        <v>2955</v>
      </c>
      <c r="CD55" s="33">
        <f>'1_PANEL_CONTROL'!$C$80+'1_PANEL_CONTROL'!$C$69+'1_PANEL_CONTROL'!$C$68</f>
        <v>2955</v>
      </c>
      <c r="CE55" s="33">
        <f>'1_PANEL_CONTROL'!$C$80+'1_PANEL_CONTROL'!$C$69+'1_PANEL_CONTROL'!$C$68</f>
        <v>2955</v>
      </c>
      <c r="CF55" s="33">
        <f>'1_PANEL_CONTROL'!$C$80+'1_PANEL_CONTROL'!$C$69+'1_PANEL_CONTROL'!$C$68</f>
        <v>2955</v>
      </c>
      <c r="CG55" s="33">
        <f>'1_PANEL_CONTROL'!$C$80+'1_PANEL_CONTROL'!$C$69+'1_PANEL_CONTROL'!$C$68</f>
        <v>2955</v>
      </c>
      <c r="CH55" s="33">
        <f>'1_PANEL_CONTROL'!$C$80+'1_PANEL_CONTROL'!$C$69+'1_PANEL_CONTROL'!$C$68</f>
        <v>2955</v>
      </c>
      <c r="CI55" s="33">
        <f>'1_PANEL_CONTROL'!$C$80+'1_PANEL_CONTROL'!$C$69+'1_PANEL_CONTROL'!$C$68</f>
        <v>2955</v>
      </c>
    </row>
    <row r="56" spans="1:87" ht="16.5">
      <c r="A56" s="6" t="s">
        <v>467</v>
      </c>
      <c r="B56" s="30" t="s">
        <v>465</v>
      </c>
      <c r="C56" s="17" t="s">
        <v>498</v>
      </c>
      <c r="D56" s="33">
        <v>7</v>
      </c>
      <c r="E56" s="33">
        <v>7</v>
      </c>
      <c r="F56" s="33">
        <v>7</v>
      </c>
      <c r="G56" s="33">
        <v>7</v>
      </c>
      <c r="H56" s="33">
        <v>7</v>
      </c>
      <c r="I56" s="33">
        <v>7</v>
      </c>
      <c r="J56" s="33">
        <v>7</v>
      </c>
      <c r="K56" s="33">
        <v>7</v>
      </c>
      <c r="L56" s="33">
        <v>7</v>
      </c>
      <c r="M56" s="33">
        <v>7</v>
      </c>
      <c r="N56" s="33">
        <v>7</v>
      </c>
      <c r="O56" s="33">
        <v>7</v>
      </c>
      <c r="P56" s="33">
        <v>7</v>
      </c>
      <c r="Q56" s="33">
        <v>7</v>
      </c>
      <c r="R56" s="33">
        <v>7</v>
      </c>
      <c r="S56" s="33">
        <v>7</v>
      </c>
      <c r="T56" s="33">
        <v>7</v>
      </c>
      <c r="U56" s="33">
        <v>7</v>
      </c>
      <c r="V56" s="33">
        <v>7</v>
      </c>
      <c r="W56" s="33">
        <v>7</v>
      </c>
      <c r="X56" s="33">
        <v>7</v>
      </c>
      <c r="Y56" s="33">
        <v>7</v>
      </c>
      <c r="Z56" s="33">
        <v>7</v>
      </c>
      <c r="AA56" s="33">
        <v>7</v>
      </c>
      <c r="AB56" s="33">
        <v>7</v>
      </c>
      <c r="AC56" s="33">
        <v>7</v>
      </c>
      <c r="AD56" s="33">
        <v>7</v>
      </c>
      <c r="AE56" s="33">
        <v>7</v>
      </c>
      <c r="AF56" s="33">
        <v>7</v>
      </c>
      <c r="AG56" s="33">
        <v>7</v>
      </c>
      <c r="AH56" s="33">
        <v>7</v>
      </c>
      <c r="AI56" s="33">
        <v>7</v>
      </c>
      <c r="AJ56" s="33">
        <v>7</v>
      </c>
      <c r="AK56" s="33">
        <v>7</v>
      </c>
      <c r="AL56" s="33">
        <v>7</v>
      </c>
      <c r="AM56" s="33">
        <v>7</v>
      </c>
      <c r="AN56" s="33">
        <v>7</v>
      </c>
      <c r="AO56" s="33">
        <v>7</v>
      </c>
      <c r="AP56" s="33">
        <v>7</v>
      </c>
      <c r="AQ56" s="33">
        <v>7</v>
      </c>
      <c r="AR56" s="33">
        <v>7</v>
      </c>
      <c r="AS56" s="33">
        <v>7</v>
      </c>
      <c r="AT56" s="33">
        <v>7</v>
      </c>
      <c r="AU56" s="33">
        <v>7</v>
      </c>
      <c r="AV56" s="33">
        <v>7</v>
      </c>
      <c r="AW56" s="33">
        <v>7</v>
      </c>
      <c r="AX56" s="33">
        <v>7</v>
      </c>
      <c r="AY56" s="33">
        <v>7</v>
      </c>
      <c r="AZ56" s="33">
        <v>7</v>
      </c>
      <c r="BA56" s="33">
        <v>7</v>
      </c>
      <c r="BB56" s="33">
        <v>7</v>
      </c>
      <c r="BC56" s="33">
        <v>7</v>
      </c>
      <c r="BD56" s="33">
        <v>7</v>
      </c>
      <c r="BE56" s="33">
        <v>7</v>
      </c>
      <c r="BF56" s="33">
        <v>7</v>
      </c>
      <c r="BG56" s="33">
        <v>7</v>
      </c>
      <c r="BH56" s="33">
        <v>7</v>
      </c>
      <c r="BI56" s="33">
        <v>7</v>
      </c>
      <c r="BJ56" s="33">
        <v>7</v>
      </c>
      <c r="BK56" s="33">
        <v>7</v>
      </c>
      <c r="BL56" s="33">
        <v>7</v>
      </c>
      <c r="BM56" s="33">
        <v>7</v>
      </c>
      <c r="BN56" s="33">
        <v>7</v>
      </c>
      <c r="BO56" s="33">
        <v>7</v>
      </c>
      <c r="BP56" s="33">
        <v>7</v>
      </c>
      <c r="BQ56" s="33">
        <v>7</v>
      </c>
      <c r="BR56" s="33">
        <v>7</v>
      </c>
      <c r="BS56" s="33">
        <v>7</v>
      </c>
      <c r="BT56" s="33">
        <v>7</v>
      </c>
      <c r="BU56" s="33">
        <v>7</v>
      </c>
      <c r="BV56" s="33">
        <v>7</v>
      </c>
      <c r="BW56" s="33">
        <v>7</v>
      </c>
      <c r="BX56" s="33">
        <v>7</v>
      </c>
      <c r="BY56" s="33">
        <v>7</v>
      </c>
      <c r="BZ56" s="33">
        <v>7</v>
      </c>
      <c r="CA56" s="33">
        <v>7</v>
      </c>
      <c r="CB56" s="33">
        <v>7</v>
      </c>
      <c r="CC56" s="33">
        <v>7</v>
      </c>
      <c r="CD56" s="33">
        <v>7</v>
      </c>
      <c r="CE56" s="33">
        <v>7</v>
      </c>
      <c r="CF56" s="33">
        <v>7</v>
      </c>
      <c r="CG56" s="33">
        <v>7</v>
      </c>
      <c r="CH56" s="33">
        <v>7</v>
      </c>
      <c r="CI56" s="33">
        <v>7</v>
      </c>
    </row>
    <row r="57" spans="1:87" ht="16.5">
      <c r="A57" s="6" t="s">
        <v>469</v>
      </c>
      <c r="B57" s="30" t="s">
        <v>458</v>
      </c>
      <c r="C57" s="17" t="s">
        <v>470</v>
      </c>
      <c r="D57" s="32">
        <f t="shared" ref="D57:AI57" si="66">ROUND(D55/D56, 0)</f>
        <v>422</v>
      </c>
      <c r="E57" s="32">
        <f t="shared" si="66"/>
        <v>422</v>
      </c>
      <c r="F57" s="32">
        <f t="shared" si="66"/>
        <v>422</v>
      </c>
      <c r="G57" s="32">
        <f t="shared" si="66"/>
        <v>422</v>
      </c>
      <c r="H57" s="32">
        <f t="shared" si="66"/>
        <v>422</v>
      </c>
      <c r="I57" s="32">
        <f t="shared" si="66"/>
        <v>422</v>
      </c>
      <c r="J57" s="32">
        <f t="shared" si="66"/>
        <v>422</v>
      </c>
      <c r="K57" s="32">
        <f t="shared" si="66"/>
        <v>422</v>
      </c>
      <c r="L57" s="32">
        <f t="shared" si="66"/>
        <v>422</v>
      </c>
      <c r="M57" s="32">
        <f t="shared" si="66"/>
        <v>422</v>
      </c>
      <c r="N57" s="32">
        <f t="shared" si="66"/>
        <v>422</v>
      </c>
      <c r="O57" s="32">
        <f t="shared" si="66"/>
        <v>422</v>
      </c>
      <c r="P57" s="32">
        <f t="shared" si="66"/>
        <v>422</v>
      </c>
      <c r="Q57" s="32">
        <f t="shared" si="66"/>
        <v>422</v>
      </c>
      <c r="R57" s="32">
        <f t="shared" si="66"/>
        <v>422</v>
      </c>
      <c r="S57" s="32">
        <f t="shared" si="66"/>
        <v>422</v>
      </c>
      <c r="T57" s="32">
        <f t="shared" si="66"/>
        <v>422</v>
      </c>
      <c r="U57" s="32">
        <f t="shared" si="66"/>
        <v>422</v>
      </c>
      <c r="V57" s="32">
        <f t="shared" si="66"/>
        <v>422</v>
      </c>
      <c r="W57" s="32">
        <f t="shared" si="66"/>
        <v>422</v>
      </c>
      <c r="X57" s="32">
        <f t="shared" si="66"/>
        <v>422</v>
      </c>
      <c r="Y57" s="32">
        <f t="shared" si="66"/>
        <v>422</v>
      </c>
      <c r="Z57" s="32">
        <f t="shared" si="66"/>
        <v>422</v>
      </c>
      <c r="AA57" s="32">
        <f t="shared" si="66"/>
        <v>422</v>
      </c>
      <c r="AB57" s="32">
        <f t="shared" si="66"/>
        <v>422</v>
      </c>
      <c r="AC57" s="32">
        <f t="shared" si="66"/>
        <v>422</v>
      </c>
      <c r="AD57" s="32">
        <f t="shared" si="66"/>
        <v>422</v>
      </c>
      <c r="AE57" s="32">
        <f t="shared" si="66"/>
        <v>422</v>
      </c>
      <c r="AF57" s="32">
        <f t="shared" si="66"/>
        <v>422</v>
      </c>
      <c r="AG57" s="32">
        <f t="shared" si="66"/>
        <v>422</v>
      </c>
      <c r="AH57" s="32">
        <f t="shared" si="66"/>
        <v>422</v>
      </c>
      <c r="AI57" s="32">
        <f t="shared" si="66"/>
        <v>422</v>
      </c>
      <c r="AJ57" s="32">
        <f t="shared" ref="AJ57:BO57" si="67">ROUND(AJ55/AJ56, 0)</f>
        <v>422</v>
      </c>
      <c r="AK57" s="32">
        <f t="shared" si="67"/>
        <v>422</v>
      </c>
      <c r="AL57" s="32">
        <f t="shared" si="67"/>
        <v>422</v>
      </c>
      <c r="AM57" s="32">
        <f t="shared" si="67"/>
        <v>422</v>
      </c>
      <c r="AN57" s="32">
        <f t="shared" si="67"/>
        <v>422</v>
      </c>
      <c r="AO57" s="32">
        <f t="shared" si="67"/>
        <v>422</v>
      </c>
      <c r="AP57" s="32">
        <f t="shared" si="67"/>
        <v>422</v>
      </c>
      <c r="AQ57" s="32">
        <f t="shared" si="67"/>
        <v>422</v>
      </c>
      <c r="AR57" s="32">
        <f t="shared" si="67"/>
        <v>422</v>
      </c>
      <c r="AS57" s="32">
        <f t="shared" si="67"/>
        <v>422</v>
      </c>
      <c r="AT57" s="32">
        <f t="shared" si="67"/>
        <v>422</v>
      </c>
      <c r="AU57" s="32">
        <f t="shared" si="67"/>
        <v>422</v>
      </c>
      <c r="AV57" s="32">
        <f t="shared" si="67"/>
        <v>422</v>
      </c>
      <c r="AW57" s="32">
        <f t="shared" si="67"/>
        <v>422</v>
      </c>
      <c r="AX57" s="32">
        <f t="shared" si="67"/>
        <v>422</v>
      </c>
      <c r="AY57" s="32">
        <f t="shared" si="67"/>
        <v>422</v>
      </c>
      <c r="AZ57" s="32">
        <f t="shared" si="67"/>
        <v>422</v>
      </c>
      <c r="BA57" s="32">
        <f t="shared" si="67"/>
        <v>422</v>
      </c>
      <c r="BB57" s="32">
        <f t="shared" si="67"/>
        <v>422</v>
      </c>
      <c r="BC57" s="32">
        <f t="shared" si="67"/>
        <v>422</v>
      </c>
      <c r="BD57" s="32">
        <f t="shared" si="67"/>
        <v>422</v>
      </c>
      <c r="BE57" s="32">
        <f t="shared" si="67"/>
        <v>422</v>
      </c>
      <c r="BF57" s="32">
        <f t="shared" si="67"/>
        <v>422</v>
      </c>
      <c r="BG57" s="32">
        <f t="shared" si="67"/>
        <v>422</v>
      </c>
      <c r="BH57" s="32">
        <f t="shared" si="67"/>
        <v>422</v>
      </c>
      <c r="BI57" s="32">
        <f t="shared" si="67"/>
        <v>422</v>
      </c>
      <c r="BJ57" s="32">
        <f t="shared" si="67"/>
        <v>422</v>
      </c>
      <c r="BK57" s="32">
        <f t="shared" si="67"/>
        <v>422</v>
      </c>
      <c r="BL57" s="32">
        <f t="shared" si="67"/>
        <v>422</v>
      </c>
      <c r="BM57" s="32">
        <f t="shared" si="67"/>
        <v>422</v>
      </c>
      <c r="BN57" s="32">
        <f t="shared" si="67"/>
        <v>422</v>
      </c>
      <c r="BO57" s="32">
        <f t="shared" si="67"/>
        <v>422</v>
      </c>
      <c r="BP57" s="32">
        <f t="shared" ref="BP57:CU57" si="68">ROUND(BP55/BP56, 0)</f>
        <v>422</v>
      </c>
      <c r="BQ57" s="32">
        <f t="shared" si="68"/>
        <v>422</v>
      </c>
      <c r="BR57" s="32">
        <f t="shared" si="68"/>
        <v>422</v>
      </c>
      <c r="BS57" s="32">
        <f t="shared" si="68"/>
        <v>422</v>
      </c>
      <c r="BT57" s="32">
        <f t="shared" si="68"/>
        <v>422</v>
      </c>
      <c r="BU57" s="32">
        <f t="shared" si="68"/>
        <v>422</v>
      </c>
      <c r="BV57" s="32">
        <f t="shared" si="68"/>
        <v>422</v>
      </c>
      <c r="BW57" s="32">
        <f t="shared" si="68"/>
        <v>422</v>
      </c>
      <c r="BX57" s="32">
        <f t="shared" si="68"/>
        <v>422</v>
      </c>
      <c r="BY57" s="32">
        <f t="shared" si="68"/>
        <v>422</v>
      </c>
      <c r="BZ57" s="32">
        <f t="shared" si="68"/>
        <v>422</v>
      </c>
      <c r="CA57" s="32">
        <f t="shared" si="68"/>
        <v>422</v>
      </c>
      <c r="CB57" s="32">
        <f t="shared" si="68"/>
        <v>422</v>
      </c>
      <c r="CC57" s="32">
        <f t="shared" si="68"/>
        <v>422</v>
      </c>
      <c r="CD57" s="32">
        <f t="shared" si="68"/>
        <v>422</v>
      </c>
      <c r="CE57" s="32">
        <f t="shared" si="68"/>
        <v>422</v>
      </c>
      <c r="CF57" s="32">
        <f t="shared" si="68"/>
        <v>422</v>
      </c>
      <c r="CG57" s="32">
        <f t="shared" si="68"/>
        <v>422</v>
      </c>
      <c r="CH57" s="32">
        <f t="shared" si="68"/>
        <v>422</v>
      </c>
      <c r="CI57" s="32">
        <f t="shared" si="68"/>
        <v>422</v>
      </c>
    </row>
    <row r="58" spans="1:87" ht="16.5">
      <c r="A58" s="6" t="s">
        <v>471</v>
      </c>
      <c r="B58" s="30" t="s">
        <v>458</v>
      </c>
      <c r="C58" s="17" t="s">
        <v>472</v>
      </c>
      <c r="D58" s="32">
        <f t="shared" ref="D58:AI58" si="69">ROUND(D57*D53, 0)</f>
        <v>34</v>
      </c>
      <c r="E58" s="32">
        <f t="shared" si="69"/>
        <v>34</v>
      </c>
      <c r="F58" s="32">
        <f t="shared" si="69"/>
        <v>34</v>
      </c>
      <c r="G58" s="32">
        <f t="shared" si="69"/>
        <v>34</v>
      </c>
      <c r="H58" s="32">
        <f t="shared" si="69"/>
        <v>34</v>
      </c>
      <c r="I58" s="32">
        <f t="shared" si="69"/>
        <v>34</v>
      </c>
      <c r="J58" s="32">
        <f t="shared" si="69"/>
        <v>34</v>
      </c>
      <c r="K58" s="32">
        <f t="shared" si="69"/>
        <v>34</v>
      </c>
      <c r="L58" s="32">
        <f t="shared" si="69"/>
        <v>34</v>
      </c>
      <c r="M58" s="32">
        <f t="shared" si="69"/>
        <v>34</v>
      </c>
      <c r="N58" s="32">
        <f t="shared" si="69"/>
        <v>34</v>
      </c>
      <c r="O58" s="32">
        <f t="shared" si="69"/>
        <v>34</v>
      </c>
      <c r="P58" s="32">
        <f t="shared" si="69"/>
        <v>34</v>
      </c>
      <c r="Q58" s="32">
        <f t="shared" si="69"/>
        <v>34</v>
      </c>
      <c r="R58" s="32">
        <f t="shared" si="69"/>
        <v>34</v>
      </c>
      <c r="S58" s="32">
        <f t="shared" si="69"/>
        <v>34</v>
      </c>
      <c r="T58" s="32">
        <f t="shared" si="69"/>
        <v>34</v>
      </c>
      <c r="U58" s="32">
        <f t="shared" si="69"/>
        <v>34</v>
      </c>
      <c r="V58" s="32">
        <f t="shared" si="69"/>
        <v>34</v>
      </c>
      <c r="W58" s="32">
        <f t="shared" si="69"/>
        <v>34</v>
      </c>
      <c r="X58" s="32">
        <f t="shared" si="69"/>
        <v>34</v>
      </c>
      <c r="Y58" s="32">
        <f t="shared" si="69"/>
        <v>34</v>
      </c>
      <c r="Z58" s="32">
        <f t="shared" si="69"/>
        <v>34</v>
      </c>
      <c r="AA58" s="32">
        <f t="shared" si="69"/>
        <v>34</v>
      </c>
      <c r="AB58" s="32">
        <f t="shared" si="69"/>
        <v>34</v>
      </c>
      <c r="AC58" s="32">
        <f t="shared" si="69"/>
        <v>34</v>
      </c>
      <c r="AD58" s="32">
        <f t="shared" si="69"/>
        <v>34</v>
      </c>
      <c r="AE58" s="32">
        <f t="shared" si="69"/>
        <v>34</v>
      </c>
      <c r="AF58" s="32">
        <f t="shared" si="69"/>
        <v>34</v>
      </c>
      <c r="AG58" s="32">
        <f t="shared" si="69"/>
        <v>34</v>
      </c>
      <c r="AH58" s="32">
        <f t="shared" si="69"/>
        <v>34</v>
      </c>
      <c r="AI58" s="32">
        <f t="shared" si="69"/>
        <v>34</v>
      </c>
      <c r="AJ58" s="32">
        <f t="shared" ref="AJ58:BO58" si="70">ROUND(AJ57*AJ53, 0)</f>
        <v>34</v>
      </c>
      <c r="AK58" s="32">
        <f t="shared" si="70"/>
        <v>34</v>
      </c>
      <c r="AL58" s="32">
        <f t="shared" si="70"/>
        <v>34</v>
      </c>
      <c r="AM58" s="32">
        <f t="shared" si="70"/>
        <v>34</v>
      </c>
      <c r="AN58" s="32">
        <f t="shared" si="70"/>
        <v>34</v>
      </c>
      <c r="AO58" s="32">
        <f t="shared" si="70"/>
        <v>34</v>
      </c>
      <c r="AP58" s="32">
        <f t="shared" si="70"/>
        <v>34</v>
      </c>
      <c r="AQ58" s="32">
        <f t="shared" si="70"/>
        <v>34</v>
      </c>
      <c r="AR58" s="32">
        <f t="shared" si="70"/>
        <v>34</v>
      </c>
      <c r="AS58" s="32">
        <f t="shared" si="70"/>
        <v>34</v>
      </c>
      <c r="AT58" s="32">
        <f t="shared" si="70"/>
        <v>34</v>
      </c>
      <c r="AU58" s="32">
        <f t="shared" si="70"/>
        <v>34</v>
      </c>
      <c r="AV58" s="32">
        <f t="shared" si="70"/>
        <v>34</v>
      </c>
      <c r="AW58" s="32">
        <f t="shared" si="70"/>
        <v>34</v>
      </c>
      <c r="AX58" s="32">
        <f t="shared" si="70"/>
        <v>34</v>
      </c>
      <c r="AY58" s="32">
        <f t="shared" si="70"/>
        <v>34</v>
      </c>
      <c r="AZ58" s="32">
        <f t="shared" si="70"/>
        <v>34</v>
      </c>
      <c r="BA58" s="32">
        <f t="shared" si="70"/>
        <v>34</v>
      </c>
      <c r="BB58" s="32">
        <f t="shared" si="70"/>
        <v>34</v>
      </c>
      <c r="BC58" s="32">
        <f t="shared" si="70"/>
        <v>34</v>
      </c>
      <c r="BD58" s="32">
        <f t="shared" si="70"/>
        <v>34</v>
      </c>
      <c r="BE58" s="32">
        <f t="shared" si="70"/>
        <v>34</v>
      </c>
      <c r="BF58" s="32">
        <f t="shared" si="70"/>
        <v>34</v>
      </c>
      <c r="BG58" s="32">
        <f t="shared" si="70"/>
        <v>34</v>
      </c>
      <c r="BH58" s="32">
        <f t="shared" si="70"/>
        <v>34</v>
      </c>
      <c r="BI58" s="32">
        <f t="shared" si="70"/>
        <v>34</v>
      </c>
      <c r="BJ58" s="32">
        <f t="shared" si="70"/>
        <v>34</v>
      </c>
      <c r="BK58" s="32">
        <f t="shared" si="70"/>
        <v>34</v>
      </c>
      <c r="BL58" s="32">
        <f t="shared" si="70"/>
        <v>34</v>
      </c>
      <c r="BM58" s="32">
        <f t="shared" si="70"/>
        <v>34</v>
      </c>
      <c r="BN58" s="32">
        <f t="shared" si="70"/>
        <v>34</v>
      </c>
      <c r="BO58" s="32">
        <f t="shared" si="70"/>
        <v>34</v>
      </c>
      <c r="BP58" s="32">
        <f t="shared" ref="BP58:CU58" si="71">ROUND(BP57*BP53, 0)</f>
        <v>34</v>
      </c>
      <c r="BQ58" s="32">
        <f t="shared" si="71"/>
        <v>34</v>
      </c>
      <c r="BR58" s="32">
        <f t="shared" si="71"/>
        <v>34</v>
      </c>
      <c r="BS58" s="32">
        <f t="shared" si="71"/>
        <v>34</v>
      </c>
      <c r="BT58" s="32">
        <f t="shared" si="71"/>
        <v>34</v>
      </c>
      <c r="BU58" s="32">
        <f t="shared" si="71"/>
        <v>34</v>
      </c>
      <c r="BV58" s="32">
        <f t="shared" si="71"/>
        <v>34</v>
      </c>
      <c r="BW58" s="32">
        <f t="shared" si="71"/>
        <v>34</v>
      </c>
      <c r="BX58" s="32">
        <f t="shared" si="71"/>
        <v>34</v>
      </c>
      <c r="BY58" s="32">
        <f t="shared" si="71"/>
        <v>34</v>
      </c>
      <c r="BZ58" s="32">
        <f t="shared" si="71"/>
        <v>34</v>
      </c>
      <c r="CA58" s="32">
        <f t="shared" si="71"/>
        <v>34</v>
      </c>
      <c r="CB58" s="32">
        <f t="shared" si="71"/>
        <v>34</v>
      </c>
      <c r="CC58" s="32">
        <f t="shared" si="71"/>
        <v>34</v>
      </c>
      <c r="CD58" s="32">
        <f t="shared" si="71"/>
        <v>34</v>
      </c>
      <c r="CE58" s="32">
        <f t="shared" si="71"/>
        <v>34</v>
      </c>
      <c r="CF58" s="32">
        <f t="shared" si="71"/>
        <v>34</v>
      </c>
      <c r="CG58" s="32">
        <f t="shared" si="71"/>
        <v>34</v>
      </c>
      <c r="CH58" s="32">
        <f t="shared" si="71"/>
        <v>34</v>
      </c>
      <c r="CI58" s="32">
        <f t="shared" si="71"/>
        <v>34</v>
      </c>
    </row>
    <row r="59" spans="1:87" ht="16.5">
      <c r="A59" s="6" t="s">
        <v>473</v>
      </c>
      <c r="B59" s="30" t="s">
        <v>458</v>
      </c>
      <c r="C59" s="17" t="s">
        <v>474</v>
      </c>
      <c r="D59" s="32">
        <f t="shared" ref="D59:AI59" si="72">D54+D58</f>
        <v>114</v>
      </c>
      <c r="E59" s="32">
        <f t="shared" si="72"/>
        <v>126</v>
      </c>
      <c r="F59" s="32">
        <f t="shared" si="72"/>
        <v>140</v>
      </c>
      <c r="G59" s="32">
        <f t="shared" si="72"/>
        <v>156</v>
      </c>
      <c r="H59" s="32">
        <f t="shared" si="72"/>
        <v>174</v>
      </c>
      <c r="I59" s="32">
        <f t="shared" si="72"/>
        <v>195</v>
      </c>
      <c r="J59" s="32">
        <f t="shared" si="72"/>
        <v>219</v>
      </c>
      <c r="K59" s="32">
        <f t="shared" si="72"/>
        <v>247</v>
      </c>
      <c r="L59" s="32">
        <f t="shared" si="72"/>
        <v>279</v>
      </c>
      <c r="M59" s="32">
        <f t="shared" si="72"/>
        <v>315</v>
      </c>
      <c r="N59" s="32">
        <f t="shared" si="72"/>
        <v>358</v>
      </c>
      <c r="O59" s="32">
        <f t="shared" si="72"/>
        <v>406</v>
      </c>
      <c r="P59" s="32">
        <f t="shared" si="72"/>
        <v>462</v>
      </c>
      <c r="Q59" s="32">
        <f t="shared" si="72"/>
        <v>526</v>
      </c>
      <c r="R59" s="32">
        <f t="shared" si="72"/>
        <v>600</v>
      </c>
      <c r="S59" s="32">
        <f t="shared" si="72"/>
        <v>685</v>
      </c>
      <c r="T59" s="32">
        <f t="shared" si="72"/>
        <v>783</v>
      </c>
      <c r="U59" s="32">
        <f t="shared" si="72"/>
        <v>895</v>
      </c>
      <c r="V59" s="32">
        <f t="shared" si="72"/>
        <v>1024</v>
      </c>
      <c r="W59" s="32">
        <f t="shared" si="72"/>
        <v>1173</v>
      </c>
      <c r="X59" s="32">
        <f t="shared" si="72"/>
        <v>1343</v>
      </c>
      <c r="Y59" s="32">
        <f t="shared" si="72"/>
        <v>1540</v>
      </c>
      <c r="Z59" s="32">
        <f t="shared" si="72"/>
        <v>1766</v>
      </c>
      <c r="AA59" s="32">
        <f t="shared" si="72"/>
        <v>2025</v>
      </c>
      <c r="AB59" s="32">
        <f t="shared" si="72"/>
        <v>2324</v>
      </c>
      <c r="AC59" s="32">
        <f t="shared" si="72"/>
        <v>2668</v>
      </c>
      <c r="AD59" s="32">
        <f t="shared" si="72"/>
        <v>3063</v>
      </c>
      <c r="AE59" s="32">
        <f t="shared" si="72"/>
        <v>3517</v>
      </c>
      <c r="AF59" s="32">
        <f t="shared" si="72"/>
        <v>4039</v>
      </c>
      <c r="AG59" s="32">
        <f t="shared" si="72"/>
        <v>4640</v>
      </c>
      <c r="AH59" s="32">
        <f t="shared" si="72"/>
        <v>5331</v>
      </c>
      <c r="AI59" s="32">
        <f t="shared" si="72"/>
        <v>6125</v>
      </c>
      <c r="AJ59" s="32">
        <f t="shared" ref="AJ59:BO59" si="73">AJ54+AJ58</f>
        <v>7039</v>
      </c>
      <c r="AK59" s="32">
        <f t="shared" si="73"/>
        <v>8090</v>
      </c>
      <c r="AL59" s="32">
        <f t="shared" si="73"/>
        <v>9298</v>
      </c>
      <c r="AM59" s="32">
        <f t="shared" si="73"/>
        <v>10688</v>
      </c>
      <c r="AN59" s="32">
        <f t="shared" si="73"/>
        <v>12286</v>
      </c>
      <c r="AO59" s="32">
        <f t="shared" si="73"/>
        <v>14124</v>
      </c>
      <c r="AP59" s="32">
        <f t="shared" si="73"/>
        <v>16237</v>
      </c>
      <c r="AQ59" s="32">
        <f t="shared" si="73"/>
        <v>18668</v>
      </c>
      <c r="AR59" s="32">
        <f t="shared" si="73"/>
        <v>21463</v>
      </c>
      <c r="AS59" s="32">
        <f t="shared" si="73"/>
        <v>24677</v>
      </c>
      <c r="AT59" s="32">
        <f t="shared" si="73"/>
        <v>28374</v>
      </c>
      <c r="AU59" s="32">
        <f t="shared" si="73"/>
        <v>32625</v>
      </c>
      <c r="AV59" s="32">
        <f t="shared" si="73"/>
        <v>37514</v>
      </c>
      <c r="AW59" s="32">
        <f t="shared" si="73"/>
        <v>43136</v>
      </c>
      <c r="AX59" s="32">
        <f t="shared" si="73"/>
        <v>49601</v>
      </c>
      <c r="AY59" s="32">
        <f t="shared" si="73"/>
        <v>57036</v>
      </c>
      <c r="AZ59" s="32">
        <f t="shared" si="73"/>
        <v>65586</v>
      </c>
      <c r="BA59" s="32">
        <f t="shared" si="73"/>
        <v>75419</v>
      </c>
      <c r="BB59" s="32">
        <f t="shared" si="73"/>
        <v>86727</v>
      </c>
      <c r="BC59" s="32">
        <f t="shared" si="73"/>
        <v>99730</v>
      </c>
      <c r="BD59" s="32">
        <f t="shared" si="73"/>
        <v>114685</v>
      </c>
      <c r="BE59" s="32">
        <f t="shared" si="73"/>
        <v>131883</v>
      </c>
      <c r="BF59" s="32">
        <f t="shared" si="73"/>
        <v>151660</v>
      </c>
      <c r="BG59" s="32">
        <f t="shared" si="73"/>
        <v>174404</v>
      </c>
      <c r="BH59" s="32">
        <f t="shared" si="73"/>
        <v>200559</v>
      </c>
      <c r="BI59" s="32">
        <f t="shared" si="73"/>
        <v>230638</v>
      </c>
      <c r="BJ59" s="32">
        <f t="shared" si="73"/>
        <v>265229</v>
      </c>
      <c r="BK59" s="32">
        <f t="shared" si="73"/>
        <v>305008</v>
      </c>
      <c r="BL59" s="32">
        <f t="shared" si="73"/>
        <v>350754</v>
      </c>
      <c r="BM59" s="32">
        <f t="shared" si="73"/>
        <v>403362</v>
      </c>
      <c r="BN59" s="32">
        <f t="shared" si="73"/>
        <v>463861</v>
      </c>
      <c r="BO59" s="32">
        <f t="shared" si="73"/>
        <v>533435</v>
      </c>
      <c r="BP59" s="32">
        <f t="shared" ref="BP59:CU59" si="74">BP54+BP58</f>
        <v>613445</v>
      </c>
      <c r="BQ59" s="32">
        <f t="shared" si="74"/>
        <v>705457</v>
      </c>
      <c r="BR59" s="32">
        <f t="shared" si="74"/>
        <v>811270</v>
      </c>
      <c r="BS59" s="32">
        <f t="shared" si="74"/>
        <v>932956</v>
      </c>
      <c r="BT59" s="32">
        <f t="shared" si="74"/>
        <v>1072894</v>
      </c>
      <c r="BU59" s="32">
        <f t="shared" si="74"/>
        <v>1233823</v>
      </c>
      <c r="BV59" s="32">
        <f t="shared" si="74"/>
        <v>1418892</v>
      </c>
      <c r="BW59" s="32">
        <f t="shared" si="74"/>
        <v>1631720</v>
      </c>
      <c r="BX59" s="32">
        <f t="shared" si="74"/>
        <v>1876473</v>
      </c>
      <c r="BY59" s="32">
        <f t="shared" si="74"/>
        <v>2157939</v>
      </c>
      <c r="BZ59" s="32">
        <f t="shared" si="74"/>
        <v>2481625</v>
      </c>
      <c r="CA59" s="32">
        <f t="shared" si="74"/>
        <v>2853863</v>
      </c>
      <c r="CB59" s="32">
        <f t="shared" si="74"/>
        <v>3281938</v>
      </c>
      <c r="CC59" s="32">
        <f t="shared" si="74"/>
        <v>3774223</v>
      </c>
      <c r="CD59" s="32">
        <f t="shared" si="74"/>
        <v>4340352</v>
      </c>
      <c r="CE59" s="32">
        <f t="shared" si="74"/>
        <v>4991400</v>
      </c>
      <c r="CF59" s="32">
        <f t="shared" si="74"/>
        <v>5740104</v>
      </c>
      <c r="CG59" s="32">
        <f t="shared" si="74"/>
        <v>6601115</v>
      </c>
      <c r="CH59" s="32">
        <f t="shared" si="74"/>
        <v>7591277</v>
      </c>
      <c r="CI59" s="32">
        <f t="shared" si="74"/>
        <v>8729963</v>
      </c>
    </row>
    <row r="60" spans="1:87" ht="16.5">
      <c r="A60" s="6" t="s">
        <v>475</v>
      </c>
      <c r="B60" s="30" t="s">
        <v>455</v>
      </c>
      <c r="C60" s="17" t="s">
        <v>499</v>
      </c>
      <c r="D60" s="31">
        <v>0.03</v>
      </c>
      <c r="E60" s="31">
        <v>0.03</v>
      </c>
      <c r="F60" s="31">
        <v>0.03</v>
      </c>
      <c r="G60" s="31">
        <v>0.03</v>
      </c>
      <c r="H60" s="31">
        <v>0.03</v>
      </c>
      <c r="I60" s="31">
        <v>0.03</v>
      </c>
      <c r="J60" s="31">
        <v>0.03</v>
      </c>
      <c r="K60" s="31">
        <v>0.03</v>
      </c>
      <c r="L60" s="31">
        <v>0.03</v>
      </c>
      <c r="M60" s="31">
        <v>0.03</v>
      </c>
      <c r="N60" s="31">
        <v>0.03</v>
      </c>
      <c r="O60" s="31">
        <v>0.03</v>
      </c>
      <c r="P60" s="31">
        <v>0.03</v>
      </c>
      <c r="Q60" s="31">
        <v>0.03</v>
      </c>
      <c r="R60" s="31">
        <v>0.03</v>
      </c>
      <c r="S60" s="31">
        <v>0.03</v>
      </c>
      <c r="T60" s="31">
        <v>0.03</v>
      </c>
      <c r="U60" s="31">
        <v>0.03</v>
      </c>
      <c r="V60" s="31">
        <v>0.03</v>
      </c>
      <c r="W60" s="31">
        <v>0.03</v>
      </c>
      <c r="X60" s="31">
        <v>0.03</v>
      </c>
      <c r="Y60" s="31">
        <v>0.03</v>
      </c>
      <c r="Z60" s="31">
        <v>0.03</v>
      </c>
      <c r="AA60" s="31">
        <v>0.03</v>
      </c>
      <c r="AB60" s="31">
        <v>0.03</v>
      </c>
      <c r="AC60" s="31">
        <v>0.03</v>
      </c>
      <c r="AD60" s="31">
        <v>0.03</v>
      </c>
      <c r="AE60" s="31">
        <v>0.03</v>
      </c>
      <c r="AF60" s="31">
        <v>0.03</v>
      </c>
      <c r="AG60" s="31">
        <v>0.03</v>
      </c>
      <c r="AH60" s="31">
        <v>0.03</v>
      </c>
      <c r="AI60" s="31">
        <v>0.03</v>
      </c>
      <c r="AJ60" s="31">
        <v>0.03</v>
      </c>
      <c r="AK60" s="31">
        <v>0.03</v>
      </c>
      <c r="AL60" s="31">
        <v>0.03</v>
      </c>
      <c r="AM60" s="31">
        <v>0.03</v>
      </c>
      <c r="AN60" s="31">
        <v>0.03</v>
      </c>
      <c r="AO60" s="31">
        <v>0.03</v>
      </c>
      <c r="AP60" s="31">
        <v>0.03</v>
      </c>
      <c r="AQ60" s="31">
        <v>0.03</v>
      </c>
      <c r="AR60" s="31">
        <v>0.03</v>
      </c>
      <c r="AS60" s="31">
        <v>0.03</v>
      </c>
      <c r="AT60" s="31">
        <v>0.03</v>
      </c>
      <c r="AU60" s="31">
        <v>0.03</v>
      </c>
      <c r="AV60" s="31">
        <v>0.03</v>
      </c>
      <c r="AW60" s="31">
        <v>0.03</v>
      </c>
      <c r="AX60" s="31">
        <v>0.03</v>
      </c>
      <c r="AY60" s="31">
        <v>0.03</v>
      </c>
      <c r="AZ60" s="31">
        <v>0.03</v>
      </c>
      <c r="BA60" s="31">
        <v>0.03</v>
      </c>
      <c r="BB60" s="31">
        <v>0.03</v>
      </c>
      <c r="BC60" s="31">
        <v>0.03</v>
      </c>
      <c r="BD60" s="31">
        <v>0.03</v>
      </c>
      <c r="BE60" s="31">
        <v>0.03</v>
      </c>
      <c r="BF60" s="31">
        <v>0.03</v>
      </c>
      <c r="BG60" s="31">
        <v>0.03</v>
      </c>
      <c r="BH60" s="31">
        <v>0.03</v>
      </c>
      <c r="BI60" s="31">
        <v>0.03</v>
      </c>
      <c r="BJ60" s="31">
        <v>0.03</v>
      </c>
      <c r="BK60" s="31">
        <v>0.03</v>
      </c>
      <c r="BL60" s="31">
        <v>0.03</v>
      </c>
      <c r="BM60" s="31">
        <v>0.03</v>
      </c>
      <c r="BN60" s="31">
        <v>0.03</v>
      </c>
      <c r="BO60" s="31">
        <v>0.03</v>
      </c>
      <c r="BP60" s="31">
        <v>0.03</v>
      </c>
      <c r="BQ60" s="31">
        <v>0.03</v>
      </c>
      <c r="BR60" s="31">
        <v>0.03</v>
      </c>
      <c r="BS60" s="31">
        <v>0.03</v>
      </c>
      <c r="BT60" s="31">
        <v>0.03</v>
      </c>
      <c r="BU60" s="31">
        <v>0.03</v>
      </c>
      <c r="BV60" s="31">
        <v>0.03</v>
      </c>
      <c r="BW60" s="31">
        <v>0.03</v>
      </c>
      <c r="BX60" s="31">
        <v>0.03</v>
      </c>
      <c r="BY60" s="31">
        <v>0.03</v>
      </c>
      <c r="BZ60" s="31">
        <v>0.03</v>
      </c>
      <c r="CA60" s="31">
        <v>0.03</v>
      </c>
      <c r="CB60" s="31">
        <v>0.03</v>
      </c>
      <c r="CC60" s="31">
        <v>0.03</v>
      </c>
      <c r="CD60" s="31">
        <v>0.03</v>
      </c>
      <c r="CE60" s="31">
        <v>0.03</v>
      </c>
      <c r="CF60" s="31">
        <v>0.03</v>
      </c>
      <c r="CG60" s="31">
        <v>0.03</v>
      </c>
      <c r="CH60" s="31">
        <v>0.03</v>
      </c>
      <c r="CI60" s="31">
        <v>0.03</v>
      </c>
    </row>
    <row r="61" spans="1:87" ht="16.5">
      <c r="A61" s="6" t="s">
        <v>477</v>
      </c>
      <c r="B61" s="30" t="s">
        <v>458</v>
      </c>
      <c r="C61" s="17" t="s">
        <v>478</v>
      </c>
      <c r="D61" s="32">
        <f>D59</f>
        <v>114</v>
      </c>
      <c r="E61" s="32">
        <f t="shared" ref="E61:AJ61" si="75">ROUND(D61*(1-E60)+E59, 0)</f>
        <v>237</v>
      </c>
      <c r="F61" s="32">
        <f t="shared" si="75"/>
        <v>370</v>
      </c>
      <c r="G61" s="32">
        <f t="shared" si="75"/>
        <v>515</v>
      </c>
      <c r="H61" s="32">
        <f t="shared" si="75"/>
        <v>674</v>
      </c>
      <c r="I61" s="32">
        <f t="shared" si="75"/>
        <v>849</v>
      </c>
      <c r="J61" s="32">
        <f t="shared" si="75"/>
        <v>1043</v>
      </c>
      <c r="K61" s="32">
        <f t="shared" si="75"/>
        <v>1259</v>
      </c>
      <c r="L61" s="32">
        <f t="shared" si="75"/>
        <v>1500</v>
      </c>
      <c r="M61" s="32">
        <f t="shared" si="75"/>
        <v>1770</v>
      </c>
      <c r="N61" s="32">
        <f t="shared" si="75"/>
        <v>2075</v>
      </c>
      <c r="O61" s="32">
        <f t="shared" si="75"/>
        <v>2419</v>
      </c>
      <c r="P61" s="32">
        <f t="shared" si="75"/>
        <v>2808</v>
      </c>
      <c r="Q61" s="32">
        <f t="shared" si="75"/>
        <v>3250</v>
      </c>
      <c r="R61" s="32">
        <f t="shared" si="75"/>
        <v>3753</v>
      </c>
      <c r="S61" s="32">
        <f t="shared" si="75"/>
        <v>4325</v>
      </c>
      <c r="T61" s="32">
        <f t="shared" si="75"/>
        <v>4978</v>
      </c>
      <c r="U61" s="32">
        <f t="shared" si="75"/>
        <v>5724</v>
      </c>
      <c r="V61" s="32">
        <f t="shared" si="75"/>
        <v>6576</v>
      </c>
      <c r="W61" s="32">
        <f t="shared" si="75"/>
        <v>7552</v>
      </c>
      <c r="X61" s="32">
        <f t="shared" si="75"/>
        <v>8668</v>
      </c>
      <c r="Y61" s="32">
        <f t="shared" si="75"/>
        <v>9948</v>
      </c>
      <c r="Z61" s="32">
        <f t="shared" si="75"/>
        <v>11416</v>
      </c>
      <c r="AA61" s="32">
        <f t="shared" si="75"/>
        <v>13099</v>
      </c>
      <c r="AB61" s="32">
        <f t="shared" si="75"/>
        <v>15030</v>
      </c>
      <c r="AC61" s="32">
        <f t="shared" si="75"/>
        <v>17247</v>
      </c>
      <c r="AD61" s="32">
        <f t="shared" si="75"/>
        <v>19793</v>
      </c>
      <c r="AE61" s="32">
        <f t="shared" si="75"/>
        <v>22716</v>
      </c>
      <c r="AF61" s="32">
        <f t="shared" si="75"/>
        <v>26074</v>
      </c>
      <c r="AG61" s="32">
        <f t="shared" si="75"/>
        <v>29932</v>
      </c>
      <c r="AH61" s="32">
        <f t="shared" si="75"/>
        <v>34365</v>
      </c>
      <c r="AI61" s="32">
        <f t="shared" si="75"/>
        <v>39459</v>
      </c>
      <c r="AJ61" s="32">
        <f t="shared" si="75"/>
        <v>45314</v>
      </c>
      <c r="AK61" s="32">
        <f t="shared" ref="AK61:BP61" si="76">ROUND(AJ61*(1-AK60)+AK59, 0)</f>
        <v>52045</v>
      </c>
      <c r="AL61" s="32">
        <f t="shared" si="76"/>
        <v>59782</v>
      </c>
      <c r="AM61" s="32">
        <f t="shared" si="76"/>
        <v>68677</v>
      </c>
      <c r="AN61" s="32">
        <f t="shared" si="76"/>
        <v>78903</v>
      </c>
      <c r="AO61" s="32">
        <f t="shared" si="76"/>
        <v>90660</v>
      </c>
      <c r="AP61" s="32">
        <f t="shared" si="76"/>
        <v>104177</v>
      </c>
      <c r="AQ61" s="32">
        <f t="shared" si="76"/>
        <v>119720</v>
      </c>
      <c r="AR61" s="32">
        <f t="shared" si="76"/>
        <v>137591</v>
      </c>
      <c r="AS61" s="32">
        <f t="shared" si="76"/>
        <v>158140</v>
      </c>
      <c r="AT61" s="32">
        <f t="shared" si="76"/>
        <v>181770</v>
      </c>
      <c r="AU61" s="32">
        <f t="shared" si="76"/>
        <v>208942</v>
      </c>
      <c r="AV61" s="32">
        <f t="shared" si="76"/>
        <v>240188</v>
      </c>
      <c r="AW61" s="32">
        <f t="shared" si="76"/>
        <v>276118</v>
      </c>
      <c r="AX61" s="32">
        <f t="shared" si="76"/>
        <v>317435</v>
      </c>
      <c r="AY61" s="32">
        <f t="shared" si="76"/>
        <v>364948</v>
      </c>
      <c r="AZ61" s="32">
        <f t="shared" si="76"/>
        <v>419586</v>
      </c>
      <c r="BA61" s="32">
        <f t="shared" si="76"/>
        <v>482417</v>
      </c>
      <c r="BB61" s="32">
        <f t="shared" si="76"/>
        <v>554671</v>
      </c>
      <c r="BC61" s="32">
        <f t="shared" si="76"/>
        <v>637761</v>
      </c>
      <c r="BD61" s="32">
        <f t="shared" si="76"/>
        <v>733313</v>
      </c>
      <c r="BE61" s="32">
        <f t="shared" si="76"/>
        <v>843197</v>
      </c>
      <c r="BF61" s="32">
        <f t="shared" si="76"/>
        <v>969561</v>
      </c>
      <c r="BG61" s="32">
        <f t="shared" si="76"/>
        <v>1114878</v>
      </c>
      <c r="BH61" s="32">
        <f t="shared" si="76"/>
        <v>1281991</v>
      </c>
      <c r="BI61" s="32">
        <f t="shared" si="76"/>
        <v>1474169</v>
      </c>
      <c r="BJ61" s="32">
        <f t="shared" si="76"/>
        <v>1695173</v>
      </c>
      <c r="BK61" s="32">
        <f t="shared" si="76"/>
        <v>1949326</v>
      </c>
      <c r="BL61" s="32">
        <f t="shared" si="76"/>
        <v>2241600</v>
      </c>
      <c r="BM61" s="32">
        <f t="shared" si="76"/>
        <v>2577714</v>
      </c>
      <c r="BN61" s="32">
        <f t="shared" si="76"/>
        <v>2964244</v>
      </c>
      <c r="BO61" s="32">
        <f t="shared" si="76"/>
        <v>3408752</v>
      </c>
      <c r="BP61" s="32">
        <f t="shared" si="76"/>
        <v>3919934</v>
      </c>
      <c r="BQ61" s="32">
        <f t="shared" ref="BQ61:CV61" si="77">ROUND(BP61*(1-BQ60)+BQ59, 0)</f>
        <v>4507793</v>
      </c>
      <c r="BR61" s="32">
        <f t="shared" si="77"/>
        <v>5183829</v>
      </c>
      <c r="BS61" s="32">
        <f t="shared" si="77"/>
        <v>5961270</v>
      </c>
      <c r="BT61" s="32">
        <f t="shared" si="77"/>
        <v>6855326</v>
      </c>
      <c r="BU61" s="32">
        <f t="shared" si="77"/>
        <v>7883489</v>
      </c>
      <c r="BV61" s="32">
        <f t="shared" si="77"/>
        <v>9065876</v>
      </c>
      <c r="BW61" s="32">
        <f t="shared" si="77"/>
        <v>10425620</v>
      </c>
      <c r="BX61" s="32">
        <f t="shared" si="77"/>
        <v>11989324</v>
      </c>
      <c r="BY61" s="32">
        <f t="shared" si="77"/>
        <v>13787583</v>
      </c>
      <c r="BZ61" s="32">
        <f t="shared" si="77"/>
        <v>15855581</v>
      </c>
      <c r="CA61" s="32">
        <f t="shared" si="77"/>
        <v>18233777</v>
      </c>
      <c r="CB61" s="32">
        <f t="shared" si="77"/>
        <v>20968702</v>
      </c>
      <c r="CC61" s="32">
        <f t="shared" si="77"/>
        <v>24113864</v>
      </c>
      <c r="CD61" s="32">
        <f t="shared" si="77"/>
        <v>27730800</v>
      </c>
      <c r="CE61" s="32">
        <f t="shared" si="77"/>
        <v>31890276</v>
      </c>
      <c r="CF61" s="32">
        <f t="shared" si="77"/>
        <v>36673672</v>
      </c>
      <c r="CG61" s="32">
        <f t="shared" si="77"/>
        <v>42174577</v>
      </c>
      <c r="CH61" s="32">
        <f t="shared" si="77"/>
        <v>48500617</v>
      </c>
      <c r="CI61" s="32">
        <f t="shared" si="77"/>
        <v>55775561</v>
      </c>
    </row>
    <row r="62" spans="1:87" ht="16.5">
      <c r="A62" s="6" t="s">
        <v>479</v>
      </c>
      <c r="B62" s="30" t="s">
        <v>455</v>
      </c>
      <c r="C62" s="17" t="s">
        <v>500</v>
      </c>
      <c r="D62" s="31">
        <v>0.45</v>
      </c>
      <c r="E62" s="31">
        <v>0.45</v>
      </c>
      <c r="F62" s="31">
        <v>0.45</v>
      </c>
      <c r="G62" s="31">
        <v>0.45</v>
      </c>
      <c r="H62" s="31">
        <v>0.45</v>
      </c>
      <c r="I62" s="31">
        <v>0.45</v>
      </c>
      <c r="J62" s="31">
        <v>0.45</v>
      </c>
      <c r="K62" s="31">
        <v>0.45</v>
      </c>
      <c r="L62" s="31">
        <v>0.45</v>
      </c>
      <c r="M62" s="31">
        <v>0.45</v>
      </c>
      <c r="N62" s="31">
        <v>0.45</v>
      </c>
      <c r="O62" s="31">
        <v>0.45</v>
      </c>
      <c r="P62" s="31">
        <v>0.45</v>
      </c>
      <c r="Q62" s="31">
        <v>0.45</v>
      </c>
      <c r="R62" s="31">
        <v>0.45</v>
      </c>
      <c r="S62" s="31">
        <v>0.45</v>
      </c>
      <c r="T62" s="31">
        <v>0.45</v>
      </c>
      <c r="U62" s="31">
        <v>0.45</v>
      </c>
      <c r="V62" s="31">
        <v>0.45</v>
      </c>
      <c r="W62" s="31">
        <v>0.45</v>
      </c>
      <c r="X62" s="31">
        <v>0.45</v>
      </c>
      <c r="Y62" s="31">
        <v>0.45</v>
      </c>
      <c r="Z62" s="31">
        <v>0.45</v>
      </c>
      <c r="AA62" s="31">
        <v>0.45</v>
      </c>
      <c r="AB62" s="31">
        <v>0.45</v>
      </c>
      <c r="AC62" s="31">
        <v>0.45</v>
      </c>
      <c r="AD62" s="31">
        <v>0.45</v>
      </c>
      <c r="AE62" s="31">
        <v>0.45</v>
      </c>
      <c r="AF62" s="31">
        <v>0.45</v>
      </c>
      <c r="AG62" s="31">
        <v>0.45</v>
      </c>
      <c r="AH62" s="31">
        <v>0.45</v>
      </c>
      <c r="AI62" s="31">
        <v>0.45</v>
      </c>
      <c r="AJ62" s="31">
        <v>0.45</v>
      </c>
      <c r="AK62" s="31">
        <v>0.45</v>
      </c>
      <c r="AL62" s="31">
        <v>0.45</v>
      </c>
      <c r="AM62" s="31">
        <v>0.45</v>
      </c>
      <c r="AN62" s="31">
        <v>0.45</v>
      </c>
      <c r="AO62" s="31">
        <v>0.45</v>
      </c>
      <c r="AP62" s="31">
        <v>0.45</v>
      </c>
      <c r="AQ62" s="31">
        <v>0.45</v>
      </c>
      <c r="AR62" s="31">
        <v>0.45</v>
      </c>
      <c r="AS62" s="31">
        <v>0.45</v>
      </c>
      <c r="AT62" s="31">
        <v>0.45</v>
      </c>
      <c r="AU62" s="31">
        <v>0.45</v>
      </c>
      <c r="AV62" s="31">
        <v>0.45</v>
      </c>
      <c r="AW62" s="31">
        <v>0.45</v>
      </c>
      <c r="AX62" s="31">
        <v>0.45</v>
      </c>
      <c r="AY62" s="31">
        <v>0.45</v>
      </c>
      <c r="AZ62" s="31">
        <v>0.45</v>
      </c>
      <c r="BA62" s="31">
        <v>0.45</v>
      </c>
      <c r="BB62" s="31">
        <v>0.45</v>
      </c>
      <c r="BC62" s="31">
        <v>0.45</v>
      </c>
      <c r="BD62" s="31">
        <v>0.45</v>
      </c>
      <c r="BE62" s="31">
        <v>0.45</v>
      </c>
      <c r="BF62" s="31">
        <v>0.45</v>
      </c>
      <c r="BG62" s="31">
        <v>0.45</v>
      </c>
      <c r="BH62" s="31">
        <v>0.45</v>
      </c>
      <c r="BI62" s="31">
        <v>0.45</v>
      </c>
      <c r="BJ62" s="31">
        <v>0.45</v>
      </c>
      <c r="BK62" s="31">
        <v>0.45</v>
      </c>
      <c r="BL62" s="31">
        <v>0.45</v>
      </c>
      <c r="BM62" s="31">
        <v>0.45</v>
      </c>
      <c r="BN62" s="31">
        <v>0.45</v>
      </c>
      <c r="BO62" s="31">
        <v>0.45</v>
      </c>
      <c r="BP62" s="31">
        <v>0.45</v>
      </c>
      <c r="BQ62" s="31">
        <v>0.45</v>
      </c>
      <c r="BR62" s="31">
        <v>0.45</v>
      </c>
      <c r="BS62" s="31">
        <v>0.45</v>
      </c>
      <c r="BT62" s="31">
        <v>0.45</v>
      </c>
      <c r="BU62" s="31">
        <v>0.45</v>
      </c>
      <c r="BV62" s="31">
        <v>0.45</v>
      </c>
      <c r="BW62" s="31">
        <v>0.45</v>
      </c>
      <c r="BX62" s="31">
        <v>0.45</v>
      </c>
      <c r="BY62" s="31">
        <v>0.45</v>
      </c>
      <c r="BZ62" s="31">
        <v>0.45</v>
      </c>
      <c r="CA62" s="31">
        <v>0.45</v>
      </c>
      <c r="CB62" s="31">
        <v>0.45</v>
      </c>
      <c r="CC62" s="31">
        <v>0.45</v>
      </c>
      <c r="CD62" s="31">
        <v>0.45</v>
      </c>
      <c r="CE62" s="31">
        <v>0.45</v>
      </c>
      <c r="CF62" s="31">
        <v>0.45</v>
      </c>
      <c r="CG62" s="31">
        <v>0.45</v>
      </c>
      <c r="CH62" s="31">
        <v>0.45</v>
      </c>
      <c r="CI62" s="31">
        <v>0.45</v>
      </c>
    </row>
    <row r="63" spans="1:87" ht="16.5">
      <c r="A63" s="6" t="s">
        <v>481</v>
      </c>
      <c r="B63" s="30" t="s">
        <v>458</v>
      </c>
      <c r="C63" s="17" t="s">
        <v>482</v>
      </c>
      <c r="D63" s="32">
        <f t="shared" ref="D63:AI63" si="78">ROUND(D61*D62, 0)</f>
        <v>51</v>
      </c>
      <c r="E63" s="32">
        <f t="shared" si="78"/>
        <v>107</v>
      </c>
      <c r="F63" s="32">
        <f t="shared" si="78"/>
        <v>167</v>
      </c>
      <c r="G63" s="32">
        <f t="shared" si="78"/>
        <v>232</v>
      </c>
      <c r="H63" s="32">
        <f t="shared" si="78"/>
        <v>303</v>
      </c>
      <c r="I63" s="32">
        <f t="shared" si="78"/>
        <v>382</v>
      </c>
      <c r="J63" s="32">
        <f t="shared" si="78"/>
        <v>469</v>
      </c>
      <c r="K63" s="32">
        <f t="shared" si="78"/>
        <v>567</v>
      </c>
      <c r="L63" s="32">
        <f t="shared" si="78"/>
        <v>675</v>
      </c>
      <c r="M63" s="32">
        <f t="shared" si="78"/>
        <v>797</v>
      </c>
      <c r="N63" s="32">
        <f t="shared" si="78"/>
        <v>934</v>
      </c>
      <c r="O63" s="32">
        <f t="shared" si="78"/>
        <v>1089</v>
      </c>
      <c r="P63" s="32">
        <f t="shared" si="78"/>
        <v>1264</v>
      </c>
      <c r="Q63" s="32">
        <f t="shared" si="78"/>
        <v>1463</v>
      </c>
      <c r="R63" s="32">
        <f t="shared" si="78"/>
        <v>1689</v>
      </c>
      <c r="S63" s="32">
        <f t="shared" si="78"/>
        <v>1946</v>
      </c>
      <c r="T63" s="32">
        <f t="shared" si="78"/>
        <v>2240</v>
      </c>
      <c r="U63" s="32">
        <f t="shared" si="78"/>
        <v>2576</v>
      </c>
      <c r="V63" s="32">
        <f t="shared" si="78"/>
        <v>2959</v>
      </c>
      <c r="W63" s="32">
        <f t="shared" si="78"/>
        <v>3398</v>
      </c>
      <c r="X63" s="32">
        <f t="shared" si="78"/>
        <v>3901</v>
      </c>
      <c r="Y63" s="32">
        <f t="shared" si="78"/>
        <v>4477</v>
      </c>
      <c r="Z63" s="32">
        <f t="shared" si="78"/>
        <v>5137</v>
      </c>
      <c r="AA63" s="32">
        <f t="shared" si="78"/>
        <v>5895</v>
      </c>
      <c r="AB63" s="32">
        <f t="shared" si="78"/>
        <v>6764</v>
      </c>
      <c r="AC63" s="32">
        <f t="shared" si="78"/>
        <v>7761</v>
      </c>
      <c r="AD63" s="32">
        <f t="shared" si="78"/>
        <v>8907</v>
      </c>
      <c r="AE63" s="32">
        <f t="shared" si="78"/>
        <v>10222</v>
      </c>
      <c r="AF63" s="32">
        <f t="shared" si="78"/>
        <v>11733</v>
      </c>
      <c r="AG63" s="32">
        <f t="shared" si="78"/>
        <v>13469</v>
      </c>
      <c r="AH63" s="32">
        <f t="shared" si="78"/>
        <v>15464</v>
      </c>
      <c r="AI63" s="32">
        <f t="shared" si="78"/>
        <v>17757</v>
      </c>
      <c r="AJ63" s="32">
        <f t="shared" ref="AJ63:BO63" si="79">ROUND(AJ61*AJ62, 0)</f>
        <v>20391</v>
      </c>
      <c r="AK63" s="32">
        <f t="shared" si="79"/>
        <v>23420</v>
      </c>
      <c r="AL63" s="32">
        <f t="shared" si="79"/>
        <v>26902</v>
      </c>
      <c r="AM63" s="32">
        <f t="shared" si="79"/>
        <v>30905</v>
      </c>
      <c r="AN63" s="32">
        <f t="shared" si="79"/>
        <v>35506</v>
      </c>
      <c r="AO63" s="32">
        <f t="shared" si="79"/>
        <v>40797</v>
      </c>
      <c r="AP63" s="32">
        <f t="shared" si="79"/>
        <v>46880</v>
      </c>
      <c r="AQ63" s="32">
        <f t="shared" si="79"/>
        <v>53874</v>
      </c>
      <c r="AR63" s="32">
        <f t="shared" si="79"/>
        <v>61916</v>
      </c>
      <c r="AS63" s="32">
        <f t="shared" si="79"/>
        <v>71163</v>
      </c>
      <c r="AT63" s="32">
        <f t="shared" si="79"/>
        <v>81797</v>
      </c>
      <c r="AU63" s="32">
        <f t="shared" si="79"/>
        <v>94024</v>
      </c>
      <c r="AV63" s="32">
        <f t="shared" si="79"/>
        <v>108085</v>
      </c>
      <c r="AW63" s="32">
        <f t="shared" si="79"/>
        <v>124253</v>
      </c>
      <c r="AX63" s="32">
        <f t="shared" si="79"/>
        <v>142846</v>
      </c>
      <c r="AY63" s="32">
        <f t="shared" si="79"/>
        <v>164227</v>
      </c>
      <c r="AZ63" s="32">
        <f t="shared" si="79"/>
        <v>188814</v>
      </c>
      <c r="BA63" s="32">
        <f t="shared" si="79"/>
        <v>217088</v>
      </c>
      <c r="BB63" s="32">
        <f t="shared" si="79"/>
        <v>249602</v>
      </c>
      <c r="BC63" s="32">
        <f t="shared" si="79"/>
        <v>286992</v>
      </c>
      <c r="BD63" s="32">
        <f t="shared" si="79"/>
        <v>329991</v>
      </c>
      <c r="BE63" s="32">
        <f t="shared" si="79"/>
        <v>379439</v>
      </c>
      <c r="BF63" s="32">
        <f t="shared" si="79"/>
        <v>436302</v>
      </c>
      <c r="BG63" s="32">
        <f t="shared" si="79"/>
        <v>501695</v>
      </c>
      <c r="BH63" s="32">
        <f t="shared" si="79"/>
        <v>576896</v>
      </c>
      <c r="BI63" s="32">
        <f t="shared" si="79"/>
        <v>663376</v>
      </c>
      <c r="BJ63" s="32">
        <f t="shared" si="79"/>
        <v>762828</v>
      </c>
      <c r="BK63" s="32">
        <f t="shared" si="79"/>
        <v>877197</v>
      </c>
      <c r="BL63" s="32">
        <f t="shared" si="79"/>
        <v>1008720</v>
      </c>
      <c r="BM63" s="32">
        <f t="shared" si="79"/>
        <v>1159971</v>
      </c>
      <c r="BN63" s="32">
        <f t="shared" si="79"/>
        <v>1333910</v>
      </c>
      <c r="BO63" s="32">
        <f t="shared" si="79"/>
        <v>1533938</v>
      </c>
      <c r="BP63" s="32">
        <f t="shared" ref="BP63:CU63" si="80">ROUND(BP61*BP62, 0)</f>
        <v>1763970</v>
      </c>
      <c r="BQ63" s="32">
        <f t="shared" si="80"/>
        <v>2028507</v>
      </c>
      <c r="BR63" s="32">
        <f t="shared" si="80"/>
        <v>2332723</v>
      </c>
      <c r="BS63" s="32">
        <f t="shared" si="80"/>
        <v>2682572</v>
      </c>
      <c r="BT63" s="32">
        <f t="shared" si="80"/>
        <v>3084897</v>
      </c>
      <c r="BU63" s="32">
        <f t="shared" si="80"/>
        <v>3547570</v>
      </c>
      <c r="BV63" s="32">
        <f t="shared" si="80"/>
        <v>4079644</v>
      </c>
      <c r="BW63" s="32">
        <f t="shared" si="80"/>
        <v>4691529</v>
      </c>
      <c r="BX63" s="32">
        <f t="shared" si="80"/>
        <v>5395196</v>
      </c>
      <c r="BY63" s="32">
        <f t="shared" si="80"/>
        <v>6204412</v>
      </c>
      <c r="BZ63" s="32">
        <f t="shared" si="80"/>
        <v>7135011</v>
      </c>
      <c r="CA63" s="32">
        <f t="shared" si="80"/>
        <v>8205200</v>
      </c>
      <c r="CB63" s="32">
        <f t="shared" si="80"/>
        <v>9435916</v>
      </c>
      <c r="CC63" s="32">
        <f t="shared" si="80"/>
        <v>10851239</v>
      </c>
      <c r="CD63" s="32">
        <f t="shared" si="80"/>
        <v>12478860</v>
      </c>
      <c r="CE63" s="32">
        <f t="shared" si="80"/>
        <v>14350624</v>
      </c>
      <c r="CF63" s="32">
        <f t="shared" si="80"/>
        <v>16503152</v>
      </c>
      <c r="CG63" s="32">
        <f t="shared" si="80"/>
        <v>18978560</v>
      </c>
      <c r="CH63" s="32">
        <f t="shared" si="80"/>
        <v>21825278</v>
      </c>
      <c r="CI63" s="32">
        <f t="shared" si="80"/>
        <v>25099002</v>
      </c>
    </row>
    <row r="64" spans="1:87" ht="16.5">
      <c r="A64" s="6" t="s">
        <v>483</v>
      </c>
      <c r="B64" s="30" t="s">
        <v>458</v>
      </c>
      <c r="C64" s="17" t="s">
        <v>473</v>
      </c>
      <c r="D64" s="32">
        <f t="shared" ref="D64:AI64" si="81">D59</f>
        <v>114</v>
      </c>
      <c r="E64" s="32">
        <f t="shared" si="81"/>
        <v>126</v>
      </c>
      <c r="F64" s="32">
        <f t="shared" si="81"/>
        <v>140</v>
      </c>
      <c r="G64" s="32">
        <f t="shared" si="81"/>
        <v>156</v>
      </c>
      <c r="H64" s="32">
        <f t="shared" si="81"/>
        <v>174</v>
      </c>
      <c r="I64" s="32">
        <f t="shared" si="81"/>
        <v>195</v>
      </c>
      <c r="J64" s="32">
        <f t="shared" si="81"/>
        <v>219</v>
      </c>
      <c r="K64" s="32">
        <f t="shared" si="81"/>
        <v>247</v>
      </c>
      <c r="L64" s="32">
        <f t="shared" si="81"/>
        <v>279</v>
      </c>
      <c r="M64" s="32">
        <f t="shared" si="81"/>
        <v>315</v>
      </c>
      <c r="N64" s="32">
        <f t="shared" si="81"/>
        <v>358</v>
      </c>
      <c r="O64" s="32">
        <f t="shared" si="81"/>
        <v>406</v>
      </c>
      <c r="P64" s="32">
        <f t="shared" si="81"/>
        <v>462</v>
      </c>
      <c r="Q64" s="32">
        <f t="shared" si="81"/>
        <v>526</v>
      </c>
      <c r="R64" s="32">
        <f t="shared" si="81"/>
        <v>600</v>
      </c>
      <c r="S64" s="32">
        <f t="shared" si="81"/>
        <v>685</v>
      </c>
      <c r="T64" s="32">
        <f t="shared" si="81"/>
        <v>783</v>
      </c>
      <c r="U64" s="32">
        <f t="shared" si="81"/>
        <v>895</v>
      </c>
      <c r="V64" s="32">
        <f t="shared" si="81"/>
        <v>1024</v>
      </c>
      <c r="W64" s="32">
        <f t="shared" si="81"/>
        <v>1173</v>
      </c>
      <c r="X64" s="32">
        <f t="shared" si="81"/>
        <v>1343</v>
      </c>
      <c r="Y64" s="32">
        <f t="shared" si="81"/>
        <v>1540</v>
      </c>
      <c r="Z64" s="32">
        <f t="shared" si="81"/>
        <v>1766</v>
      </c>
      <c r="AA64" s="32">
        <f t="shared" si="81"/>
        <v>2025</v>
      </c>
      <c r="AB64" s="32">
        <f t="shared" si="81"/>
        <v>2324</v>
      </c>
      <c r="AC64" s="32">
        <f t="shared" si="81"/>
        <v>2668</v>
      </c>
      <c r="AD64" s="32">
        <f t="shared" si="81"/>
        <v>3063</v>
      </c>
      <c r="AE64" s="32">
        <f t="shared" si="81"/>
        <v>3517</v>
      </c>
      <c r="AF64" s="32">
        <f t="shared" si="81"/>
        <v>4039</v>
      </c>
      <c r="AG64" s="32">
        <f t="shared" si="81"/>
        <v>4640</v>
      </c>
      <c r="AH64" s="32">
        <f t="shared" si="81"/>
        <v>5331</v>
      </c>
      <c r="AI64" s="32">
        <f t="shared" si="81"/>
        <v>6125</v>
      </c>
      <c r="AJ64" s="32">
        <f t="shared" ref="AJ64:BO64" si="82">AJ59</f>
        <v>7039</v>
      </c>
      <c r="AK64" s="32">
        <f t="shared" si="82"/>
        <v>8090</v>
      </c>
      <c r="AL64" s="32">
        <f t="shared" si="82"/>
        <v>9298</v>
      </c>
      <c r="AM64" s="32">
        <f t="shared" si="82"/>
        <v>10688</v>
      </c>
      <c r="AN64" s="32">
        <f t="shared" si="82"/>
        <v>12286</v>
      </c>
      <c r="AO64" s="32">
        <f t="shared" si="82"/>
        <v>14124</v>
      </c>
      <c r="AP64" s="32">
        <f t="shared" si="82"/>
        <v>16237</v>
      </c>
      <c r="AQ64" s="32">
        <f t="shared" si="82"/>
        <v>18668</v>
      </c>
      <c r="AR64" s="32">
        <f t="shared" si="82"/>
        <v>21463</v>
      </c>
      <c r="AS64" s="32">
        <f t="shared" si="82"/>
        <v>24677</v>
      </c>
      <c r="AT64" s="32">
        <f t="shared" si="82"/>
        <v>28374</v>
      </c>
      <c r="AU64" s="32">
        <f t="shared" si="82"/>
        <v>32625</v>
      </c>
      <c r="AV64" s="32">
        <f t="shared" si="82"/>
        <v>37514</v>
      </c>
      <c r="AW64" s="32">
        <f t="shared" si="82"/>
        <v>43136</v>
      </c>
      <c r="AX64" s="32">
        <f t="shared" si="82"/>
        <v>49601</v>
      </c>
      <c r="AY64" s="32">
        <f t="shared" si="82"/>
        <v>57036</v>
      </c>
      <c r="AZ64" s="32">
        <f t="shared" si="82"/>
        <v>65586</v>
      </c>
      <c r="BA64" s="32">
        <f t="shared" si="82"/>
        <v>75419</v>
      </c>
      <c r="BB64" s="32">
        <f t="shared" si="82"/>
        <v>86727</v>
      </c>
      <c r="BC64" s="32">
        <f t="shared" si="82"/>
        <v>99730</v>
      </c>
      <c r="BD64" s="32">
        <f t="shared" si="82"/>
        <v>114685</v>
      </c>
      <c r="BE64" s="32">
        <f t="shared" si="82"/>
        <v>131883</v>
      </c>
      <c r="BF64" s="32">
        <f t="shared" si="82"/>
        <v>151660</v>
      </c>
      <c r="BG64" s="32">
        <f t="shared" si="82"/>
        <v>174404</v>
      </c>
      <c r="BH64" s="32">
        <f t="shared" si="82"/>
        <v>200559</v>
      </c>
      <c r="BI64" s="32">
        <f t="shared" si="82"/>
        <v>230638</v>
      </c>
      <c r="BJ64" s="32">
        <f t="shared" si="82"/>
        <v>265229</v>
      </c>
      <c r="BK64" s="32">
        <f t="shared" si="82"/>
        <v>305008</v>
      </c>
      <c r="BL64" s="32">
        <f t="shared" si="82"/>
        <v>350754</v>
      </c>
      <c r="BM64" s="32">
        <f t="shared" si="82"/>
        <v>403362</v>
      </c>
      <c r="BN64" s="32">
        <f t="shared" si="82"/>
        <v>463861</v>
      </c>
      <c r="BO64" s="32">
        <f t="shared" si="82"/>
        <v>533435</v>
      </c>
      <c r="BP64" s="32">
        <f t="shared" ref="BP64:CI64" si="83">BP59</f>
        <v>613445</v>
      </c>
      <c r="BQ64" s="32">
        <f t="shared" si="83"/>
        <v>705457</v>
      </c>
      <c r="BR64" s="32">
        <f t="shared" si="83"/>
        <v>811270</v>
      </c>
      <c r="BS64" s="32">
        <f t="shared" si="83"/>
        <v>932956</v>
      </c>
      <c r="BT64" s="32">
        <f t="shared" si="83"/>
        <v>1072894</v>
      </c>
      <c r="BU64" s="32">
        <f t="shared" si="83"/>
        <v>1233823</v>
      </c>
      <c r="BV64" s="32">
        <f t="shared" si="83"/>
        <v>1418892</v>
      </c>
      <c r="BW64" s="32">
        <f t="shared" si="83"/>
        <v>1631720</v>
      </c>
      <c r="BX64" s="32">
        <f t="shared" si="83"/>
        <v>1876473</v>
      </c>
      <c r="BY64" s="32">
        <f t="shared" si="83"/>
        <v>2157939</v>
      </c>
      <c r="BZ64" s="32">
        <f t="shared" si="83"/>
        <v>2481625</v>
      </c>
      <c r="CA64" s="32">
        <f t="shared" si="83"/>
        <v>2853863</v>
      </c>
      <c r="CB64" s="32">
        <f t="shared" si="83"/>
        <v>3281938</v>
      </c>
      <c r="CC64" s="32">
        <f t="shared" si="83"/>
        <v>3774223</v>
      </c>
      <c r="CD64" s="32">
        <f t="shared" si="83"/>
        <v>4340352</v>
      </c>
      <c r="CE64" s="32">
        <f t="shared" si="83"/>
        <v>4991400</v>
      </c>
      <c r="CF64" s="32">
        <f t="shared" si="83"/>
        <v>5740104</v>
      </c>
      <c r="CG64" s="32">
        <f t="shared" si="83"/>
        <v>6601115</v>
      </c>
      <c r="CH64" s="32">
        <f t="shared" si="83"/>
        <v>7591277</v>
      </c>
      <c r="CI64" s="32">
        <f t="shared" si="83"/>
        <v>8729963</v>
      </c>
    </row>
    <row r="65" spans="1:87" ht="16.5">
      <c r="A65" s="6" t="s">
        <v>484</v>
      </c>
      <c r="B65" s="30" t="s">
        <v>455</v>
      </c>
      <c r="C65" s="17" t="s">
        <v>476</v>
      </c>
      <c r="D65" s="31">
        <v>0.08</v>
      </c>
      <c r="E65" s="31">
        <v>0.08</v>
      </c>
      <c r="F65" s="31">
        <v>0.08</v>
      </c>
      <c r="G65" s="31">
        <v>0.08</v>
      </c>
      <c r="H65" s="31">
        <v>0.08</v>
      </c>
      <c r="I65" s="31">
        <v>0.08</v>
      </c>
      <c r="J65" s="31">
        <v>0.08</v>
      </c>
      <c r="K65" s="31">
        <v>0.08</v>
      </c>
      <c r="L65" s="31">
        <v>0.08</v>
      </c>
      <c r="M65" s="31">
        <v>0.08</v>
      </c>
      <c r="N65" s="31">
        <v>0.08</v>
      </c>
      <c r="O65" s="31">
        <v>0.08</v>
      </c>
      <c r="P65" s="31">
        <v>0.08</v>
      </c>
      <c r="Q65" s="31">
        <v>0.08</v>
      </c>
      <c r="R65" s="31">
        <v>0.08</v>
      </c>
      <c r="S65" s="31">
        <v>0.08</v>
      </c>
      <c r="T65" s="31">
        <v>0.08</v>
      </c>
      <c r="U65" s="31">
        <v>0.08</v>
      </c>
      <c r="V65" s="31">
        <v>0.08</v>
      </c>
      <c r="W65" s="31">
        <v>0.08</v>
      </c>
      <c r="X65" s="31">
        <v>0.08</v>
      </c>
      <c r="Y65" s="31">
        <v>0.08</v>
      </c>
      <c r="Z65" s="31">
        <v>0.08</v>
      </c>
      <c r="AA65" s="31">
        <v>0.08</v>
      </c>
      <c r="AB65" s="31">
        <v>0.08</v>
      </c>
      <c r="AC65" s="31">
        <v>0.08</v>
      </c>
      <c r="AD65" s="31">
        <v>0.08</v>
      </c>
      <c r="AE65" s="31">
        <v>0.08</v>
      </c>
      <c r="AF65" s="31">
        <v>0.08</v>
      </c>
      <c r="AG65" s="31">
        <v>0.08</v>
      </c>
      <c r="AH65" s="31">
        <v>0.08</v>
      </c>
      <c r="AI65" s="31">
        <v>0.08</v>
      </c>
      <c r="AJ65" s="31">
        <v>0.08</v>
      </c>
      <c r="AK65" s="31">
        <v>0.08</v>
      </c>
      <c r="AL65" s="31">
        <v>0.08</v>
      </c>
      <c r="AM65" s="31">
        <v>0.08</v>
      </c>
      <c r="AN65" s="31">
        <v>0.08</v>
      </c>
      <c r="AO65" s="31">
        <v>0.08</v>
      </c>
      <c r="AP65" s="31">
        <v>0.08</v>
      </c>
      <c r="AQ65" s="31">
        <v>0.08</v>
      </c>
      <c r="AR65" s="31">
        <v>0.08</v>
      </c>
      <c r="AS65" s="31">
        <v>0.08</v>
      </c>
      <c r="AT65" s="31">
        <v>0.08</v>
      </c>
      <c r="AU65" s="31">
        <v>0.08</v>
      </c>
      <c r="AV65" s="31">
        <v>0.08</v>
      </c>
      <c r="AW65" s="31">
        <v>0.08</v>
      </c>
      <c r="AX65" s="31">
        <v>0.08</v>
      </c>
      <c r="AY65" s="31">
        <v>0.08</v>
      </c>
      <c r="AZ65" s="31">
        <v>0.08</v>
      </c>
      <c r="BA65" s="31">
        <v>0.08</v>
      </c>
      <c r="BB65" s="31">
        <v>0.08</v>
      </c>
      <c r="BC65" s="31">
        <v>0.08</v>
      </c>
      <c r="BD65" s="31">
        <v>0.08</v>
      </c>
      <c r="BE65" s="31">
        <v>0.08</v>
      </c>
      <c r="BF65" s="31">
        <v>0.08</v>
      </c>
      <c r="BG65" s="31">
        <v>0.08</v>
      </c>
      <c r="BH65" s="31">
        <v>0.08</v>
      </c>
      <c r="BI65" s="31">
        <v>0.08</v>
      </c>
      <c r="BJ65" s="31">
        <v>0.08</v>
      </c>
      <c r="BK65" s="31">
        <v>0.08</v>
      </c>
      <c r="BL65" s="31">
        <v>0.08</v>
      </c>
      <c r="BM65" s="31">
        <v>0.08</v>
      </c>
      <c r="BN65" s="31">
        <v>0.08</v>
      </c>
      <c r="BO65" s="31">
        <v>0.08</v>
      </c>
      <c r="BP65" s="31">
        <v>0.08</v>
      </c>
      <c r="BQ65" s="31">
        <v>0.08</v>
      </c>
      <c r="BR65" s="31">
        <v>0.08</v>
      </c>
      <c r="BS65" s="31">
        <v>0.08</v>
      </c>
      <c r="BT65" s="31">
        <v>0.08</v>
      </c>
      <c r="BU65" s="31">
        <v>0.08</v>
      </c>
      <c r="BV65" s="31">
        <v>0.08</v>
      </c>
      <c r="BW65" s="31">
        <v>0.08</v>
      </c>
      <c r="BX65" s="31">
        <v>0.08</v>
      </c>
      <c r="BY65" s="31">
        <v>0.08</v>
      </c>
      <c r="BZ65" s="31">
        <v>0.08</v>
      </c>
      <c r="CA65" s="31">
        <v>0.08</v>
      </c>
      <c r="CB65" s="31">
        <v>0.08</v>
      </c>
      <c r="CC65" s="31">
        <v>0.08</v>
      </c>
      <c r="CD65" s="31">
        <v>0.08</v>
      </c>
      <c r="CE65" s="31">
        <v>0.08</v>
      </c>
      <c r="CF65" s="31">
        <v>0.08</v>
      </c>
      <c r="CG65" s="31">
        <v>0.08</v>
      </c>
      <c r="CH65" s="31">
        <v>0.08</v>
      </c>
      <c r="CI65" s="31">
        <v>0.08</v>
      </c>
    </row>
    <row r="66" spans="1:87" ht="16.5">
      <c r="A66" s="6" t="s">
        <v>486</v>
      </c>
      <c r="B66" s="30" t="s">
        <v>458</v>
      </c>
      <c r="C66" s="17" t="s">
        <v>487</v>
      </c>
      <c r="D66" s="32">
        <f t="shared" ref="D66:AI66" si="84">ROUND(D61*D65, 0)</f>
        <v>9</v>
      </c>
      <c r="E66" s="32">
        <f t="shared" si="84"/>
        <v>19</v>
      </c>
      <c r="F66" s="32">
        <f t="shared" si="84"/>
        <v>30</v>
      </c>
      <c r="G66" s="32">
        <f t="shared" si="84"/>
        <v>41</v>
      </c>
      <c r="H66" s="32">
        <f t="shared" si="84"/>
        <v>54</v>
      </c>
      <c r="I66" s="32">
        <f t="shared" si="84"/>
        <v>68</v>
      </c>
      <c r="J66" s="32">
        <f t="shared" si="84"/>
        <v>83</v>
      </c>
      <c r="K66" s="32">
        <f t="shared" si="84"/>
        <v>101</v>
      </c>
      <c r="L66" s="32">
        <f t="shared" si="84"/>
        <v>120</v>
      </c>
      <c r="M66" s="32">
        <f t="shared" si="84"/>
        <v>142</v>
      </c>
      <c r="N66" s="32">
        <f t="shared" si="84"/>
        <v>166</v>
      </c>
      <c r="O66" s="32">
        <f t="shared" si="84"/>
        <v>194</v>
      </c>
      <c r="P66" s="32">
        <f t="shared" si="84"/>
        <v>225</v>
      </c>
      <c r="Q66" s="32">
        <f t="shared" si="84"/>
        <v>260</v>
      </c>
      <c r="R66" s="32">
        <f t="shared" si="84"/>
        <v>300</v>
      </c>
      <c r="S66" s="32">
        <f t="shared" si="84"/>
        <v>346</v>
      </c>
      <c r="T66" s="32">
        <f t="shared" si="84"/>
        <v>398</v>
      </c>
      <c r="U66" s="32">
        <f t="shared" si="84"/>
        <v>458</v>
      </c>
      <c r="V66" s="32">
        <f t="shared" si="84"/>
        <v>526</v>
      </c>
      <c r="W66" s="32">
        <f t="shared" si="84"/>
        <v>604</v>
      </c>
      <c r="X66" s="32">
        <f t="shared" si="84"/>
        <v>693</v>
      </c>
      <c r="Y66" s="32">
        <f t="shared" si="84"/>
        <v>796</v>
      </c>
      <c r="Z66" s="32">
        <f t="shared" si="84"/>
        <v>913</v>
      </c>
      <c r="AA66" s="32">
        <f t="shared" si="84"/>
        <v>1048</v>
      </c>
      <c r="AB66" s="32">
        <f t="shared" si="84"/>
        <v>1202</v>
      </c>
      <c r="AC66" s="32">
        <f t="shared" si="84"/>
        <v>1380</v>
      </c>
      <c r="AD66" s="32">
        <f t="shared" si="84"/>
        <v>1583</v>
      </c>
      <c r="AE66" s="32">
        <f t="shared" si="84"/>
        <v>1817</v>
      </c>
      <c r="AF66" s="32">
        <f t="shared" si="84"/>
        <v>2086</v>
      </c>
      <c r="AG66" s="32">
        <f t="shared" si="84"/>
        <v>2395</v>
      </c>
      <c r="AH66" s="32">
        <f t="shared" si="84"/>
        <v>2749</v>
      </c>
      <c r="AI66" s="32">
        <f t="shared" si="84"/>
        <v>3157</v>
      </c>
      <c r="AJ66" s="32">
        <f t="shared" ref="AJ66:BO66" si="85">ROUND(AJ61*AJ65, 0)</f>
        <v>3625</v>
      </c>
      <c r="AK66" s="32">
        <f t="shared" si="85"/>
        <v>4164</v>
      </c>
      <c r="AL66" s="32">
        <f t="shared" si="85"/>
        <v>4783</v>
      </c>
      <c r="AM66" s="32">
        <f t="shared" si="85"/>
        <v>5494</v>
      </c>
      <c r="AN66" s="32">
        <f t="shared" si="85"/>
        <v>6312</v>
      </c>
      <c r="AO66" s="32">
        <f t="shared" si="85"/>
        <v>7253</v>
      </c>
      <c r="AP66" s="32">
        <f t="shared" si="85"/>
        <v>8334</v>
      </c>
      <c r="AQ66" s="32">
        <f t="shared" si="85"/>
        <v>9578</v>
      </c>
      <c r="AR66" s="32">
        <f t="shared" si="85"/>
        <v>11007</v>
      </c>
      <c r="AS66" s="32">
        <f t="shared" si="85"/>
        <v>12651</v>
      </c>
      <c r="AT66" s="32">
        <f t="shared" si="85"/>
        <v>14542</v>
      </c>
      <c r="AU66" s="32">
        <f t="shared" si="85"/>
        <v>16715</v>
      </c>
      <c r="AV66" s="32">
        <f t="shared" si="85"/>
        <v>19215</v>
      </c>
      <c r="AW66" s="32">
        <f t="shared" si="85"/>
        <v>22089</v>
      </c>
      <c r="AX66" s="32">
        <f t="shared" si="85"/>
        <v>25395</v>
      </c>
      <c r="AY66" s="32">
        <f t="shared" si="85"/>
        <v>29196</v>
      </c>
      <c r="AZ66" s="32">
        <f t="shared" si="85"/>
        <v>33567</v>
      </c>
      <c r="BA66" s="32">
        <f t="shared" si="85"/>
        <v>38593</v>
      </c>
      <c r="BB66" s="32">
        <f t="shared" si="85"/>
        <v>44374</v>
      </c>
      <c r="BC66" s="32">
        <f t="shared" si="85"/>
        <v>51021</v>
      </c>
      <c r="BD66" s="32">
        <f t="shared" si="85"/>
        <v>58665</v>
      </c>
      <c r="BE66" s="32">
        <f t="shared" si="85"/>
        <v>67456</v>
      </c>
      <c r="BF66" s="32">
        <f t="shared" si="85"/>
        <v>77565</v>
      </c>
      <c r="BG66" s="32">
        <f t="shared" si="85"/>
        <v>89190</v>
      </c>
      <c r="BH66" s="32">
        <f t="shared" si="85"/>
        <v>102559</v>
      </c>
      <c r="BI66" s="32">
        <f t="shared" si="85"/>
        <v>117934</v>
      </c>
      <c r="BJ66" s="32">
        <f t="shared" si="85"/>
        <v>135614</v>
      </c>
      <c r="BK66" s="32">
        <f t="shared" si="85"/>
        <v>155946</v>
      </c>
      <c r="BL66" s="32">
        <f t="shared" si="85"/>
        <v>179328</v>
      </c>
      <c r="BM66" s="32">
        <f t="shared" si="85"/>
        <v>206217</v>
      </c>
      <c r="BN66" s="32">
        <f t="shared" si="85"/>
        <v>237140</v>
      </c>
      <c r="BO66" s="32">
        <f t="shared" si="85"/>
        <v>272700</v>
      </c>
      <c r="BP66" s="32">
        <f t="shared" ref="BP66:CU66" si="86">ROUND(BP61*BP65, 0)</f>
        <v>313595</v>
      </c>
      <c r="BQ66" s="32">
        <f t="shared" si="86"/>
        <v>360623</v>
      </c>
      <c r="BR66" s="32">
        <f t="shared" si="86"/>
        <v>414706</v>
      </c>
      <c r="BS66" s="32">
        <f t="shared" si="86"/>
        <v>476902</v>
      </c>
      <c r="BT66" s="32">
        <f t="shared" si="86"/>
        <v>548426</v>
      </c>
      <c r="BU66" s="32">
        <f t="shared" si="86"/>
        <v>630679</v>
      </c>
      <c r="BV66" s="32">
        <f t="shared" si="86"/>
        <v>725270</v>
      </c>
      <c r="BW66" s="32">
        <f t="shared" si="86"/>
        <v>834050</v>
      </c>
      <c r="BX66" s="32">
        <f t="shared" si="86"/>
        <v>959146</v>
      </c>
      <c r="BY66" s="32">
        <f t="shared" si="86"/>
        <v>1103007</v>
      </c>
      <c r="BZ66" s="32">
        <f t="shared" si="86"/>
        <v>1268446</v>
      </c>
      <c r="CA66" s="32">
        <f t="shared" si="86"/>
        <v>1458702</v>
      </c>
      <c r="CB66" s="32">
        <f t="shared" si="86"/>
        <v>1677496</v>
      </c>
      <c r="CC66" s="32">
        <f t="shared" si="86"/>
        <v>1929109</v>
      </c>
      <c r="CD66" s="32">
        <f t="shared" si="86"/>
        <v>2218464</v>
      </c>
      <c r="CE66" s="32">
        <f t="shared" si="86"/>
        <v>2551222</v>
      </c>
      <c r="CF66" s="32">
        <f t="shared" si="86"/>
        <v>2933894</v>
      </c>
      <c r="CG66" s="32">
        <f t="shared" si="86"/>
        <v>3373966</v>
      </c>
      <c r="CH66" s="32">
        <f t="shared" si="86"/>
        <v>3880049</v>
      </c>
      <c r="CI66" s="32">
        <f t="shared" si="86"/>
        <v>4462045</v>
      </c>
    </row>
    <row r="67" spans="1:87" ht="16.5">
      <c r="A67" s="6" t="s">
        <v>488</v>
      </c>
      <c r="B67" s="30" t="s">
        <v>455</v>
      </c>
      <c r="C67" s="17" t="s">
        <v>501</v>
      </c>
      <c r="D67" s="31">
        <v>0.25</v>
      </c>
      <c r="E67" s="31">
        <v>0.25</v>
      </c>
      <c r="F67" s="31">
        <v>0.25</v>
      </c>
      <c r="G67" s="31">
        <v>0.25</v>
      </c>
      <c r="H67" s="31">
        <v>0.25</v>
      </c>
      <c r="I67" s="31">
        <v>0.25</v>
      </c>
      <c r="J67" s="31">
        <v>0.25</v>
      </c>
      <c r="K67" s="31">
        <v>0.25</v>
      </c>
      <c r="L67" s="31">
        <v>0.25</v>
      </c>
      <c r="M67" s="31">
        <v>0.25</v>
      </c>
      <c r="N67" s="31">
        <v>0.25</v>
      </c>
      <c r="O67" s="31">
        <v>0.25</v>
      </c>
      <c r="P67" s="31">
        <v>0.25</v>
      </c>
      <c r="Q67" s="31">
        <v>0.25</v>
      </c>
      <c r="R67" s="31">
        <v>0.25</v>
      </c>
      <c r="S67" s="31">
        <v>0.25</v>
      </c>
      <c r="T67" s="31">
        <v>0.25</v>
      </c>
      <c r="U67" s="31">
        <v>0.25</v>
      </c>
      <c r="V67" s="31">
        <v>0.25</v>
      </c>
      <c r="W67" s="31">
        <v>0.25</v>
      </c>
      <c r="X67" s="31">
        <v>0.25</v>
      </c>
      <c r="Y67" s="31">
        <v>0.25</v>
      </c>
      <c r="Z67" s="31">
        <v>0.25</v>
      </c>
      <c r="AA67" s="31">
        <v>0.25</v>
      </c>
      <c r="AB67" s="31">
        <v>0.25</v>
      </c>
      <c r="AC67" s="31">
        <v>0.25</v>
      </c>
      <c r="AD67" s="31">
        <v>0.25</v>
      </c>
      <c r="AE67" s="31">
        <v>0.25</v>
      </c>
      <c r="AF67" s="31">
        <v>0.25</v>
      </c>
      <c r="AG67" s="31">
        <v>0.25</v>
      </c>
      <c r="AH67" s="31">
        <v>0.25</v>
      </c>
      <c r="AI67" s="31">
        <v>0.25</v>
      </c>
      <c r="AJ67" s="31">
        <v>0.25</v>
      </c>
      <c r="AK67" s="31">
        <v>0.25</v>
      </c>
      <c r="AL67" s="31">
        <v>0.25</v>
      </c>
      <c r="AM67" s="31">
        <v>0.25</v>
      </c>
      <c r="AN67" s="31">
        <v>0.25</v>
      </c>
      <c r="AO67" s="31">
        <v>0.25</v>
      </c>
      <c r="AP67" s="31">
        <v>0.25</v>
      </c>
      <c r="AQ67" s="31">
        <v>0.25</v>
      </c>
      <c r="AR67" s="31">
        <v>0.25</v>
      </c>
      <c r="AS67" s="31">
        <v>0.25</v>
      </c>
      <c r="AT67" s="31">
        <v>0.25</v>
      </c>
      <c r="AU67" s="31">
        <v>0.25</v>
      </c>
      <c r="AV67" s="31">
        <v>0.25</v>
      </c>
      <c r="AW67" s="31">
        <v>0.25</v>
      </c>
      <c r="AX67" s="31">
        <v>0.25</v>
      </c>
      <c r="AY67" s="31">
        <v>0.25</v>
      </c>
      <c r="AZ67" s="31">
        <v>0.25</v>
      </c>
      <c r="BA67" s="31">
        <v>0.25</v>
      </c>
      <c r="BB67" s="31">
        <v>0.25</v>
      </c>
      <c r="BC67" s="31">
        <v>0.25</v>
      </c>
      <c r="BD67" s="31">
        <v>0.25</v>
      </c>
      <c r="BE67" s="31">
        <v>0.25</v>
      </c>
      <c r="BF67" s="31">
        <v>0.25</v>
      </c>
      <c r="BG67" s="31">
        <v>0.25</v>
      </c>
      <c r="BH67" s="31">
        <v>0.25</v>
      </c>
      <c r="BI67" s="31">
        <v>0.25</v>
      </c>
      <c r="BJ67" s="31">
        <v>0.25</v>
      </c>
      <c r="BK67" s="31">
        <v>0.25</v>
      </c>
      <c r="BL67" s="31">
        <v>0.25</v>
      </c>
      <c r="BM67" s="31">
        <v>0.25</v>
      </c>
      <c r="BN67" s="31">
        <v>0.25</v>
      </c>
      <c r="BO67" s="31">
        <v>0.25</v>
      </c>
      <c r="BP67" s="31">
        <v>0.25</v>
      </c>
      <c r="BQ67" s="31">
        <v>0.25</v>
      </c>
      <c r="BR67" s="31">
        <v>0.25</v>
      </c>
      <c r="BS67" s="31">
        <v>0.25</v>
      </c>
      <c r="BT67" s="31">
        <v>0.25</v>
      </c>
      <c r="BU67" s="31">
        <v>0.25</v>
      </c>
      <c r="BV67" s="31">
        <v>0.25</v>
      </c>
      <c r="BW67" s="31">
        <v>0.25</v>
      </c>
      <c r="BX67" s="31">
        <v>0.25</v>
      </c>
      <c r="BY67" s="31">
        <v>0.25</v>
      </c>
      <c r="BZ67" s="31">
        <v>0.25</v>
      </c>
      <c r="CA67" s="31">
        <v>0.25</v>
      </c>
      <c r="CB67" s="31">
        <v>0.25</v>
      </c>
      <c r="CC67" s="31">
        <v>0.25</v>
      </c>
      <c r="CD67" s="31">
        <v>0.25</v>
      </c>
      <c r="CE67" s="31">
        <v>0.25</v>
      </c>
      <c r="CF67" s="31">
        <v>0.25</v>
      </c>
      <c r="CG67" s="31">
        <v>0.25</v>
      </c>
      <c r="CH67" s="31">
        <v>0.25</v>
      </c>
      <c r="CI67" s="31">
        <v>0.25</v>
      </c>
    </row>
    <row r="68" spans="1:87" ht="16.5">
      <c r="A68" s="6" t="s">
        <v>489</v>
      </c>
      <c r="B68" s="30" t="s">
        <v>458</v>
      </c>
      <c r="C68" s="17" t="s">
        <v>490</v>
      </c>
      <c r="D68" s="32">
        <f t="shared" ref="D68:AI68" si="87">ROUND(D61*D67, 0)</f>
        <v>29</v>
      </c>
      <c r="E68" s="32">
        <f t="shared" si="87"/>
        <v>59</v>
      </c>
      <c r="F68" s="32">
        <f t="shared" si="87"/>
        <v>93</v>
      </c>
      <c r="G68" s="32">
        <f t="shared" si="87"/>
        <v>129</v>
      </c>
      <c r="H68" s="32">
        <f t="shared" si="87"/>
        <v>169</v>
      </c>
      <c r="I68" s="32">
        <f t="shared" si="87"/>
        <v>212</v>
      </c>
      <c r="J68" s="32">
        <f t="shared" si="87"/>
        <v>261</v>
      </c>
      <c r="K68" s="32">
        <f t="shared" si="87"/>
        <v>315</v>
      </c>
      <c r="L68" s="32">
        <f t="shared" si="87"/>
        <v>375</v>
      </c>
      <c r="M68" s="32">
        <f t="shared" si="87"/>
        <v>443</v>
      </c>
      <c r="N68" s="32">
        <f t="shared" si="87"/>
        <v>519</v>
      </c>
      <c r="O68" s="32">
        <f t="shared" si="87"/>
        <v>605</v>
      </c>
      <c r="P68" s="32">
        <f t="shared" si="87"/>
        <v>702</v>
      </c>
      <c r="Q68" s="32">
        <f t="shared" si="87"/>
        <v>813</v>
      </c>
      <c r="R68" s="32">
        <f t="shared" si="87"/>
        <v>938</v>
      </c>
      <c r="S68" s="32">
        <f t="shared" si="87"/>
        <v>1081</v>
      </c>
      <c r="T68" s="32">
        <f t="shared" si="87"/>
        <v>1245</v>
      </c>
      <c r="U68" s="32">
        <f t="shared" si="87"/>
        <v>1431</v>
      </c>
      <c r="V68" s="32">
        <f t="shared" si="87"/>
        <v>1644</v>
      </c>
      <c r="W68" s="32">
        <f t="shared" si="87"/>
        <v>1888</v>
      </c>
      <c r="X68" s="32">
        <f t="shared" si="87"/>
        <v>2167</v>
      </c>
      <c r="Y68" s="32">
        <f t="shared" si="87"/>
        <v>2487</v>
      </c>
      <c r="Z68" s="32">
        <f t="shared" si="87"/>
        <v>2854</v>
      </c>
      <c r="AA68" s="32">
        <f t="shared" si="87"/>
        <v>3275</v>
      </c>
      <c r="AB68" s="32">
        <f t="shared" si="87"/>
        <v>3758</v>
      </c>
      <c r="AC68" s="32">
        <f t="shared" si="87"/>
        <v>4312</v>
      </c>
      <c r="AD68" s="32">
        <f t="shared" si="87"/>
        <v>4948</v>
      </c>
      <c r="AE68" s="32">
        <f t="shared" si="87"/>
        <v>5679</v>
      </c>
      <c r="AF68" s="32">
        <f t="shared" si="87"/>
        <v>6519</v>
      </c>
      <c r="AG68" s="32">
        <f t="shared" si="87"/>
        <v>7483</v>
      </c>
      <c r="AH68" s="32">
        <f t="shared" si="87"/>
        <v>8591</v>
      </c>
      <c r="AI68" s="32">
        <f t="shared" si="87"/>
        <v>9865</v>
      </c>
      <c r="AJ68" s="32">
        <f t="shared" ref="AJ68:BO68" si="88">ROUND(AJ61*AJ67, 0)</f>
        <v>11329</v>
      </c>
      <c r="AK68" s="32">
        <f t="shared" si="88"/>
        <v>13011</v>
      </c>
      <c r="AL68" s="32">
        <f t="shared" si="88"/>
        <v>14946</v>
      </c>
      <c r="AM68" s="32">
        <f t="shared" si="88"/>
        <v>17169</v>
      </c>
      <c r="AN68" s="32">
        <f t="shared" si="88"/>
        <v>19726</v>
      </c>
      <c r="AO68" s="32">
        <f t="shared" si="88"/>
        <v>22665</v>
      </c>
      <c r="AP68" s="32">
        <f t="shared" si="88"/>
        <v>26044</v>
      </c>
      <c r="AQ68" s="32">
        <f t="shared" si="88"/>
        <v>29930</v>
      </c>
      <c r="AR68" s="32">
        <f t="shared" si="88"/>
        <v>34398</v>
      </c>
      <c r="AS68" s="32">
        <f t="shared" si="88"/>
        <v>39535</v>
      </c>
      <c r="AT68" s="32">
        <f t="shared" si="88"/>
        <v>45443</v>
      </c>
      <c r="AU68" s="32">
        <f t="shared" si="88"/>
        <v>52236</v>
      </c>
      <c r="AV68" s="32">
        <f t="shared" si="88"/>
        <v>60047</v>
      </c>
      <c r="AW68" s="32">
        <f t="shared" si="88"/>
        <v>69030</v>
      </c>
      <c r="AX68" s="32">
        <f t="shared" si="88"/>
        <v>79359</v>
      </c>
      <c r="AY68" s="32">
        <f t="shared" si="88"/>
        <v>91237</v>
      </c>
      <c r="AZ68" s="32">
        <f t="shared" si="88"/>
        <v>104897</v>
      </c>
      <c r="BA68" s="32">
        <f t="shared" si="88"/>
        <v>120604</v>
      </c>
      <c r="BB68" s="32">
        <f t="shared" si="88"/>
        <v>138668</v>
      </c>
      <c r="BC68" s="32">
        <f t="shared" si="88"/>
        <v>159440</v>
      </c>
      <c r="BD68" s="32">
        <f t="shared" si="88"/>
        <v>183328</v>
      </c>
      <c r="BE68" s="32">
        <f t="shared" si="88"/>
        <v>210799</v>
      </c>
      <c r="BF68" s="32">
        <f t="shared" si="88"/>
        <v>242390</v>
      </c>
      <c r="BG68" s="32">
        <f t="shared" si="88"/>
        <v>278720</v>
      </c>
      <c r="BH68" s="32">
        <f t="shared" si="88"/>
        <v>320498</v>
      </c>
      <c r="BI68" s="32">
        <f t="shared" si="88"/>
        <v>368542</v>
      </c>
      <c r="BJ68" s="32">
        <f t="shared" si="88"/>
        <v>423793</v>
      </c>
      <c r="BK68" s="32">
        <f t="shared" si="88"/>
        <v>487332</v>
      </c>
      <c r="BL68" s="32">
        <f t="shared" si="88"/>
        <v>560400</v>
      </c>
      <c r="BM68" s="32">
        <f t="shared" si="88"/>
        <v>644429</v>
      </c>
      <c r="BN68" s="32">
        <f t="shared" si="88"/>
        <v>741061</v>
      </c>
      <c r="BO68" s="32">
        <f t="shared" si="88"/>
        <v>852188</v>
      </c>
      <c r="BP68" s="32">
        <f t="shared" ref="BP68:CU68" si="89">ROUND(BP61*BP67, 0)</f>
        <v>979984</v>
      </c>
      <c r="BQ68" s="32">
        <f t="shared" si="89"/>
        <v>1126948</v>
      </c>
      <c r="BR68" s="32">
        <f t="shared" si="89"/>
        <v>1295957</v>
      </c>
      <c r="BS68" s="32">
        <f t="shared" si="89"/>
        <v>1490318</v>
      </c>
      <c r="BT68" s="32">
        <f t="shared" si="89"/>
        <v>1713832</v>
      </c>
      <c r="BU68" s="32">
        <f t="shared" si="89"/>
        <v>1970872</v>
      </c>
      <c r="BV68" s="32">
        <f t="shared" si="89"/>
        <v>2266469</v>
      </c>
      <c r="BW68" s="32">
        <f t="shared" si="89"/>
        <v>2606405</v>
      </c>
      <c r="BX68" s="32">
        <f t="shared" si="89"/>
        <v>2997331</v>
      </c>
      <c r="BY68" s="32">
        <f t="shared" si="89"/>
        <v>3446896</v>
      </c>
      <c r="BZ68" s="32">
        <f t="shared" si="89"/>
        <v>3963895</v>
      </c>
      <c r="CA68" s="32">
        <f t="shared" si="89"/>
        <v>4558444</v>
      </c>
      <c r="CB68" s="32">
        <f t="shared" si="89"/>
        <v>5242176</v>
      </c>
      <c r="CC68" s="32">
        <f t="shared" si="89"/>
        <v>6028466</v>
      </c>
      <c r="CD68" s="32">
        <f t="shared" si="89"/>
        <v>6932700</v>
      </c>
      <c r="CE68" s="32">
        <f t="shared" si="89"/>
        <v>7972569</v>
      </c>
      <c r="CF68" s="32">
        <f t="shared" si="89"/>
        <v>9168418</v>
      </c>
      <c r="CG68" s="32">
        <f t="shared" si="89"/>
        <v>10543644</v>
      </c>
      <c r="CH68" s="32">
        <f t="shared" si="89"/>
        <v>12125154</v>
      </c>
      <c r="CI68" s="32">
        <f t="shared" si="89"/>
        <v>13943890</v>
      </c>
    </row>
    <row r="70" spans="1:87" ht="16">
      <c r="A70" s="127" t="s">
        <v>502</v>
      </c>
      <c r="B70" s="120"/>
      <c r="C70" s="120"/>
    </row>
    <row r="71" spans="1:87" ht="16.5">
      <c r="A71" s="5" t="s">
        <v>454</v>
      </c>
      <c r="B71" s="30" t="s">
        <v>455</v>
      </c>
      <c r="C71" s="17" t="s">
        <v>503</v>
      </c>
      <c r="D71" s="34">
        <f>CHOOSE('1_PANEL_CONTROL'!$C$4, D11, D31, D51)</f>
        <v>0.08</v>
      </c>
      <c r="E71" s="34">
        <f>CHOOSE('1_PANEL_CONTROL'!$C$4, E11, E31, E51)</f>
        <v>0.08</v>
      </c>
      <c r="F71" s="34">
        <f>CHOOSE('1_PANEL_CONTROL'!$C$4, F11, F31, F51)</f>
        <v>0.08</v>
      </c>
      <c r="G71" s="34">
        <f>CHOOSE('1_PANEL_CONTROL'!$C$4, G11, G31, G51)</f>
        <v>0.08</v>
      </c>
      <c r="H71" s="34">
        <f>CHOOSE('1_PANEL_CONTROL'!$C$4, H11, H31, H51)</f>
        <v>0.08</v>
      </c>
      <c r="I71" s="34">
        <f>CHOOSE('1_PANEL_CONTROL'!$C$4, I11, I31, I51)</f>
        <v>0.08</v>
      </c>
      <c r="J71" s="34">
        <f>CHOOSE('1_PANEL_CONTROL'!$C$4, J11, J31, J51)</f>
        <v>0.08</v>
      </c>
      <c r="K71" s="34">
        <f>CHOOSE('1_PANEL_CONTROL'!$C$4, K11, K31, K51)</f>
        <v>0.08</v>
      </c>
      <c r="L71" s="34">
        <f>CHOOSE('1_PANEL_CONTROL'!$C$4, L11, L31, L51)</f>
        <v>0.08</v>
      </c>
      <c r="M71" s="34">
        <f>CHOOSE('1_PANEL_CONTROL'!$C$4, M11, M31, M51)</f>
        <v>0.08</v>
      </c>
      <c r="N71" s="34">
        <f>CHOOSE('1_PANEL_CONTROL'!$C$4, N11, N31, N51)</f>
        <v>0.08</v>
      </c>
      <c r="O71" s="34">
        <f>CHOOSE('1_PANEL_CONTROL'!$C$4, O11, O31, O51)</f>
        <v>0.08</v>
      </c>
      <c r="P71" s="34">
        <f>CHOOSE('1_PANEL_CONTROL'!$C$4, P11, P31, P51)</f>
        <v>0.08</v>
      </c>
      <c r="Q71" s="34">
        <f>CHOOSE('1_PANEL_CONTROL'!$C$4, Q11, Q31, Q51)</f>
        <v>0.08</v>
      </c>
      <c r="R71" s="34">
        <f>CHOOSE('1_PANEL_CONTROL'!$C$4, R11, R31, R51)</f>
        <v>0.08</v>
      </c>
      <c r="S71" s="34">
        <f>CHOOSE('1_PANEL_CONTROL'!$C$4, S11, S31, S51)</f>
        <v>0.08</v>
      </c>
      <c r="T71" s="34">
        <f>CHOOSE('1_PANEL_CONTROL'!$C$4, T11, T31, T51)</f>
        <v>0.08</v>
      </c>
      <c r="U71" s="34">
        <f>CHOOSE('1_PANEL_CONTROL'!$C$4, U11, U31, U51)</f>
        <v>0.08</v>
      </c>
      <c r="V71" s="34">
        <f>CHOOSE('1_PANEL_CONTROL'!$C$4, V11, V31, V51)</f>
        <v>0.08</v>
      </c>
      <c r="W71" s="34">
        <f>CHOOSE('1_PANEL_CONTROL'!$C$4, W11, W31, W51)</f>
        <v>0.08</v>
      </c>
      <c r="X71" s="34">
        <f>CHOOSE('1_PANEL_CONTROL'!$C$4, X11, X31, X51)</f>
        <v>0.08</v>
      </c>
      <c r="Y71" s="34">
        <f>CHOOSE('1_PANEL_CONTROL'!$C$4, Y11, Y31, Y51)</f>
        <v>0.08</v>
      </c>
      <c r="Z71" s="34">
        <f>CHOOSE('1_PANEL_CONTROL'!$C$4, Z11, Z31, Z51)</f>
        <v>0.08</v>
      </c>
      <c r="AA71" s="34">
        <f>CHOOSE('1_PANEL_CONTROL'!$C$4, AA11, AA31, AA51)</f>
        <v>0.08</v>
      </c>
      <c r="AB71" s="34">
        <f>CHOOSE('1_PANEL_CONTROL'!$C$4, AB11, AB31, AB51)</f>
        <v>0.08</v>
      </c>
      <c r="AC71" s="34">
        <f>CHOOSE('1_PANEL_CONTROL'!$C$4, AC11, AC31, AC51)</f>
        <v>0.08</v>
      </c>
      <c r="AD71" s="34">
        <f>CHOOSE('1_PANEL_CONTROL'!$C$4, AD11, AD31, AD51)</f>
        <v>0.08</v>
      </c>
      <c r="AE71" s="34">
        <f>CHOOSE('1_PANEL_CONTROL'!$C$4, AE11, AE31, AE51)</f>
        <v>0.08</v>
      </c>
      <c r="AF71" s="34">
        <f>CHOOSE('1_PANEL_CONTROL'!$C$4, AF11, AF31, AF51)</f>
        <v>0.08</v>
      </c>
      <c r="AG71" s="34">
        <f>CHOOSE('1_PANEL_CONTROL'!$C$4, AG11, AG31, AG51)</f>
        <v>0.08</v>
      </c>
      <c r="AH71" s="34">
        <f>CHOOSE('1_PANEL_CONTROL'!$C$4, AH11, AH31, AH51)</f>
        <v>0.08</v>
      </c>
      <c r="AI71" s="34">
        <f>CHOOSE('1_PANEL_CONTROL'!$C$4, AI11, AI31, AI51)</f>
        <v>0.08</v>
      </c>
      <c r="AJ71" s="34">
        <f>CHOOSE('1_PANEL_CONTROL'!$C$4, AJ11, AJ31, AJ51)</f>
        <v>0.08</v>
      </c>
      <c r="AK71" s="34">
        <f>CHOOSE('1_PANEL_CONTROL'!$C$4, AK11, AK31, AK51)</f>
        <v>0.08</v>
      </c>
      <c r="AL71" s="34">
        <f>CHOOSE('1_PANEL_CONTROL'!$C$4, AL11, AL31, AL51)</f>
        <v>0.08</v>
      </c>
      <c r="AM71" s="34">
        <f>CHOOSE('1_PANEL_CONTROL'!$C$4, AM11, AM31, AM51)</f>
        <v>0.08</v>
      </c>
      <c r="AN71" s="34">
        <f>CHOOSE('1_PANEL_CONTROL'!$C$4, AN11, AN31, AN51)</f>
        <v>0.08</v>
      </c>
      <c r="AO71" s="34">
        <f>CHOOSE('1_PANEL_CONTROL'!$C$4, AO11, AO31, AO51)</f>
        <v>0.08</v>
      </c>
      <c r="AP71" s="34">
        <f>CHOOSE('1_PANEL_CONTROL'!$C$4, AP11, AP31, AP51)</f>
        <v>0.08</v>
      </c>
      <c r="AQ71" s="34">
        <f>CHOOSE('1_PANEL_CONTROL'!$C$4, AQ11, AQ31, AQ51)</f>
        <v>0.08</v>
      </c>
      <c r="AR71" s="34">
        <f>CHOOSE('1_PANEL_CONTROL'!$C$4, AR11, AR31, AR51)</f>
        <v>0.08</v>
      </c>
      <c r="AS71" s="34">
        <f>CHOOSE('1_PANEL_CONTROL'!$C$4, AS11, AS31, AS51)</f>
        <v>0.08</v>
      </c>
      <c r="AT71" s="34">
        <f>CHOOSE('1_PANEL_CONTROL'!$C$4, AT11, AT31, AT51)</f>
        <v>0.08</v>
      </c>
      <c r="AU71" s="34">
        <f>CHOOSE('1_PANEL_CONTROL'!$C$4, AU11, AU31, AU51)</f>
        <v>0.08</v>
      </c>
      <c r="AV71" s="34">
        <f>CHOOSE('1_PANEL_CONTROL'!$C$4, AV11, AV31, AV51)</f>
        <v>0.08</v>
      </c>
      <c r="AW71" s="34">
        <f>CHOOSE('1_PANEL_CONTROL'!$C$4, AW11, AW31, AW51)</f>
        <v>0.08</v>
      </c>
      <c r="AX71" s="34">
        <f>CHOOSE('1_PANEL_CONTROL'!$C$4, AX11, AX31, AX51)</f>
        <v>0.08</v>
      </c>
      <c r="AY71" s="34">
        <f>CHOOSE('1_PANEL_CONTROL'!$C$4, AY11, AY31, AY51)</f>
        <v>0.08</v>
      </c>
      <c r="AZ71" s="34">
        <f>CHOOSE('1_PANEL_CONTROL'!$C$4, AZ11, AZ31, AZ51)</f>
        <v>0.08</v>
      </c>
      <c r="BA71" s="34">
        <f>CHOOSE('1_PANEL_CONTROL'!$C$4, BA11, BA31, BA51)</f>
        <v>0.08</v>
      </c>
      <c r="BB71" s="34">
        <f>CHOOSE('1_PANEL_CONTROL'!$C$4, BB11, BB31, BB51)</f>
        <v>0.08</v>
      </c>
      <c r="BC71" s="34">
        <f>CHOOSE('1_PANEL_CONTROL'!$C$4, BC11, BC31, BC51)</f>
        <v>0.08</v>
      </c>
      <c r="BD71" s="34">
        <f>CHOOSE('1_PANEL_CONTROL'!$C$4, BD11, BD31, BD51)</f>
        <v>0.08</v>
      </c>
      <c r="BE71" s="34">
        <f>CHOOSE('1_PANEL_CONTROL'!$C$4, BE11, BE31, BE51)</f>
        <v>0.08</v>
      </c>
      <c r="BF71" s="34">
        <f>CHOOSE('1_PANEL_CONTROL'!$C$4, BF11, BF31, BF51)</f>
        <v>0.08</v>
      </c>
      <c r="BG71" s="34">
        <f>CHOOSE('1_PANEL_CONTROL'!$C$4, BG11, BG31, BG51)</f>
        <v>0.08</v>
      </c>
      <c r="BH71" s="34">
        <f>CHOOSE('1_PANEL_CONTROL'!$C$4, BH11, BH31, BH51)</f>
        <v>0.08</v>
      </c>
      <c r="BI71" s="34">
        <f>CHOOSE('1_PANEL_CONTROL'!$C$4, BI11, BI31, BI51)</f>
        <v>0.08</v>
      </c>
      <c r="BJ71" s="34">
        <f>CHOOSE('1_PANEL_CONTROL'!$C$4, BJ11, BJ31, BJ51)</f>
        <v>0.08</v>
      </c>
      <c r="BK71" s="34">
        <f>CHOOSE('1_PANEL_CONTROL'!$C$4, BK11, BK31, BK51)</f>
        <v>0.08</v>
      </c>
      <c r="BL71" s="34">
        <f>CHOOSE('1_PANEL_CONTROL'!$C$4, BL11, BL31, BL51)</f>
        <v>0.08</v>
      </c>
      <c r="BM71" s="34">
        <f>CHOOSE('1_PANEL_CONTROL'!$C$4, BM11, BM31, BM51)</f>
        <v>0.08</v>
      </c>
      <c r="BN71" s="34">
        <f>CHOOSE('1_PANEL_CONTROL'!$C$4, BN11, BN31, BN51)</f>
        <v>0.08</v>
      </c>
      <c r="BO71" s="34">
        <f>CHOOSE('1_PANEL_CONTROL'!$C$4, BO11, BO31, BO51)</f>
        <v>0.08</v>
      </c>
      <c r="BP71" s="34">
        <f>CHOOSE('1_PANEL_CONTROL'!$C$4, BP11, BP31, BP51)</f>
        <v>0.08</v>
      </c>
      <c r="BQ71" s="34">
        <f>CHOOSE('1_PANEL_CONTROL'!$C$4, BQ11, BQ31, BQ51)</f>
        <v>0.08</v>
      </c>
      <c r="BR71" s="34">
        <f>CHOOSE('1_PANEL_CONTROL'!$C$4, BR11, BR31, BR51)</f>
        <v>0.08</v>
      </c>
      <c r="BS71" s="34">
        <f>CHOOSE('1_PANEL_CONTROL'!$C$4, BS11, BS31, BS51)</f>
        <v>0.08</v>
      </c>
      <c r="BT71" s="34">
        <f>CHOOSE('1_PANEL_CONTROL'!$C$4, BT11, BT31, BT51)</f>
        <v>0.08</v>
      </c>
      <c r="BU71" s="34">
        <f>CHOOSE('1_PANEL_CONTROL'!$C$4, BU11, BU31, BU51)</f>
        <v>0.08</v>
      </c>
      <c r="BV71" s="34">
        <f>CHOOSE('1_PANEL_CONTROL'!$C$4, BV11, BV31, BV51)</f>
        <v>0.08</v>
      </c>
      <c r="BW71" s="34">
        <f>CHOOSE('1_PANEL_CONTROL'!$C$4, BW11, BW31, BW51)</f>
        <v>0.08</v>
      </c>
      <c r="BX71" s="34">
        <f>CHOOSE('1_PANEL_CONTROL'!$C$4, BX11, BX31, BX51)</f>
        <v>0.08</v>
      </c>
      <c r="BY71" s="34">
        <f>CHOOSE('1_PANEL_CONTROL'!$C$4, BY11, BY31, BY51)</f>
        <v>0.08</v>
      </c>
      <c r="BZ71" s="34">
        <f>CHOOSE('1_PANEL_CONTROL'!$C$4, BZ11, BZ31, BZ51)</f>
        <v>0.08</v>
      </c>
      <c r="CA71" s="34">
        <f>CHOOSE('1_PANEL_CONTROL'!$C$4, CA11, CA31, CA51)</f>
        <v>0.08</v>
      </c>
      <c r="CB71" s="34">
        <f>CHOOSE('1_PANEL_CONTROL'!$C$4, CB11, CB31, CB51)</f>
        <v>0.08</v>
      </c>
      <c r="CC71" s="34">
        <f>CHOOSE('1_PANEL_CONTROL'!$C$4, CC11, CC31, CC51)</f>
        <v>0.08</v>
      </c>
      <c r="CD71" s="34">
        <f>CHOOSE('1_PANEL_CONTROL'!$C$4, CD11, CD31, CD51)</f>
        <v>0.08</v>
      </c>
      <c r="CE71" s="34">
        <f>CHOOSE('1_PANEL_CONTROL'!$C$4, CE11, CE31, CE51)</f>
        <v>0.08</v>
      </c>
      <c r="CF71" s="34">
        <f>CHOOSE('1_PANEL_CONTROL'!$C$4, CF11, CF31, CF51)</f>
        <v>0.08</v>
      </c>
      <c r="CG71" s="34">
        <f>CHOOSE('1_PANEL_CONTROL'!$C$4, CG11, CG31, CG51)</f>
        <v>0.08</v>
      </c>
      <c r="CH71" s="34">
        <f>CHOOSE('1_PANEL_CONTROL'!$C$4, CH11, CH31, CH51)</f>
        <v>0.08</v>
      </c>
      <c r="CI71" s="34">
        <f>CHOOSE('1_PANEL_CONTROL'!$C$4, CI11, CI31, CI51)</f>
        <v>0.08</v>
      </c>
    </row>
    <row r="72" spans="1:87" ht="16.5">
      <c r="A72" s="5" t="s">
        <v>457</v>
      </c>
      <c r="B72" s="30" t="s">
        <v>458</v>
      </c>
      <c r="C72" s="17" t="s">
        <v>504</v>
      </c>
      <c r="D72" s="35">
        <f>CHOOSE('1_PANEL_CONTROL'!$C$4, D12, D32, D52)</f>
        <v>2027</v>
      </c>
      <c r="E72" s="35">
        <f>CHOOSE('1_PANEL_CONTROL'!$C$4, E12, E32, E52)</f>
        <v>2189.1600000000003</v>
      </c>
      <c r="F72" s="35">
        <f>CHOOSE('1_PANEL_CONTROL'!$C$4, F12, F32, F52)</f>
        <v>2364.2928000000006</v>
      </c>
      <c r="G72" s="35">
        <f>CHOOSE('1_PANEL_CONTROL'!$C$4, G12, G32, G52)</f>
        <v>2553.4362240000009</v>
      </c>
      <c r="H72" s="35">
        <f>CHOOSE('1_PANEL_CONTROL'!$C$4, H12, H32, H52)</f>
        <v>2757.711121920001</v>
      </c>
      <c r="I72" s="35">
        <f>CHOOSE('1_PANEL_CONTROL'!$C$4, I12, I32, I52)</f>
        <v>2978.3280116736014</v>
      </c>
      <c r="J72" s="35">
        <f>CHOOSE('1_PANEL_CONTROL'!$C$4, J12, J32, J52)</f>
        <v>3216.5942526074896</v>
      </c>
      <c r="K72" s="35">
        <f>CHOOSE('1_PANEL_CONTROL'!$C$4, K12, K32, K52)</f>
        <v>3473.9217928160888</v>
      </c>
      <c r="L72" s="35">
        <f>CHOOSE('1_PANEL_CONTROL'!$C$4, L12, L32, L52)</f>
        <v>3751.8355362413763</v>
      </c>
      <c r="M72" s="35">
        <f>CHOOSE('1_PANEL_CONTROL'!$C$4, M12, M32, M52)</f>
        <v>4051.9823791406866</v>
      </c>
      <c r="N72" s="35">
        <f>CHOOSE('1_PANEL_CONTROL'!$C$4, N12, N32, N52)</f>
        <v>4376.1409694719414</v>
      </c>
      <c r="O72" s="35">
        <f>CHOOSE('1_PANEL_CONTROL'!$C$4, O12, O32, O52)</f>
        <v>4726.2322470296967</v>
      </c>
      <c r="P72" s="35">
        <f>CHOOSE('1_PANEL_CONTROL'!$C$4, P12, P32, P52)</f>
        <v>5104.3308267920729</v>
      </c>
      <c r="Q72" s="35">
        <f>CHOOSE('1_PANEL_CONTROL'!$C$4, Q12, Q32, Q52)</f>
        <v>5512.6772929354393</v>
      </c>
      <c r="R72" s="35">
        <f>CHOOSE('1_PANEL_CONTROL'!$C$4, R12, R32, R52)</f>
        <v>5953.6914763702744</v>
      </c>
      <c r="S72" s="35">
        <f>CHOOSE('1_PANEL_CONTROL'!$C$4, S12, S32, S52)</f>
        <v>6429.9867944798971</v>
      </c>
      <c r="T72" s="35">
        <f>CHOOSE('1_PANEL_CONTROL'!$C$4, T12, T32, T52)</f>
        <v>6944.3857380382897</v>
      </c>
      <c r="U72" s="35">
        <f>CHOOSE('1_PANEL_CONTROL'!$C$4, U12, U32, U52)</f>
        <v>7499.9365970813533</v>
      </c>
      <c r="V72" s="35">
        <f>CHOOSE('1_PANEL_CONTROL'!$C$4, V12, V32, V52)</f>
        <v>8099.9315248478624</v>
      </c>
      <c r="W72" s="35">
        <f>CHOOSE('1_PANEL_CONTROL'!$C$4, W12, W32, W52)</f>
        <v>8747.9260468356915</v>
      </c>
      <c r="X72" s="35">
        <f>CHOOSE('1_PANEL_CONTROL'!$C$4, X12, X32, X52)</f>
        <v>9447.7601305825483</v>
      </c>
      <c r="Y72" s="35">
        <f>CHOOSE('1_PANEL_CONTROL'!$C$4, Y12, Y32, Y52)</f>
        <v>10203.580941029153</v>
      </c>
      <c r="Z72" s="35">
        <f>CHOOSE('1_PANEL_CONTROL'!$C$4, Z12, Z32, Z52)</f>
        <v>11019.867416311487</v>
      </c>
      <c r="AA72" s="35">
        <f>CHOOSE('1_PANEL_CONTROL'!$C$4, AA12, AA32, AA52)</f>
        <v>11901.456809616406</v>
      </c>
      <c r="AB72" s="35">
        <f>CHOOSE('1_PANEL_CONTROL'!$C$4, AB12, AB32, AB52)</f>
        <v>12853.573354385719</v>
      </c>
      <c r="AC72" s="35">
        <f>CHOOSE('1_PANEL_CONTROL'!$C$4, AC12, AC32, AC52)</f>
        <v>13881.859222736577</v>
      </c>
      <c r="AD72" s="35">
        <f>CHOOSE('1_PANEL_CONTROL'!$C$4, AD12, AD32, AD52)</f>
        <v>14992.407960555503</v>
      </c>
      <c r="AE72" s="35">
        <f>CHOOSE('1_PANEL_CONTROL'!$C$4, AE12, AE32, AE52)</f>
        <v>16191.800597399944</v>
      </c>
      <c r="AF72" s="35">
        <f>CHOOSE('1_PANEL_CONTROL'!$C$4, AF12, AF32, AF52)</f>
        <v>17487.14464519194</v>
      </c>
      <c r="AG72" s="35">
        <f>CHOOSE('1_PANEL_CONTROL'!$C$4, AG12, AG32, AG52)</f>
        <v>18886.116216807295</v>
      </c>
      <c r="AH72" s="35">
        <f>CHOOSE('1_PANEL_CONTROL'!$C$4, AH12, AH32, AH52)</f>
        <v>20397.005514151879</v>
      </c>
      <c r="AI72" s="35">
        <f>CHOOSE('1_PANEL_CONTROL'!$C$4, AI12, AI32, AI52)</f>
        <v>22028.76595528403</v>
      </c>
      <c r="AJ72" s="35">
        <f>CHOOSE('1_PANEL_CONTROL'!$C$4, AJ12, AJ32, AJ52)</f>
        <v>23791.067231706755</v>
      </c>
      <c r="AK72" s="35">
        <f>CHOOSE('1_PANEL_CONTROL'!$C$4, AK12, AK32, AK52)</f>
        <v>25694.352610243295</v>
      </c>
      <c r="AL72" s="35">
        <f>CHOOSE('1_PANEL_CONTROL'!$C$4, AL12, AL32, AL52)</f>
        <v>27749.900819062761</v>
      </c>
      <c r="AM72" s="35">
        <f>CHOOSE('1_PANEL_CONTROL'!$C$4, AM12, AM32, AM52)</f>
        <v>29969.892884587785</v>
      </c>
      <c r="AN72" s="35">
        <f>CHOOSE('1_PANEL_CONTROL'!$C$4, AN12, AN32, AN52)</f>
        <v>32367.48431535481</v>
      </c>
      <c r="AO72" s="35">
        <f>CHOOSE('1_PANEL_CONTROL'!$C$4, AO12, AO32, AO52)</f>
        <v>34956.883060583197</v>
      </c>
      <c r="AP72" s="35">
        <f>CHOOSE('1_PANEL_CONTROL'!$C$4, AP12, AP32, AP52)</f>
        <v>37753.433705429852</v>
      </c>
      <c r="AQ72" s="35">
        <f>CHOOSE('1_PANEL_CONTROL'!$C$4, AQ12, AQ32, AQ52)</f>
        <v>40773.708401864242</v>
      </c>
      <c r="AR72" s="35">
        <f>CHOOSE('1_PANEL_CONTROL'!$C$4, AR12, AR32, AR52)</f>
        <v>44035.605074013387</v>
      </c>
      <c r="AS72" s="35">
        <f>CHOOSE('1_PANEL_CONTROL'!$C$4, AS12, AS32, AS52)</f>
        <v>47558.453479934462</v>
      </c>
      <c r="AT72" s="35">
        <f>CHOOSE('1_PANEL_CONTROL'!$C$4, AT12, AT32, AT52)</f>
        <v>51363.129758329225</v>
      </c>
      <c r="AU72" s="35">
        <f>CHOOSE('1_PANEL_CONTROL'!$C$4, AU12, AU32, AU52)</f>
        <v>55472.180138995565</v>
      </c>
      <c r="AV72" s="35">
        <f>CHOOSE('1_PANEL_CONTROL'!$C$4, AV12, AV32, AV52)</f>
        <v>59909.954550115217</v>
      </c>
      <c r="AW72" s="35">
        <f>CHOOSE('1_PANEL_CONTROL'!$C$4, AW12, AW32, AW52)</f>
        <v>64702.750914124437</v>
      </c>
      <c r="AX72" s="35">
        <f>CHOOSE('1_PANEL_CONTROL'!$C$4, AX12, AX32, AX52)</f>
        <v>69878.97098725439</v>
      </c>
      <c r="AY72" s="35">
        <f>CHOOSE('1_PANEL_CONTROL'!$C$4, AY12, AY32, AY52)</f>
        <v>75469.288666234745</v>
      </c>
      <c r="AZ72" s="35">
        <f>CHOOSE('1_PANEL_CONTROL'!$C$4, AZ12, AZ32, AZ52)</f>
        <v>81506.831759533525</v>
      </c>
      <c r="BA72" s="35">
        <f>CHOOSE('1_PANEL_CONTROL'!$C$4, BA12, BA32, BA52)</f>
        <v>88027.378300296215</v>
      </c>
      <c r="BB72" s="35">
        <f>CHOOSE('1_PANEL_CONTROL'!$C$4, BB12, BB32, BB52)</f>
        <v>95069.568564319925</v>
      </c>
      <c r="BC72" s="35">
        <f>CHOOSE('1_PANEL_CONTROL'!$C$4, BC12, BC32, BC52)</f>
        <v>102675.13404946553</v>
      </c>
      <c r="BD72" s="35">
        <f>CHOOSE('1_PANEL_CONTROL'!$C$4, BD12, BD32, BD52)</f>
        <v>110889.14477342278</v>
      </c>
      <c r="BE72" s="35">
        <f>CHOOSE('1_PANEL_CONTROL'!$C$4, BE12, BE32, BE52)</f>
        <v>119760.27635529662</v>
      </c>
      <c r="BF72" s="35">
        <f>CHOOSE('1_PANEL_CONTROL'!$C$4, BF12, BF32, BF52)</f>
        <v>129341.09846372037</v>
      </c>
      <c r="BG72" s="35">
        <f>CHOOSE('1_PANEL_CONTROL'!$C$4, BG12, BG32, BG52)</f>
        <v>139688.38634081799</v>
      </c>
      <c r="BH72" s="35">
        <f>CHOOSE('1_PANEL_CONTROL'!$C$4, BH12, BH32, BH52)</f>
        <v>150863.45724808343</v>
      </c>
      <c r="BI72" s="35">
        <f>CHOOSE('1_PANEL_CONTROL'!$C$4, BI12, BI32, BI52)</f>
        <v>162932.53382793011</v>
      </c>
      <c r="BJ72" s="35">
        <f>CHOOSE('1_PANEL_CONTROL'!$C$4, BJ12, BJ32, BJ52)</f>
        <v>175967.13653416451</v>
      </c>
      <c r="BK72" s="35">
        <f>CHOOSE('1_PANEL_CONTROL'!$C$4, BK12, BK32, BK52)</f>
        <v>190044.5074568977</v>
      </c>
      <c r="BL72" s="35">
        <f>CHOOSE('1_PANEL_CONTROL'!$C$4, BL12, BL32, BL52)</f>
        <v>205248.06805344953</v>
      </c>
      <c r="BM72" s="35">
        <f>CHOOSE('1_PANEL_CONTROL'!$C$4, BM12, BM32, BM52)</f>
        <v>221667.9134977255</v>
      </c>
      <c r="BN72" s="35">
        <f>CHOOSE('1_PANEL_CONTROL'!$C$4, BN12, BN32, BN52)</f>
        <v>239401.34657754356</v>
      </c>
      <c r="BO72" s="35">
        <f>CHOOSE('1_PANEL_CONTROL'!$C$4, BO12, BO32, BO52)</f>
        <v>258553.45430374707</v>
      </c>
      <c r="BP72" s="35">
        <f>CHOOSE('1_PANEL_CONTROL'!$C$4, BP12, BP32, BP52)</f>
        <v>279237.73064804688</v>
      </c>
      <c r="BQ72" s="35">
        <f>CHOOSE('1_PANEL_CONTROL'!$C$4, BQ12, BQ32, BQ52)</f>
        <v>301576.74909989064</v>
      </c>
      <c r="BR72" s="35">
        <f>CHOOSE('1_PANEL_CONTROL'!$C$4, BR12, BR32, BR52)</f>
        <v>325702.8890278819</v>
      </c>
      <c r="BS72" s="35">
        <f>CHOOSE('1_PANEL_CONTROL'!$C$4, BS12, BS32, BS52)</f>
        <v>351759.12015011249</v>
      </c>
      <c r="BT72" s="35">
        <f>CHOOSE('1_PANEL_CONTROL'!$C$4, BT12, BT32, BT52)</f>
        <v>379899.84976212151</v>
      </c>
      <c r="BU72" s="35">
        <f>CHOOSE('1_PANEL_CONTROL'!$C$4, BU12, BU32, BU52)</f>
        <v>410291.83774309128</v>
      </c>
      <c r="BV72" s="35">
        <f>CHOOSE('1_PANEL_CONTROL'!$C$4, BV12, BV32, BV52)</f>
        <v>443115.18476253859</v>
      </c>
      <c r="BW72" s="35">
        <f>CHOOSE('1_PANEL_CONTROL'!$C$4, BW12, BW32, BW52)</f>
        <v>478564.39954354172</v>
      </c>
      <c r="BX72" s="35">
        <f>CHOOSE('1_PANEL_CONTROL'!$C$4, BX12, BX32, BX52)</f>
        <v>516849.55150702508</v>
      </c>
      <c r="BY72" s="35">
        <f>CHOOSE('1_PANEL_CONTROL'!$C$4, BY12, BY32, BY52)</f>
        <v>558197.5156275871</v>
      </c>
      <c r="BZ72" s="35">
        <f>CHOOSE('1_PANEL_CONTROL'!$C$4, BZ12, BZ32, BZ52)</f>
        <v>602853.3168777941</v>
      </c>
      <c r="CA72" s="35">
        <f>CHOOSE('1_PANEL_CONTROL'!$C$4, CA12, CA32, CA52)</f>
        <v>651081.58222801762</v>
      </c>
      <c r="CB72" s="35">
        <f>CHOOSE('1_PANEL_CONTROL'!$C$4, CB12, CB32, CB52)</f>
        <v>703168.10880625912</v>
      </c>
      <c r="CC72" s="35">
        <f>CHOOSE('1_PANEL_CONTROL'!$C$4, CC12, CC32, CC52)</f>
        <v>759421.55751075991</v>
      </c>
      <c r="CD72" s="35">
        <f>CHOOSE('1_PANEL_CONTROL'!$C$4, CD12, CD32, CD52)</f>
        <v>820175.28211162076</v>
      </c>
      <c r="CE72" s="35">
        <f>CHOOSE('1_PANEL_CONTROL'!$C$4, CE12, CE32, CE52)</f>
        <v>885789.30468055047</v>
      </c>
      <c r="CF72" s="35">
        <f>CHOOSE('1_PANEL_CONTROL'!$C$4, CF12, CF32, CF52)</f>
        <v>956652.44905499462</v>
      </c>
      <c r="CG72" s="35">
        <f>CHOOSE('1_PANEL_CONTROL'!$C$4, CG12, CG32, CG52)</f>
        <v>1033184.6449793943</v>
      </c>
      <c r="CH72" s="35">
        <f>CHOOSE('1_PANEL_CONTROL'!$C$4, CH12, CH32, CH52)</f>
        <v>1115839.4165777459</v>
      </c>
      <c r="CI72" s="35">
        <f>CHOOSE('1_PANEL_CONTROL'!$C$4, CI12, CI32, CI52)</f>
        <v>1205106.5699039656</v>
      </c>
    </row>
    <row r="73" spans="1:87" ht="16.5">
      <c r="A73" s="5" t="s">
        <v>460</v>
      </c>
      <c r="B73" s="30" t="s">
        <v>455</v>
      </c>
      <c r="C73" s="17" t="s">
        <v>504</v>
      </c>
      <c r="D73" s="34">
        <f>CHOOSE('1_PANEL_CONTROL'!$C$4, D13, D33, D53)</f>
        <v>0.02</v>
      </c>
      <c r="E73" s="34">
        <f>CHOOSE('1_PANEL_CONTROL'!$C$4, E13, E33, E53)</f>
        <v>0.02</v>
      </c>
      <c r="F73" s="34">
        <f>CHOOSE('1_PANEL_CONTROL'!$C$4, F13, F33, F53)</f>
        <v>0.02</v>
      </c>
      <c r="G73" s="34">
        <f>CHOOSE('1_PANEL_CONTROL'!$C$4, G13, G33, G53)</f>
        <v>0.02</v>
      </c>
      <c r="H73" s="34">
        <f>CHOOSE('1_PANEL_CONTROL'!$C$4, H13, H33, H53)</f>
        <v>0.02</v>
      </c>
      <c r="I73" s="34">
        <f>CHOOSE('1_PANEL_CONTROL'!$C$4, I13, I33, I53)</f>
        <v>0.02</v>
      </c>
      <c r="J73" s="34">
        <f>CHOOSE('1_PANEL_CONTROL'!$C$4, J13, J33, J53)</f>
        <v>0.02</v>
      </c>
      <c r="K73" s="34">
        <f>CHOOSE('1_PANEL_CONTROL'!$C$4, K13, K33, K53)</f>
        <v>0.02</v>
      </c>
      <c r="L73" s="34">
        <f>CHOOSE('1_PANEL_CONTROL'!$C$4, L13, L33, L53)</f>
        <v>0.02</v>
      </c>
      <c r="M73" s="34">
        <f>CHOOSE('1_PANEL_CONTROL'!$C$4, M13, M33, M53)</f>
        <v>0.02</v>
      </c>
      <c r="N73" s="34">
        <f>CHOOSE('1_PANEL_CONTROL'!$C$4, N13, N33, N53)</f>
        <v>0.02</v>
      </c>
      <c r="O73" s="34">
        <f>CHOOSE('1_PANEL_CONTROL'!$C$4, O13, O33, O53)</f>
        <v>0.02</v>
      </c>
      <c r="P73" s="34">
        <f>CHOOSE('1_PANEL_CONTROL'!$C$4, P13, P33, P53)</f>
        <v>0.02</v>
      </c>
      <c r="Q73" s="34">
        <f>CHOOSE('1_PANEL_CONTROL'!$C$4, Q13, Q33, Q53)</f>
        <v>0.02</v>
      </c>
      <c r="R73" s="34">
        <f>CHOOSE('1_PANEL_CONTROL'!$C$4, R13, R33, R53)</f>
        <v>0.02</v>
      </c>
      <c r="S73" s="34">
        <f>CHOOSE('1_PANEL_CONTROL'!$C$4, S13, S33, S53)</f>
        <v>0.02</v>
      </c>
      <c r="T73" s="34">
        <f>CHOOSE('1_PANEL_CONTROL'!$C$4, T13, T33, T53)</f>
        <v>0.02</v>
      </c>
      <c r="U73" s="34">
        <f>CHOOSE('1_PANEL_CONTROL'!$C$4, U13, U33, U53)</f>
        <v>0.02</v>
      </c>
      <c r="V73" s="34">
        <f>CHOOSE('1_PANEL_CONTROL'!$C$4, V13, V33, V53)</f>
        <v>0.02</v>
      </c>
      <c r="W73" s="34">
        <f>CHOOSE('1_PANEL_CONTROL'!$C$4, W13, W33, W53)</f>
        <v>0.02</v>
      </c>
      <c r="X73" s="34">
        <f>CHOOSE('1_PANEL_CONTROL'!$C$4, X13, X33, X53)</f>
        <v>0.02</v>
      </c>
      <c r="Y73" s="34">
        <f>CHOOSE('1_PANEL_CONTROL'!$C$4, Y13, Y33, Y53)</f>
        <v>0.02</v>
      </c>
      <c r="Z73" s="34">
        <f>CHOOSE('1_PANEL_CONTROL'!$C$4, Z13, Z33, Z53)</f>
        <v>0.02</v>
      </c>
      <c r="AA73" s="34">
        <f>CHOOSE('1_PANEL_CONTROL'!$C$4, AA13, AA33, AA53)</f>
        <v>0.02</v>
      </c>
      <c r="AB73" s="34">
        <f>CHOOSE('1_PANEL_CONTROL'!$C$4, AB13, AB33, AB53)</f>
        <v>0.02</v>
      </c>
      <c r="AC73" s="34">
        <f>CHOOSE('1_PANEL_CONTROL'!$C$4, AC13, AC33, AC53)</f>
        <v>0.02</v>
      </c>
      <c r="AD73" s="34">
        <f>CHOOSE('1_PANEL_CONTROL'!$C$4, AD13, AD33, AD53)</f>
        <v>0.02</v>
      </c>
      <c r="AE73" s="34">
        <f>CHOOSE('1_PANEL_CONTROL'!$C$4, AE13, AE33, AE53)</f>
        <v>0.02</v>
      </c>
      <c r="AF73" s="34">
        <f>CHOOSE('1_PANEL_CONTROL'!$C$4, AF13, AF33, AF53)</f>
        <v>0.02</v>
      </c>
      <c r="AG73" s="34">
        <f>CHOOSE('1_PANEL_CONTROL'!$C$4, AG13, AG33, AG53)</f>
        <v>0.02</v>
      </c>
      <c r="AH73" s="34">
        <f>CHOOSE('1_PANEL_CONTROL'!$C$4, AH13, AH33, AH53)</f>
        <v>0.02</v>
      </c>
      <c r="AI73" s="34">
        <f>CHOOSE('1_PANEL_CONTROL'!$C$4, AI13, AI33, AI53)</f>
        <v>0.02</v>
      </c>
      <c r="AJ73" s="34">
        <f>CHOOSE('1_PANEL_CONTROL'!$C$4, AJ13, AJ33, AJ53)</f>
        <v>0.02</v>
      </c>
      <c r="AK73" s="34">
        <f>CHOOSE('1_PANEL_CONTROL'!$C$4, AK13, AK33, AK53)</f>
        <v>0.02</v>
      </c>
      <c r="AL73" s="34">
        <f>CHOOSE('1_PANEL_CONTROL'!$C$4, AL13, AL33, AL53)</f>
        <v>0.02</v>
      </c>
      <c r="AM73" s="34">
        <f>CHOOSE('1_PANEL_CONTROL'!$C$4, AM13, AM33, AM53)</f>
        <v>0.02</v>
      </c>
      <c r="AN73" s="34">
        <f>CHOOSE('1_PANEL_CONTROL'!$C$4, AN13, AN33, AN53)</f>
        <v>0.02</v>
      </c>
      <c r="AO73" s="34">
        <f>CHOOSE('1_PANEL_CONTROL'!$C$4, AO13, AO33, AO53)</f>
        <v>0.02</v>
      </c>
      <c r="AP73" s="34">
        <f>CHOOSE('1_PANEL_CONTROL'!$C$4, AP13, AP33, AP53)</f>
        <v>0.02</v>
      </c>
      <c r="AQ73" s="34">
        <f>CHOOSE('1_PANEL_CONTROL'!$C$4, AQ13, AQ33, AQ53)</f>
        <v>0.02</v>
      </c>
      <c r="AR73" s="34">
        <f>CHOOSE('1_PANEL_CONTROL'!$C$4, AR13, AR33, AR53)</f>
        <v>0.02</v>
      </c>
      <c r="AS73" s="34">
        <f>CHOOSE('1_PANEL_CONTROL'!$C$4, AS13, AS33, AS53)</f>
        <v>0.02</v>
      </c>
      <c r="AT73" s="34">
        <f>CHOOSE('1_PANEL_CONTROL'!$C$4, AT13, AT33, AT53)</f>
        <v>0.02</v>
      </c>
      <c r="AU73" s="34">
        <f>CHOOSE('1_PANEL_CONTROL'!$C$4, AU13, AU33, AU53)</f>
        <v>0.02</v>
      </c>
      <c r="AV73" s="34">
        <f>CHOOSE('1_PANEL_CONTROL'!$C$4, AV13, AV33, AV53)</f>
        <v>0.02</v>
      </c>
      <c r="AW73" s="34">
        <f>CHOOSE('1_PANEL_CONTROL'!$C$4, AW13, AW33, AW53)</f>
        <v>0.02</v>
      </c>
      <c r="AX73" s="34">
        <f>CHOOSE('1_PANEL_CONTROL'!$C$4, AX13, AX33, AX53)</f>
        <v>0.02</v>
      </c>
      <c r="AY73" s="34">
        <f>CHOOSE('1_PANEL_CONTROL'!$C$4, AY13, AY33, AY53)</f>
        <v>0.02</v>
      </c>
      <c r="AZ73" s="34">
        <f>CHOOSE('1_PANEL_CONTROL'!$C$4, AZ13, AZ33, AZ53)</f>
        <v>0.02</v>
      </c>
      <c r="BA73" s="34">
        <f>CHOOSE('1_PANEL_CONTROL'!$C$4, BA13, BA33, BA53)</f>
        <v>0.02</v>
      </c>
      <c r="BB73" s="34">
        <f>CHOOSE('1_PANEL_CONTROL'!$C$4, BB13, BB33, BB53)</f>
        <v>0.02</v>
      </c>
      <c r="BC73" s="34">
        <f>CHOOSE('1_PANEL_CONTROL'!$C$4, BC13, BC33, BC53)</f>
        <v>0.02</v>
      </c>
      <c r="BD73" s="34">
        <f>CHOOSE('1_PANEL_CONTROL'!$C$4, BD13, BD33, BD53)</f>
        <v>0.02</v>
      </c>
      <c r="BE73" s="34">
        <f>CHOOSE('1_PANEL_CONTROL'!$C$4, BE13, BE33, BE53)</f>
        <v>0.02</v>
      </c>
      <c r="BF73" s="34">
        <f>CHOOSE('1_PANEL_CONTROL'!$C$4, BF13, BF33, BF53)</f>
        <v>0.02</v>
      </c>
      <c r="BG73" s="34">
        <f>CHOOSE('1_PANEL_CONTROL'!$C$4, BG13, BG33, BG53)</f>
        <v>0.02</v>
      </c>
      <c r="BH73" s="34">
        <f>CHOOSE('1_PANEL_CONTROL'!$C$4, BH13, BH33, BH53)</f>
        <v>0.02</v>
      </c>
      <c r="BI73" s="34">
        <f>CHOOSE('1_PANEL_CONTROL'!$C$4, BI13, BI33, BI53)</f>
        <v>0.02</v>
      </c>
      <c r="BJ73" s="34">
        <f>CHOOSE('1_PANEL_CONTROL'!$C$4, BJ13, BJ33, BJ53)</f>
        <v>0.02</v>
      </c>
      <c r="BK73" s="34">
        <f>CHOOSE('1_PANEL_CONTROL'!$C$4, BK13, BK33, BK53)</f>
        <v>0.02</v>
      </c>
      <c r="BL73" s="34">
        <f>CHOOSE('1_PANEL_CONTROL'!$C$4, BL13, BL33, BL53)</f>
        <v>0.02</v>
      </c>
      <c r="BM73" s="34">
        <f>CHOOSE('1_PANEL_CONTROL'!$C$4, BM13, BM33, BM53)</f>
        <v>0.02</v>
      </c>
      <c r="BN73" s="34">
        <f>CHOOSE('1_PANEL_CONTROL'!$C$4, BN13, BN33, BN53)</f>
        <v>0.02</v>
      </c>
      <c r="BO73" s="34">
        <f>CHOOSE('1_PANEL_CONTROL'!$C$4, BO13, BO33, BO53)</f>
        <v>0.02</v>
      </c>
      <c r="BP73" s="34">
        <f>CHOOSE('1_PANEL_CONTROL'!$C$4, BP13, BP33, BP53)</f>
        <v>0.02</v>
      </c>
      <c r="BQ73" s="34">
        <f>CHOOSE('1_PANEL_CONTROL'!$C$4, BQ13, BQ33, BQ53)</f>
        <v>0.02</v>
      </c>
      <c r="BR73" s="34">
        <f>CHOOSE('1_PANEL_CONTROL'!$C$4, BR13, BR33, BR53)</f>
        <v>0.02</v>
      </c>
      <c r="BS73" s="34">
        <f>CHOOSE('1_PANEL_CONTROL'!$C$4, BS13, BS33, BS53)</f>
        <v>0.02</v>
      </c>
      <c r="BT73" s="34">
        <f>CHOOSE('1_PANEL_CONTROL'!$C$4, BT13, BT33, BT53)</f>
        <v>0.02</v>
      </c>
      <c r="BU73" s="34">
        <f>CHOOSE('1_PANEL_CONTROL'!$C$4, BU13, BU33, BU53)</f>
        <v>0.02</v>
      </c>
      <c r="BV73" s="34">
        <f>CHOOSE('1_PANEL_CONTROL'!$C$4, BV13, BV33, BV53)</f>
        <v>0.02</v>
      </c>
      <c r="BW73" s="34">
        <f>CHOOSE('1_PANEL_CONTROL'!$C$4, BW13, BW33, BW53)</f>
        <v>0.02</v>
      </c>
      <c r="BX73" s="34">
        <f>CHOOSE('1_PANEL_CONTROL'!$C$4, BX13, BX33, BX53)</f>
        <v>0.02</v>
      </c>
      <c r="BY73" s="34">
        <f>CHOOSE('1_PANEL_CONTROL'!$C$4, BY13, BY33, BY53)</f>
        <v>0.02</v>
      </c>
      <c r="BZ73" s="34">
        <f>CHOOSE('1_PANEL_CONTROL'!$C$4, BZ13, BZ33, BZ53)</f>
        <v>0.02</v>
      </c>
      <c r="CA73" s="34">
        <f>CHOOSE('1_PANEL_CONTROL'!$C$4, CA13, CA33, CA53)</f>
        <v>0.02</v>
      </c>
      <c r="CB73" s="34">
        <f>CHOOSE('1_PANEL_CONTROL'!$C$4, CB13, CB33, CB53)</f>
        <v>0.02</v>
      </c>
      <c r="CC73" s="34">
        <f>CHOOSE('1_PANEL_CONTROL'!$C$4, CC13, CC33, CC53)</f>
        <v>0.02</v>
      </c>
      <c r="CD73" s="34">
        <f>CHOOSE('1_PANEL_CONTROL'!$C$4, CD13, CD33, CD53)</f>
        <v>0.02</v>
      </c>
      <c r="CE73" s="34">
        <f>CHOOSE('1_PANEL_CONTROL'!$C$4, CE13, CE33, CE53)</f>
        <v>0.02</v>
      </c>
      <c r="CF73" s="34">
        <f>CHOOSE('1_PANEL_CONTROL'!$C$4, CF13, CF33, CF53)</f>
        <v>0.02</v>
      </c>
      <c r="CG73" s="34">
        <f>CHOOSE('1_PANEL_CONTROL'!$C$4, CG13, CG33, CG53)</f>
        <v>0.02</v>
      </c>
      <c r="CH73" s="34">
        <f>CHOOSE('1_PANEL_CONTROL'!$C$4, CH13, CH33, CH53)</f>
        <v>0.02</v>
      </c>
      <c r="CI73" s="34">
        <f>CHOOSE('1_PANEL_CONTROL'!$C$4, CI13, CI33, CI53)</f>
        <v>0.02</v>
      </c>
    </row>
    <row r="74" spans="1:87" ht="16.5">
      <c r="A74" s="5" t="s">
        <v>462</v>
      </c>
      <c r="B74" s="30" t="s">
        <v>458</v>
      </c>
      <c r="C74" s="17" t="s">
        <v>504</v>
      </c>
      <c r="D74" s="35">
        <f>CHOOSE('1_PANEL_CONTROL'!$C$4, D14, D34, D54)</f>
        <v>41</v>
      </c>
      <c r="E74" s="35">
        <f>CHOOSE('1_PANEL_CONTROL'!$C$4, E14, E34, E54)</f>
        <v>44</v>
      </c>
      <c r="F74" s="35">
        <f>CHOOSE('1_PANEL_CONTROL'!$C$4, F14, F34, F54)</f>
        <v>47</v>
      </c>
      <c r="G74" s="35">
        <f>CHOOSE('1_PANEL_CONTROL'!$C$4, G14, G34, G54)</f>
        <v>51</v>
      </c>
      <c r="H74" s="35">
        <f>CHOOSE('1_PANEL_CONTROL'!$C$4, H14, H34, H54)</f>
        <v>55</v>
      </c>
      <c r="I74" s="35">
        <f>CHOOSE('1_PANEL_CONTROL'!$C$4, I14, I34, I54)</f>
        <v>60</v>
      </c>
      <c r="J74" s="35">
        <f>CHOOSE('1_PANEL_CONTROL'!$C$4, J14, J34, J54)</f>
        <v>64</v>
      </c>
      <c r="K74" s="35">
        <f>CHOOSE('1_PANEL_CONTROL'!$C$4, K14, K34, K54)</f>
        <v>69</v>
      </c>
      <c r="L74" s="35">
        <f>CHOOSE('1_PANEL_CONTROL'!$C$4, L14, L34, L54)</f>
        <v>75</v>
      </c>
      <c r="M74" s="35">
        <f>CHOOSE('1_PANEL_CONTROL'!$C$4, M14, M34, M54)</f>
        <v>81</v>
      </c>
      <c r="N74" s="35">
        <f>CHOOSE('1_PANEL_CONTROL'!$C$4, N14, N34, N54)</f>
        <v>88</v>
      </c>
      <c r="O74" s="35">
        <f>CHOOSE('1_PANEL_CONTROL'!$C$4, O14, O34, O54)</f>
        <v>95</v>
      </c>
      <c r="P74" s="35">
        <f>CHOOSE('1_PANEL_CONTROL'!$C$4, P14, P34, P54)</f>
        <v>102</v>
      </c>
      <c r="Q74" s="35">
        <f>CHOOSE('1_PANEL_CONTROL'!$C$4, Q14, Q34, Q54)</f>
        <v>110</v>
      </c>
      <c r="R74" s="35">
        <f>CHOOSE('1_PANEL_CONTROL'!$C$4, R14, R34, R54)</f>
        <v>119</v>
      </c>
      <c r="S74" s="35">
        <f>CHOOSE('1_PANEL_CONTROL'!$C$4, S14, S34, S54)</f>
        <v>129</v>
      </c>
      <c r="T74" s="35">
        <f>CHOOSE('1_PANEL_CONTROL'!$C$4, T14, T34, T54)</f>
        <v>139</v>
      </c>
      <c r="U74" s="35">
        <f>CHOOSE('1_PANEL_CONTROL'!$C$4, U14, U34, U54)</f>
        <v>150</v>
      </c>
      <c r="V74" s="35">
        <f>CHOOSE('1_PANEL_CONTROL'!$C$4, V14, V34, V54)</f>
        <v>162</v>
      </c>
      <c r="W74" s="35">
        <f>CHOOSE('1_PANEL_CONTROL'!$C$4, W14, W34, W54)</f>
        <v>175</v>
      </c>
      <c r="X74" s="35">
        <f>CHOOSE('1_PANEL_CONTROL'!$C$4, X14, X34, X54)</f>
        <v>189</v>
      </c>
      <c r="Y74" s="35">
        <f>CHOOSE('1_PANEL_CONTROL'!$C$4, Y14, Y34, Y54)</f>
        <v>204</v>
      </c>
      <c r="Z74" s="35">
        <f>CHOOSE('1_PANEL_CONTROL'!$C$4, Z14, Z34, Z54)</f>
        <v>220</v>
      </c>
      <c r="AA74" s="35">
        <f>CHOOSE('1_PANEL_CONTROL'!$C$4, AA14, AA34, AA54)</f>
        <v>238</v>
      </c>
      <c r="AB74" s="35">
        <f>CHOOSE('1_PANEL_CONTROL'!$C$4, AB14, AB34, AB54)</f>
        <v>257</v>
      </c>
      <c r="AC74" s="35">
        <f>CHOOSE('1_PANEL_CONTROL'!$C$4, AC14, AC34, AC54)</f>
        <v>278</v>
      </c>
      <c r="AD74" s="35">
        <f>CHOOSE('1_PANEL_CONTROL'!$C$4, AD14, AD34, AD54)</f>
        <v>300</v>
      </c>
      <c r="AE74" s="35">
        <f>CHOOSE('1_PANEL_CONTROL'!$C$4, AE14, AE34, AE54)</f>
        <v>324</v>
      </c>
      <c r="AF74" s="35">
        <f>CHOOSE('1_PANEL_CONTROL'!$C$4, AF14, AF34, AF54)</f>
        <v>350</v>
      </c>
      <c r="AG74" s="35">
        <f>CHOOSE('1_PANEL_CONTROL'!$C$4, AG14, AG34, AG54)</f>
        <v>378</v>
      </c>
      <c r="AH74" s="35">
        <f>CHOOSE('1_PANEL_CONTROL'!$C$4, AH14, AH34, AH54)</f>
        <v>408</v>
      </c>
      <c r="AI74" s="35">
        <f>CHOOSE('1_PANEL_CONTROL'!$C$4, AI14, AI34, AI54)</f>
        <v>441</v>
      </c>
      <c r="AJ74" s="35">
        <f>CHOOSE('1_PANEL_CONTROL'!$C$4, AJ14, AJ34, AJ54)</f>
        <v>476</v>
      </c>
      <c r="AK74" s="35">
        <f>CHOOSE('1_PANEL_CONTROL'!$C$4, AK14, AK34, AK54)</f>
        <v>514</v>
      </c>
      <c r="AL74" s="35">
        <f>CHOOSE('1_PANEL_CONTROL'!$C$4, AL14, AL34, AL54)</f>
        <v>555</v>
      </c>
      <c r="AM74" s="35">
        <f>CHOOSE('1_PANEL_CONTROL'!$C$4, AM14, AM34, AM54)</f>
        <v>599</v>
      </c>
      <c r="AN74" s="35">
        <f>CHOOSE('1_PANEL_CONTROL'!$C$4, AN14, AN34, AN54)</f>
        <v>647</v>
      </c>
      <c r="AO74" s="35">
        <f>CHOOSE('1_PANEL_CONTROL'!$C$4, AO14, AO34, AO54)</f>
        <v>699</v>
      </c>
      <c r="AP74" s="35">
        <f>CHOOSE('1_PANEL_CONTROL'!$C$4, AP14, AP34, AP54)</f>
        <v>755</v>
      </c>
      <c r="AQ74" s="35">
        <f>CHOOSE('1_PANEL_CONTROL'!$C$4, AQ14, AQ34, AQ54)</f>
        <v>815</v>
      </c>
      <c r="AR74" s="35">
        <f>CHOOSE('1_PANEL_CONTROL'!$C$4, AR14, AR34, AR54)</f>
        <v>881</v>
      </c>
      <c r="AS74" s="35">
        <f>CHOOSE('1_PANEL_CONTROL'!$C$4, AS14, AS34, AS54)</f>
        <v>951</v>
      </c>
      <c r="AT74" s="35">
        <f>CHOOSE('1_PANEL_CONTROL'!$C$4, AT14, AT34, AT54)</f>
        <v>1027</v>
      </c>
      <c r="AU74" s="35">
        <f>CHOOSE('1_PANEL_CONTROL'!$C$4, AU14, AU34, AU54)</f>
        <v>1109</v>
      </c>
      <c r="AV74" s="35">
        <f>CHOOSE('1_PANEL_CONTROL'!$C$4, AV14, AV34, AV54)</f>
        <v>1198</v>
      </c>
      <c r="AW74" s="35">
        <f>CHOOSE('1_PANEL_CONTROL'!$C$4, AW14, AW34, AW54)</f>
        <v>1294</v>
      </c>
      <c r="AX74" s="35">
        <f>CHOOSE('1_PANEL_CONTROL'!$C$4, AX14, AX34, AX54)</f>
        <v>1398</v>
      </c>
      <c r="AY74" s="35">
        <f>CHOOSE('1_PANEL_CONTROL'!$C$4, AY14, AY34, AY54)</f>
        <v>1509</v>
      </c>
      <c r="AZ74" s="35">
        <f>CHOOSE('1_PANEL_CONTROL'!$C$4, AZ14, AZ34, AZ54)</f>
        <v>1630</v>
      </c>
      <c r="BA74" s="35">
        <f>CHOOSE('1_PANEL_CONTROL'!$C$4, BA14, BA34, BA54)</f>
        <v>1761</v>
      </c>
      <c r="BB74" s="35">
        <f>CHOOSE('1_PANEL_CONTROL'!$C$4, BB14, BB34, BB54)</f>
        <v>1901</v>
      </c>
      <c r="BC74" s="35">
        <f>CHOOSE('1_PANEL_CONTROL'!$C$4, BC14, BC34, BC54)</f>
        <v>2054</v>
      </c>
      <c r="BD74" s="35">
        <f>CHOOSE('1_PANEL_CONTROL'!$C$4, BD14, BD34, BD54)</f>
        <v>2218</v>
      </c>
      <c r="BE74" s="35">
        <f>CHOOSE('1_PANEL_CONTROL'!$C$4, BE14, BE34, BE54)</f>
        <v>2395</v>
      </c>
      <c r="BF74" s="35">
        <f>CHOOSE('1_PANEL_CONTROL'!$C$4, BF14, BF34, BF54)</f>
        <v>2587</v>
      </c>
      <c r="BG74" s="35">
        <f>CHOOSE('1_PANEL_CONTROL'!$C$4, BG14, BG34, BG54)</f>
        <v>2794</v>
      </c>
      <c r="BH74" s="35">
        <f>CHOOSE('1_PANEL_CONTROL'!$C$4, BH14, BH34, BH54)</f>
        <v>3017</v>
      </c>
      <c r="BI74" s="35">
        <f>CHOOSE('1_PANEL_CONTROL'!$C$4, BI14, BI34, BI54)</f>
        <v>3259</v>
      </c>
      <c r="BJ74" s="35">
        <f>CHOOSE('1_PANEL_CONTROL'!$C$4, BJ14, BJ34, BJ54)</f>
        <v>3519</v>
      </c>
      <c r="BK74" s="35">
        <f>CHOOSE('1_PANEL_CONTROL'!$C$4, BK14, BK34, BK54)</f>
        <v>3801</v>
      </c>
      <c r="BL74" s="35">
        <f>CHOOSE('1_PANEL_CONTROL'!$C$4, BL14, BL34, BL54)</f>
        <v>4105</v>
      </c>
      <c r="BM74" s="35">
        <f>CHOOSE('1_PANEL_CONTROL'!$C$4, BM14, BM34, BM54)</f>
        <v>4433</v>
      </c>
      <c r="BN74" s="35">
        <f>CHOOSE('1_PANEL_CONTROL'!$C$4, BN14, BN34, BN54)</f>
        <v>4788</v>
      </c>
      <c r="BO74" s="35">
        <f>CHOOSE('1_PANEL_CONTROL'!$C$4, BO14, BO34, BO54)</f>
        <v>5171</v>
      </c>
      <c r="BP74" s="35">
        <f>CHOOSE('1_PANEL_CONTROL'!$C$4, BP14, BP34, BP54)</f>
        <v>5585</v>
      </c>
      <c r="BQ74" s="35">
        <f>CHOOSE('1_PANEL_CONTROL'!$C$4, BQ14, BQ34, BQ54)</f>
        <v>6032</v>
      </c>
      <c r="BR74" s="35">
        <f>CHOOSE('1_PANEL_CONTROL'!$C$4, BR14, BR34, BR54)</f>
        <v>6514</v>
      </c>
      <c r="BS74" s="35">
        <f>CHOOSE('1_PANEL_CONTROL'!$C$4, BS14, BS34, BS54)</f>
        <v>7035</v>
      </c>
      <c r="BT74" s="35">
        <f>CHOOSE('1_PANEL_CONTROL'!$C$4, BT14, BT34, BT54)</f>
        <v>7598</v>
      </c>
      <c r="BU74" s="35">
        <f>CHOOSE('1_PANEL_CONTROL'!$C$4, BU14, BU34, BU54)</f>
        <v>8206</v>
      </c>
      <c r="BV74" s="35">
        <f>CHOOSE('1_PANEL_CONTROL'!$C$4, BV14, BV34, BV54)</f>
        <v>8862</v>
      </c>
      <c r="BW74" s="35">
        <f>CHOOSE('1_PANEL_CONTROL'!$C$4, BW14, BW34, BW54)</f>
        <v>9571</v>
      </c>
      <c r="BX74" s="35">
        <f>CHOOSE('1_PANEL_CONTROL'!$C$4, BX14, BX34, BX54)</f>
        <v>10337</v>
      </c>
      <c r="BY74" s="35">
        <f>CHOOSE('1_PANEL_CONTROL'!$C$4, BY14, BY34, BY54)</f>
        <v>11164</v>
      </c>
      <c r="BZ74" s="35">
        <f>CHOOSE('1_PANEL_CONTROL'!$C$4, BZ14, BZ34, BZ54)</f>
        <v>12057</v>
      </c>
      <c r="CA74" s="35">
        <f>CHOOSE('1_PANEL_CONTROL'!$C$4, CA14, CA34, CA54)</f>
        <v>13022</v>
      </c>
      <c r="CB74" s="35">
        <f>CHOOSE('1_PANEL_CONTROL'!$C$4, CB14, CB34, CB54)</f>
        <v>14063</v>
      </c>
      <c r="CC74" s="35">
        <f>CHOOSE('1_PANEL_CONTROL'!$C$4, CC14, CC34, CC54)</f>
        <v>15188</v>
      </c>
      <c r="CD74" s="35">
        <f>CHOOSE('1_PANEL_CONTROL'!$C$4, CD14, CD34, CD54)</f>
        <v>16404</v>
      </c>
      <c r="CE74" s="35">
        <f>CHOOSE('1_PANEL_CONTROL'!$C$4, CE14, CE34, CE54)</f>
        <v>17716</v>
      </c>
      <c r="CF74" s="35">
        <f>CHOOSE('1_PANEL_CONTROL'!$C$4, CF14, CF34, CF54)</f>
        <v>19133</v>
      </c>
      <c r="CG74" s="35">
        <f>CHOOSE('1_PANEL_CONTROL'!$C$4, CG14, CG34, CG54)</f>
        <v>20664</v>
      </c>
      <c r="CH74" s="35">
        <f>CHOOSE('1_PANEL_CONTROL'!$C$4, CH14, CH34, CH54)</f>
        <v>22317</v>
      </c>
      <c r="CI74" s="35">
        <f>CHOOSE('1_PANEL_CONTROL'!$C$4, CI14, CI34, CI54)</f>
        <v>24102</v>
      </c>
    </row>
    <row r="75" spans="1:87" ht="16.5">
      <c r="A75" s="5" t="s">
        <v>464</v>
      </c>
      <c r="B75" s="30" t="s">
        <v>465</v>
      </c>
      <c r="C75" s="17" t="s">
        <v>504</v>
      </c>
      <c r="D75" s="36">
        <f>CHOOSE('1_PANEL_CONTROL'!$C$4, D15, D35, D55)</f>
        <v>2955</v>
      </c>
      <c r="E75" s="36">
        <f>CHOOSE('1_PANEL_CONTROL'!$C$4, E15, E35, E55)</f>
        <v>2955</v>
      </c>
      <c r="F75" s="36">
        <f>CHOOSE('1_PANEL_CONTROL'!$C$4, F15, F35, F55)</f>
        <v>2955</v>
      </c>
      <c r="G75" s="36">
        <f>CHOOSE('1_PANEL_CONTROL'!$C$4, G15, G35, G55)</f>
        <v>2955</v>
      </c>
      <c r="H75" s="36">
        <f>CHOOSE('1_PANEL_CONTROL'!$C$4, H15, H35, H55)</f>
        <v>2955</v>
      </c>
      <c r="I75" s="36">
        <f>CHOOSE('1_PANEL_CONTROL'!$C$4, I15, I35, I55)</f>
        <v>2955</v>
      </c>
      <c r="J75" s="36">
        <f>CHOOSE('1_PANEL_CONTROL'!$C$4, J15, J35, J55)</f>
        <v>2955</v>
      </c>
      <c r="K75" s="36">
        <f>CHOOSE('1_PANEL_CONTROL'!$C$4, K15, K35, K55)</f>
        <v>2955</v>
      </c>
      <c r="L75" s="36">
        <f>CHOOSE('1_PANEL_CONTROL'!$C$4, L15, L35, L55)</f>
        <v>2955</v>
      </c>
      <c r="M75" s="36">
        <f>CHOOSE('1_PANEL_CONTROL'!$C$4, M15, M35, M55)</f>
        <v>2955</v>
      </c>
      <c r="N75" s="36">
        <f>CHOOSE('1_PANEL_CONTROL'!$C$4, N15, N35, N55)</f>
        <v>2955</v>
      </c>
      <c r="O75" s="36">
        <f>CHOOSE('1_PANEL_CONTROL'!$C$4, O15, O35, O55)</f>
        <v>2955</v>
      </c>
      <c r="P75" s="36">
        <f>CHOOSE('1_PANEL_CONTROL'!$C$4, P15, P35, P55)</f>
        <v>2955</v>
      </c>
      <c r="Q75" s="36">
        <f>CHOOSE('1_PANEL_CONTROL'!$C$4, Q15, Q35, Q55)</f>
        <v>2955</v>
      </c>
      <c r="R75" s="36">
        <f>CHOOSE('1_PANEL_CONTROL'!$C$4, R15, R35, R55)</f>
        <v>2955</v>
      </c>
      <c r="S75" s="36">
        <f>CHOOSE('1_PANEL_CONTROL'!$C$4, S15, S35, S55)</f>
        <v>2955</v>
      </c>
      <c r="T75" s="36">
        <f>CHOOSE('1_PANEL_CONTROL'!$C$4, T15, T35, T55)</f>
        <v>2955</v>
      </c>
      <c r="U75" s="36">
        <f>CHOOSE('1_PANEL_CONTROL'!$C$4, U15, U35, U55)</f>
        <v>2955</v>
      </c>
      <c r="V75" s="36">
        <f>CHOOSE('1_PANEL_CONTROL'!$C$4, V15, V35, V55)</f>
        <v>2955</v>
      </c>
      <c r="W75" s="36">
        <f>CHOOSE('1_PANEL_CONTROL'!$C$4, W15, W35, W55)</f>
        <v>2955</v>
      </c>
      <c r="X75" s="36">
        <f>CHOOSE('1_PANEL_CONTROL'!$C$4, X15, X35, X55)</f>
        <v>2955</v>
      </c>
      <c r="Y75" s="36">
        <f>CHOOSE('1_PANEL_CONTROL'!$C$4, Y15, Y35, Y55)</f>
        <v>2955</v>
      </c>
      <c r="Z75" s="36">
        <f>CHOOSE('1_PANEL_CONTROL'!$C$4, Z15, Z35, Z55)</f>
        <v>2955</v>
      </c>
      <c r="AA75" s="36">
        <f>CHOOSE('1_PANEL_CONTROL'!$C$4, AA15, AA35, AA55)</f>
        <v>2955</v>
      </c>
      <c r="AB75" s="36">
        <f>CHOOSE('1_PANEL_CONTROL'!$C$4, AB15, AB35, AB55)</f>
        <v>2955</v>
      </c>
      <c r="AC75" s="36">
        <f>CHOOSE('1_PANEL_CONTROL'!$C$4, AC15, AC35, AC55)</f>
        <v>2955</v>
      </c>
      <c r="AD75" s="36">
        <f>CHOOSE('1_PANEL_CONTROL'!$C$4, AD15, AD35, AD55)</f>
        <v>2955</v>
      </c>
      <c r="AE75" s="36">
        <f>CHOOSE('1_PANEL_CONTROL'!$C$4, AE15, AE35, AE55)</f>
        <v>2955</v>
      </c>
      <c r="AF75" s="36">
        <f>CHOOSE('1_PANEL_CONTROL'!$C$4, AF15, AF35, AF55)</f>
        <v>2955</v>
      </c>
      <c r="AG75" s="36">
        <f>CHOOSE('1_PANEL_CONTROL'!$C$4, AG15, AG35, AG55)</f>
        <v>2955</v>
      </c>
      <c r="AH75" s="36">
        <f>CHOOSE('1_PANEL_CONTROL'!$C$4, AH15, AH35, AH55)</f>
        <v>2955</v>
      </c>
      <c r="AI75" s="36">
        <f>CHOOSE('1_PANEL_CONTROL'!$C$4, AI15, AI35, AI55)</f>
        <v>2955</v>
      </c>
      <c r="AJ75" s="36">
        <f>CHOOSE('1_PANEL_CONTROL'!$C$4, AJ15, AJ35, AJ55)</f>
        <v>2955</v>
      </c>
      <c r="AK75" s="36">
        <f>CHOOSE('1_PANEL_CONTROL'!$C$4, AK15, AK35, AK55)</f>
        <v>2955</v>
      </c>
      <c r="AL75" s="36">
        <f>CHOOSE('1_PANEL_CONTROL'!$C$4, AL15, AL35, AL55)</f>
        <v>2955</v>
      </c>
      <c r="AM75" s="36">
        <f>CHOOSE('1_PANEL_CONTROL'!$C$4, AM15, AM35, AM55)</f>
        <v>2955</v>
      </c>
      <c r="AN75" s="36">
        <f>CHOOSE('1_PANEL_CONTROL'!$C$4, AN15, AN35, AN55)</f>
        <v>2955</v>
      </c>
      <c r="AO75" s="36">
        <f>CHOOSE('1_PANEL_CONTROL'!$C$4, AO15, AO35, AO55)</f>
        <v>2955</v>
      </c>
      <c r="AP75" s="36">
        <f>CHOOSE('1_PANEL_CONTROL'!$C$4, AP15, AP35, AP55)</f>
        <v>2955</v>
      </c>
      <c r="AQ75" s="36">
        <f>CHOOSE('1_PANEL_CONTROL'!$C$4, AQ15, AQ35, AQ55)</f>
        <v>2955</v>
      </c>
      <c r="AR75" s="36">
        <f>CHOOSE('1_PANEL_CONTROL'!$C$4, AR15, AR35, AR55)</f>
        <v>2955</v>
      </c>
      <c r="AS75" s="36">
        <f>CHOOSE('1_PANEL_CONTROL'!$C$4, AS15, AS35, AS55)</f>
        <v>2955</v>
      </c>
      <c r="AT75" s="36">
        <f>CHOOSE('1_PANEL_CONTROL'!$C$4, AT15, AT35, AT55)</f>
        <v>2955</v>
      </c>
      <c r="AU75" s="36">
        <f>CHOOSE('1_PANEL_CONTROL'!$C$4, AU15, AU35, AU55)</f>
        <v>2955</v>
      </c>
      <c r="AV75" s="36">
        <f>CHOOSE('1_PANEL_CONTROL'!$C$4, AV15, AV35, AV55)</f>
        <v>2955</v>
      </c>
      <c r="AW75" s="36">
        <f>CHOOSE('1_PANEL_CONTROL'!$C$4, AW15, AW35, AW55)</f>
        <v>2955</v>
      </c>
      <c r="AX75" s="36">
        <f>CHOOSE('1_PANEL_CONTROL'!$C$4, AX15, AX35, AX55)</f>
        <v>2955</v>
      </c>
      <c r="AY75" s="36">
        <f>CHOOSE('1_PANEL_CONTROL'!$C$4, AY15, AY35, AY55)</f>
        <v>2955</v>
      </c>
      <c r="AZ75" s="36">
        <f>CHOOSE('1_PANEL_CONTROL'!$C$4, AZ15, AZ35, AZ55)</f>
        <v>2955</v>
      </c>
      <c r="BA75" s="36">
        <f>CHOOSE('1_PANEL_CONTROL'!$C$4, BA15, BA35, BA55)</f>
        <v>2955</v>
      </c>
      <c r="BB75" s="36">
        <f>CHOOSE('1_PANEL_CONTROL'!$C$4, BB15, BB35, BB55)</f>
        <v>2955</v>
      </c>
      <c r="BC75" s="36">
        <f>CHOOSE('1_PANEL_CONTROL'!$C$4, BC15, BC35, BC55)</f>
        <v>2955</v>
      </c>
      <c r="BD75" s="36">
        <f>CHOOSE('1_PANEL_CONTROL'!$C$4, BD15, BD35, BD55)</f>
        <v>2955</v>
      </c>
      <c r="BE75" s="36">
        <f>CHOOSE('1_PANEL_CONTROL'!$C$4, BE15, BE35, BE55)</f>
        <v>2955</v>
      </c>
      <c r="BF75" s="36">
        <f>CHOOSE('1_PANEL_CONTROL'!$C$4, BF15, BF35, BF55)</f>
        <v>2955</v>
      </c>
      <c r="BG75" s="36">
        <f>CHOOSE('1_PANEL_CONTROL'!$C$4, BG15, BG35, BG55)</f>
        <v>2955</v>
      </c>
      <c r="BH75" s="36">
        <f>CHOOSE('1_PANEL_CONTROL'!$C$4, BH15, BH35, BH55)</f>
        <v>2955</v>
      </c>
      <c r="BI75" s="36">
        <f>CHOOSE('1_PANEL_CONTROL'!$C$4, BI15, BI35, BI55)</f>
        <v>2955</v>
      </c>
      <c r="BJ75" s="36">
        <f>CHOOSE('1_PANEL_CONTROL'!$C$4, BJ15, BJ35, BJ55)</f>
        <v>2955</v>
      </c>
      <c r="BK75" s="36">
        <f>CHOOSE('1_PANEL_CONTROL'!$C$4, BK15, BK35, BK55)</f>
        <v>2955</v>
      </c>
      <c r="BL75" s="36">
        <f>CHOOSE('1_PANEL_CONTROL'!$C$4, BL15, BL35, BL55)</f>
        <v>2955</v>
      </c>
      <c r="BM75" s="36">
        <f>CHOOSE('1_PANEL_CONTROL'!$C$4, BM15, BM35, BM55)</f>
        <v>2955</v>
      </c>
      <c r="BN75" s="36">
        <f>CHOOSE('1_PANEL_CONTROL'!$C$4, BN15, BN35, BN55)</f>
        <v>2955</v>
      </c>
      <c r="BO75" s="36">
        <f>CHOOSE('1_PANEL_CONTROL'!$C$4, BO15, BO35, BO55)</f>
        <v>2955</v>
      </c>
      <c r="BP75" s="36">
        <f>CHOOSE('1_PANEL_CONTROL'!$C$4, BP15, BP35, BP55)</f>
        <v>2955</v>
      </c>
      <c r="BQ75" s="36">
        <f>CHOOSE('1_PANEL_CONTROL'!$C$4, BQ15, BQ35, BQ55)</f>
        <v>2955</v>
      </c>
      <c r="BR75" s="36">
        <f>CHOOSE('1_PANEL_CONTROL'!$C$4, BR15, BR35, BR55)</f>
        <v>2955</v>
      </c>
      <c r="BS75" s="36">
        <f>CHOOSE('1_PANEL_CONTROL'!$C$4, BS15, BS35, BS55)</f>
        <v>2955</v>
      </c>
      <c r="BT75" s="36">
        <f>CHOOSE('1_PANEL_CONTROL'!$C$4, BT15, BT35, BT55)</f>
        <v>2955</v>
      </c>
      <c r="BU75" s="36">
        <f>CHOOSE('1_PANEL_CONTROL'!$C$4, BU15, BU35, BU55)</f>
        <v>2955</v>
      </c>
      <c r="BV75" s="36">
        <f>CHOOSE('1_PANEL_CONTROL'!$C$4, BV15, BV35, BV55)</f>
        <v>2955</v>
      </c>
      <c r="BW75" s="36">
        <f>CHOOSE('1_PANEL_CONTROL'!$C$4, BW15, BW35, BW55)</f>
        <v>2955</v>
      </c>
      <c r="BX75" s="36">
        <f>CHOOSE('1_PANEL_CONTROL'!$C$4, BX15, BX35, BX55)</f>
        <v>2955</v>
      </c>
      <c r="BY75" s="36">
        <f>CHOOSE('1_PANEL_CONTROL'!$C$4, BY15, BY35, BY55)</f>
        <v>2955</v>
      </c>
      <c r="BZ75" s="36">
        <f>CHOOSE('1_PANEL_CONTROL'!$C$4, BZ15, BZ35, BZ55)</f>
        <v>2955</v>
      </c>
      <c r="CA75" s="36">
        <f>CHOOSE('1_PANEL_CONTROL'!$C$4, CA15, CA35, CA55)</f>
        <v>2955</v>
      </c>
      <c r="CB75" s="36">
        <f>CHOOSE('1_PANEL_CONTROL'!$C$4, CB15, CB35, CB55)</f>
        <v>2955</v>
      </c>
      <c r="CC75" s="36">
        <f>CHOOSE('1_PANEL_CONTROL'!$C$4, CC15, CC35, CC55)</f>
        <v>2955</v>
      </c>
      <c r="CD75" s="36">
        <f>CHOOSE('1_PANEL_CONTROL'!$C$4, CD15, CD35, CD55)</f>
        <v>2955</v>
      </c>
      <c r="CE75" s="36">
        <f>CHOOSE('1_PANEL_CONTROL'!$C$4, CE15, CE35, CE55)</f>
        <v>2955</v>
      </c>
      <c r="CF75" s="36">
        <f>CHOOSE('1_PANEL_CONTROL'!$C$4, CF15, CF35, CF55)</f>
        <v>2955</v>
      </c>
      <c r="CG75" s="36">
        <f>CHOOSE('1_PANEL_CONTROL'!$C$4, CG15, CG35, CG55)</f>
        <v>2955</v>
      </c>
      <c r="CH75" s="36">
        <f>CHOOSE('1_PANEL_CONTROL'!$C$4, CH15, CH35, CH55)</f>
        <v>2955</v>
      </c>
      <c r="CI75" s="36">
        <f>CHOOSE('1_PANEL_CONTROL'!$C$4, CI15, CI35, CI55)</f>
        <v>2955</v>
      </c>
    </row>
    <row r="76" spans="1:87" ht="16.5">
      <c r="A76" s="5" t="s">
        <v>467</v>
      </c>
      <c r="B76" s="30" t="s">
        <v>465</v>
      </c>
      <c r="C76" s="17" t="s">
        <v>504</v>
      </c>
      <c r="D76" s="36">
        <f>CHOOSE('1_PANEL_CONTROL'!$C$4, D16, D36, D56)</f>
        <v>11</v>
      </c>
      <c r="E76" s="36">
        <f>CHOOSE('1_PANEL_CONTROL'!$C$4, E16, E36, E56)</f>
        <v>11</v>
      </c>
      <c r="F76" s="36">
        <f>CHOOSE('1_PANEL_CONTROL'!$C$4, F16, F36, F56)</f>
        <v>11</v>
      </c>
      <c r="G76" s="36">
        <f>CHOOSE('1_PANEL_CONTROL'!$C$4, G16, G36, G56)</f>
        <v>11</v>
      </c>
      <c r="H76" s="36">
        <f>CHOOSE('1_PANEL_CONTROL'!$C$4, H16, H36, H56)</f>
        <v>11</v>
      </c>
      <c r="I76" s="36">
        <f>CHOOSE('1_PANEL_CONTROL'!$C$4, I16, I36, I56)</f>
        <v>11</v>
      </c>
      <c r="J76" s="36">
        <f>CHOOSE('1_PANEL_CONTROL'!$C$4, J16, J36, J56)</f>
        <v>11</v>
      </c>
      <c r="K76" s="36">
        <f>CHOOSE('1_PANEL_CONTROL'!$C$4, K16, K36, K56)</f>
        <v>11</v>
      </c>
      <c r="L76" s="36">
        <f>CHOOSE('1_PANEL_CONTROL'!$C$4, L16, L36, L56)</f>
        <v>11</v>
      </c>
      <c r="M76" s="36">
        <f>CHOOSE('1_PANEL_CONTROL'!$C$4, M16, M36, M56)</f>
        <v>11</v>
      </c>
      <c r="N76" s="36">
        <f>CHOOSE('1_PANEL_CONTROL'!$C$4, N16, N36, N56)</f>
        <v>11</v>
      </c>
      <c r="O76" s="36">
        <f>CHOOSE('1_PANEL_CONTROL'!$C$4, O16, O36, O56)</f>
        <v>11</v>
      </c>
      <c r="P76" s="36">
        <f>CHOOSE('1_PANEL_CONTROL'!$C$4, P16, P36, P56)</f>
        <v>11</v>
      </c>
      <c r="Q76" s="36">
        <f>CHOOSE('1_PANEL_CONTROL'!$C$4, Q16, Q36, Q56)</f>
        <v>11</v>
      </c>
      <c r="R76" s="36">
        <f>CHOOSE('1_PANEL_CONTROL'!$C$4, R16, R36, R56)</f>
        <v>11</v>
      </c>
      <c r="S76" s="36">
        <f>CHOOSE('1_PANEL_CONTROL'!$C$4, S16, S36, S56)</f>
        <v>11</v>
      </c>
      <c r="T76" s="36">
        <f>CHOOSE('1_PANEL_CONTROL'!$C$4, T16, T36, T56)</f>
        <v>11</v>
      </c>
      <c r="U76" s="36">
        <f>CHOOSE('1_PANEL_CONTROL'!$C$4, U16, U36, U56)</f>
        <v>11</v>
      </c>
      <c r="V76" s="36">
        <f>CHOOSE('1_PANEL_CONTROL'!$C$4, V16, V36, V56)</f>
        <v>11</v>
      </c>
      <c r="W76" s="36">
        <f>CHOOSE('1_PANEL_CONTROL'!$C$4, W16, W36, W56)</f>
        <v>11</v>
      </c>
      <c r="X76" s="36">
        <f>CHOOSE('1_PANEL_CONTROL'!$C$4, X16, X36, X56)</f>
        <v>11</v>
      </c>
      <c r="Y76" s="36">
        <f>CHOOSE('1_PANEL_CONTROL'!$C$4, Y16, Y36, Y56)</f>
        <v>11</v>
      </c>
      <c r="Z76" s="36">
        <f>CHOOSE('1_PANEL_CONTROL'!$C$4, Z16, Z36, Z56)</f>
        <v>11</v>
      </c>
      <c r="AA76" s="36">
        <f>CHOOSE('1_PANEL_CONTROL'!$C$4, AA16, AA36, AA56)</f>
        <v>11</v>
      </c>
      <c r="AB76" s="36">
        <f>CHOOSE('1_PANEL_CONTROL'!$C$4, AB16, AB36, AB56)</f>
        <v>11</v>
      </c>
      <c r="AC76" s="36">
        <f>CHOOSE('1_PANEL_CONTROL'!$C$4, AC16, AC36, AC56)</f>
        <v>11</v>
      </c>
      <c r="AD76" s="36">
        <f>CHOOSE('1_PANEL_CONTROL'!$C$4, AD16, AD36, AD56)</f>
        <v>11</v>
      </c>
      <c r="AE76" s="36">
        <f>CHOOSE('1_PANEL_CONTROL'!$C$4, AE16, AE36, AE56)</f>
        <v>11</v>
      </c>
      <c r="AF76" s="36">
        <f>CHOOSE('1_PANEL_CONTROL'!$C$4, AF16, AF36, AF56)</f>
        <v>11</v>
      </c>
      <c r="AG76" s="36">
        <f>CHOOSE('1_PANEL_CONTROL'!$C$4, AG16, AG36, AG56)</f>
        <v>11</v>
      </c>
      <c r="AH76" s="36">
        <f>CHOOSE('1_PANEL_CONTROL'!$C$4, AH16, AH36, AH56)</f>
        <v>11</v>
      </c>
      <c r="AI76" s="36">
        <f>CHOOSE('1_PANEL_CONTROL'!$C$4, AI16, AI36, AI56)</f>
        <v>11</v>
      </c>
      <c r="AJ76" s="36">
        <f>CHOOSE('1_PANEL_CONTROL'!$C$4, AJ16, AJ36, AJ56)</f>
        <v>11</v>
      </c>
      <c r="AK76" s="36">
        <f>CHOOSE('1_PANEL_CONTROL'!$C$4, AK16, AK36, AK56)</f>
        <v>11</v>
      </c>
      <c r="AL76" s="36">
        <f>CHOOSE('1_PANEL_CONTROL'!$C$4, AL16, AL36, AL56)</f>
        <v>11</v>
      </c>
      <c r="AM76" s="36">
        <f>CHOOSE('1_PANEL_CONTROL'!$C$4, AM16, AM36, AM56)</f>
        <v>11</v>
      </c>
      <c r="AN76" s="36">
        <f>CHOOSE('1_PANEL_CONTROL'!$C$4, AN16, AN36, AN56)</f>
        <v>11</v>
      </c>
      <c r="AO76" s="36">
        <f>CHOOSE('1_PANEL_CONTROL'!$C$4, AO16, AO36, AO56)</f>
        <v>11</v>
      </c>
      <c r="AP76" s="36">
        <f>CHOOSE('1_PANEL_CONTROL'!$C$4, AP16, AP36, AP56)</f>
        <v>11</v>
      </c>
      <c r="AQ76" s="36">
        <f>CHOOSE('1_PANEL_CONTROL'!$C$4, AQ16, AQ36, AQ56)</f>
        <v>11</v>
      </c>
      <c r="AR76" s="36">
        <f>CHOOSE('1_PANEL_CONTROL'!$C$4, AR16, AR36, AR56)</f>
        <v>11</v>
      </c>
      <c r="AS76" s="36">
        <f>CHOOSE('1_PANEL_CONTROL'!$C$4, AS16, AS36, AS56)</f>
        <v>11</v>
      </c>
      <c r="AT76" s="36">
        <f>CHOOSE('1_PANEL_CONTROL'!$C$4, AT16, AT36, AT56)</f>
        <v>11</v>
      </c>
      <c r="AU76" s="36">
        <f>CHOOSE('1_PANEL_CONTROL'!$C$4, AU16, AU36, AU56)</f>
        <v>11</v>
      </c>
      <c r="AV76" s="36">
        <f>CHOOSE('1_PANEL_CONTROL'!$C$4, AV16, AV36, AV56)</f>
        <v>11</v>
      </c>
      <c r="AW76" s="36">
        <f>CHOOSE('1_PANEL_CONTROL'!$C$4, AW16, AW36, AW56)</f>
        <v>11</v>
      </c>
      <c r="AX76" s="36">
        <f>CHOOSE('1_PANEL_CONTROL'!$C$4, AX16, AX36, AX56)</f>
        <v>11</v>
      </c>
      <c r="AY76" s="36">
        <f>CHOOSE('1_PANEL_CONTROL'!$C$4, AY16, AY36, AY56)</f>
        <v>11</v>
      </c>
      <c r="AZ76" s="36">
        <f>CHOOSE('1_PANEL_CONTROL'!$C$4, AZ16, AZ36, AZ56)</f>
        <v>11</v>
      </c>
      <c r="BA76" s="36">
        <f>CHOOSE('1_PANEL_CONTROL'!$C$4, BA16, BA36, BA56)</f>
        <v>11</v>
      </c>
      <c r="BB76" s="36">
        <f>CHOOSE('1_PANEL_CONTROL'!$C$4, BB16, BB36, BB56)</f>
        <v>11</v>
      </c>
      <c r="BC76" s="36">
        <f>CHOOSE('1_PANEL_CONTROL'!$C$4, BC16, BC36, BC56)</f>
        <v>11</v>
      </c>
      <c r="BD76" s="36">
        <f>CHOOSE('1_PANEL_CONTROL'!$C$4, BD16, BD36, BD56)</f>
        <v>11</v>
      </c>
      <c r="BE76" s="36">
        <f>CHOOSE('1_PANEL_CONTROL'!$C$4, BE16, BE36, BE56)</f>
        <v>11</v>
      </c>
      <c r="BF76" s="36">
        <f>CHOOSE('1_PANEL_CONTROL'!$C$4, BF16, BF36, BF56)</f>
        <v>11</v>
      </c>
      <c r="BG76" s="36">
        <f>CHOOSE('1_PANEL_CONTROL'!$C$4, BG16, BG36, BG56)</f>
        <v>11</v>
      </c>
      <c r="BH76" s="36">
        <f>CHOOSE('1_PANEL_CONTROL'!$C$4, BH16, BH36, BH56)</f>
        <v>11</v>
      </c>
      <c r="BI76" s="36">
        <f>CHOOSE('1_PANEL_CONTROL'!$C$4, BI16, BI36, BI56)</f>
        <v>11</v>
      </c>
      <c r="BJ76" s="36">
        <f>CHOOSE('1_PANEL_CONTROL'!$C$4, BJ16, BJ36, BJ56)</f>
        <v>11</v>
      </c>
      <c r="BK76" s="36">
        <f>CHOOSE('1_PANEL_CONTROL'!$C$4, BK16, BK36, BK56)</f>
        <v>11</v>
      </c>
      <c r="BL76" s="36">
        <f>CHOOSE('1_PANEL_CONTROL'!$C$4, BL16, BL36, BL56)</f>
        <v>11</v>
      </c>
      <c r="BM76" s="36">
        <f>CHOOSE('1_PANEL_CONTROL'!$C$4, BM16, BM36, BM56)</f>
        <v>11</v>
      </c>
      <c r="BN76" s="36">
        <f>CHOOSE('1_PANEL_CONTROL'!$C$4, BN16, BN36, BN56)</f>
        <v>11</v>
      </c>
      <c r="BO76" s="36">
        <f>CHOOSE('1_PANEL_CONTROL'!$C$4, BO16, BO36, BO56)</f>
        <v>11</v>
      </c>
      <c r="BP76" s="36">
        <f>CHOOSE('1_PANEL_CONTROL'!$C$4, BP16, BP36, BP56)</f>
        <v>11</v>
      </c>
      <c r="BQ76" s="36">
        <f>CHOOSE('1_PANEL_CONTROL'!$C$4, BQ16, BQ36, BQ56)</f>
        <v>11</v>
      </c>
      <c r="BR76" s="36">
        <f>CHOOSE('1_PANEL_CONTROL'!$C$4, BR16, BR36, BR56)</f>
        <v>11</v>
      </c>
      <c r="BS76" s="36">
        <f>CHOOSE('1_PANEL_CONTROL'!$C$4, BS16, BS36, BS56)</f>
        <v>11</v>
      </c>
      <c r="BT76" s="36">
        <f>CHOOSE('1_PANEL_CONTROL'!$C$4, BT16, BT36, BT56)</f>
        <v>11</v>
      </c>
      <c r="BU76" s="36">
        <f>CHOOSE('1_PANEL_CONTROL'!$C$4, BU16, BU36, BU56)</f>
        <v>11</v>
      </c>
      <c r="BV76" s="36">
        <f>CHOOSE('1_PANEL_CONTROL'!$C$4, BV16, BV36, BV56)</f>
        <v>11</v>
      </c>
      <c r="BW76" s="36">
        <f>CHOOSE('1_PANEL_CONTROL'!$C$4, BW16, BW36, BW56)</f>
        <v>11</v>
      </c>
      <c r="BX76" s="36">
        <f>CHOOSE('1_PANEL_CONTROL'!$C$4, BX16, BX36, BX56)</f>
        <v>11</v>
      </c>
      <c r="BY76" s="36">
        <f>CHOOSE('1_PANEL_CONTROL'!$C$4, BY16, BY36, BY56)</f>
        <v>11</v>
      </c>
      <c r="BZ76" s="36">
        <f>CHOOSE('1_PANEL_CONTROL'!$C$4, BZ16, BZ36, BZ56)</f>
        <v>11</v>
      </c>
      <c r="CA76" s="36">
        <f>CHOOSE('1_PANEL_CONTROL'!$C$4, CA16, CA36, CA56)</f>
        <v>11</v>
      </c>
      <c r="CB76" s="36">
        <f>CHOOSE('1_PANEL_CONTROL'!$C$4, CB16, CB36, CB56)</f>
        <v>11</v>
      </c>
      <c r="CC76" s="36">
        <f>CHOOSE('1_PANEL_CONTROL'!$C$4, CC16, CC36, CC56)</f>
        <v>11</v>
      </c>
      <c r="CD76" s="36">
        <f>CHOOSE('1_PANEL_CONTROL'!$C$4, CD16, CD36, CD56)</f>
        <v>11</v>
      </c>
      <c r="CE76" s="36">
        <f>CHOOSE('1_PANEL_CONTROL'!$C$4, CE16, CE36, CE56)</f>
        <v>11</v>
      </c>
      <c r="CF76" s="36">
        <f>CHOOSE('1_PANEL_CONTROL'!$C$4, CF16, CF36, CF56)</f>
        <v>11</v>
      </c>
      <c r="CG76" s="36">
        <f>CHOOSE('1_PANEL_CONTROL'!$C$4, CG16, CG36, CG56)</f>
        <v>11</v>
      </c>
      <c r="CH76" s="36">
        <f>CHOOSE('1_PANEL_CONTROL'!$C$4, CH16, CH36, CH56)</f>
        <v>11</v>
      </c>
      <c r="CI76" s="36">
        <f>CHOOSE('1_PANEL_CONTROL'!$C$4, CI16, CI36, CI56)</f>
        <v>11</v>
      </c>
    </row>
    <row r="77" spans="1:87" ht="16.5">
      <c r="A77" s="5" t="s">
        <v>469</v>
      </c>
      <c r="B77" s="30" t="s">
        <v>458</v>
      </c>
      <c r="C77" s="17" t="s">
        <v>504</v>
      </c>
      <c r="D77" s="35">
        <f>CHOOSE('1_PANEL_CONTROL'!$C$4, D17, D37, D57)</f>
        <v>269</v>
      </c>
      <c r="E77" s="35">
        <f>CHOOSE('1_PANEL_CONTROL'!$C$4, E17, E37, E57)</f>
        <v>269</v>
      </c>
      <c r="F77" s="35">
        <f>CHOOSE('1_PANEL_CONTROL'!$C$4, F17, F37, F57)</f>
        <v>269</v>
      </c>
      <c r="G77" s="35">
        <f>CHOOSE('1_PANEL_CONTROL'!$C$4, G17, G37, G57)</f>
        <v>269</v>
      </c>
      <c r="H77" s="35">
        <f>CHOOSE('1_PANEL_CONTROL'!$C$4, H17, H37, H57)</f>
        <v>269</v>
      </c>
      <c r="I77" s="35">
        <f>CHOOSE('1_PANEL_CONTROL'!$C$4, I17, I37, I57)</f>
        <v>269</v>
      </c>
      <c r="J77" s="35">
        <f>CHOOSE('1_PANEL_CONTROL'!$C$4, J17, J37, J57)</f>
        <v>269</v>
      </c>
      <c r="K77" s="35">
        <f>CHOOSE('1_PANEL_CONTROL'!$C$4, K17, K37, K57)</f>
        <v>269</v>
      </c>
      <c r="L77" s="35">
        <f>CHOOSE('1_PANEL_CONTROL'!$C$4, L17, L37, L57)</f>
        <v>269</v>
      </c>
      <c r="M77" s="35">
        <f>CHOOSE('1_PANEL_CONTROL'!$C$4, M17, M37, M57)</f>
        <v>269</v>
      </c>
      <c r="N77" s="35">
        <f>CHOOSE('1_PANEL_CONTROL'!$C$4, N17, N37, N57)</f>
        <v>269</v>
      </c>
      <c r="O77" s="35">
        <f>CHOOSE('1_PANEL_CONTROL'!$C$4, O17, O37, O57)</f>
        <v>269</v>
      </c>
      <c r="P77" s="35">
        <f>CHOOSE('1_PANEL_CONTROL'!$C$4, P17, P37, P57)</f>
        <v>269</v>
      </c>
      <c r="Q77" s="35">
        <f>CHOOSE('1_PANEL_CONTROL'!$C$4, Q17, Q37, Q57)</f>
        <v>269</v>
      </c>
      <c r="R77" s="35">
        <f>CHOOSE('1_PANEL_CONTROL'!$C$4, R17, R37, R57)</f>
        <v>269</v>
      </c>
      <c r="S77" s="35">
        <f>CHOOSE('1_PANEL_CONTROL'!$C$4, S17, S37, S57)</f>
        <v>269</v>
      </c>
      <c r="T77" s="35">
        <f>CHOOSE('1_PANEL_CONTROL'!$C$4, T17, T37, T57)</f>
        <v>269</v>
      </c>
      <c r="U77" s="35">
        <f>CHOOSE('1_PANEL_CONTROL'!$C$4, U17, U37, U57)</f>
        <v>269</v>
      </c>
      <c r="V77" s="35">
        <f>CHOOSE('1_PANEL_CONTROL'!$C$4, V17, V37, V57)</f>
        <v>269</v>
      </c>
      <c r="W77" s="35">
        <f>CHOOSE('1_PANEL_CONTROL'!$C$4, W17, W37, W57)</f>
        <v>269</v>
      </c>
      <c r="X77" s="35">
        <f>CHOOSE('1_PANEL_CONTROL'!$C$4, X17, X37, X57)</f>
        <v>269</v>
      </c>
      <c r="Y77" s="35">
        <f>CHOOSE('1_PANEL_CONTROL'!$C$4, Y17, Y37, Y57)</f>
        <v>269</v>
      </c>
      <c r="Z77" s="35">
        <f>CHOOSE('1_PANEL_CONTROL'!$C$4, Z17, Z37, Z57)</f>
        <v>269</v>
      </c>
      <c r="AA77" s="35">
        <f>CHOOSE('1_PANEL_CONTROL'!$C$4, AA17, AA37, AA57)</f>
        <v>269</v>
      </c>
      <c r="AB77" s="35">
        <f>CHOOSE('1_PANEL_CONTROL'!$C$4, AB17, AB37, AB57)</f>
        <v>269</v>
      </c>
      <c r="AC77" s="35">
        <f>CHOOSE('1_PANEL_CONTROL'!$C$4, AC17, AC37, AC57)</f>
        <v>269</v>
      </c>
      <c r="AD77" s="35">
        <f>CHOOSE('1_PANEL_CONTROL'!$C$4, AD17, AD37, AD57)</f>
        <v>269</v>
      </c>
      <c r="AE77" s="35">
        <f>CHOOSE('1_PANEL_CONTROL'!$C$4, AE17, AE37, AE57)</f>
        <v>269</v>
      </c>
      <c r="AF77" s="35">
        <f>CHOOSE('1_PANEL_CONTROL'!$C$4, AF17, AF37, AF57)</f>
        <v>269</v>
      </c>
      <c r="AG77" s="35">
        <f>CHOOSE('1_PANEL_CONTROL'!$C$4, AG17, AG37, AG57)</f>
        <v>269</v>
      </c>
      <c r="AH77" s="35">
        <f>CHOOSE('1_PANEL_CONTROL'!$C$4, AH17, AH37, AH57)</f>
        <v>269</v>
      </c>
      <c r="AI77" s="35">
        <f>CHOOSE('1_PANEL_CONTROL'!$C$4, AI17, AI37, AI57)</f>
        <v>269</v>
      </c>
      <c r="AJ77" s="35">
        <f>CHOOSE('1_PANEL_CONTROL'!$C$4, AJ17, AJ37, AJ57)</f>
        <v>269</v>
      </c>
      <c r="AK77" s="35">
        <f>CHOOSE('1_PANEL_CONTROL'!$C$4, AK17, AK37, AK57)</f>
        <v>269</v>
      </c>
      <c r="AL77" s="35">
        <f>CHOOSE('1_PANEL_CONTROL'!$C$4, AL17, AL37, AL57)</f>
        <v>269</v>
      </c>
      <c r="AM77" s="35">
        <f>CHOOSE('1_PANEL_CONTROL'!$C$4, AM17, AM37, AM57)</f>
        <v>269</v>
      </c>
      <c r="AN77" s="35">
        <f>CHOOSE('1_PANEL_CONTROL'!$C$4, AN17, AN37, AN57)</f>
        <v>269</v>
      </c>
      <c r="AO77" s="35">
        <f>CHOOSE('1_PANEL_CONTROL'!$C$4, AO17, AO37, AO57)</f>
        <v>269</v>
      </c>
      <c r="AP77" s="35">
        <f>CHOOSE('1_PANEL_CONTROL'!$C$4, AP17, AP37, AP57)</f>
        <v>269</v>
      </c>
      <c r="AQ77" s="35">
        <f>CHOOSE('1_PANEL_CONTROL'!$C$4, AQ17, AQ37, AQ57)</f>
        <v>269</v>
      </c>
      <c r="AR77" s="35">
        <f>CHOOSE('1_PANEL_CONTROL'!$C$4, AR17, AR37, AR57)</f>
        <v>269</v>
      </c>
      <c r="AS77" s="35">
        <f>CHOOSE('1_PANEL_CONTROL'!$C$4, AS17, AS37, AS57)</f>
        <v>269</v>
      </c>
      <c r="AT77" s="35">
        <f>CHOOSE('1_PANEL_CONTROL'!$C$4, AT17, AT37, AT57)</f>
        <v>269</v>
      </c>
      <c r="AU77" s="35">
        <f>CHOOSE('1_PANEL_CONTROL'!$C$4, AU17, AU37, AU57)</f>
        <v>269</v>
      </c>
      <c r="AV77" s="35">
        <f>CHOOSE('1_PANEL_CONTROL'!$C$4, AV17, AV37, AV57)</f>
        <v>269</v>
      </c>
      <c r="AW77" s="35">
        <f>CHOOSE('1_PANEL_CONTROL'!$C$4, AW17, AW37, AW57)</f>
        <v>269</v>
      </c>
      <c r="AX77" s="35">
        <f>CHOOSE('1_PANEL_CONTROL'!$C$4, AX17, AX37, AX57)</f>
        <v>269</v>
      </c>
      <c r="AY77" s="35">
        <f>CHOOSE('1_PANEL_CONTROL'!$C$4, AY17, AY37, AY57)</f>
        <v>269</v>
      </c>
      <c r="AZ77" s="35">
        <f>CHOOSE('1_PANEL_CONTROL'!$C$4, AZ17, AZ37, AZ57)</f>
        <v>269</v>
      </c>
      <c r="BA77" s="35">
        <f>CHOOSE('1_PANEL_CONTROL'!$C$4, BA17, BA37, BA57)</f>
        <v>269</v>
      </c>
      <c r="BB77" s="35">
        <f>CHOOSE('1_PANEL_CONTROL'!$C$4, BB17, BB37, BB57)</f>
        <v>269</v>
      </c>
      <c r="BC77" s="35">
        <f>CHOOSE('1_PANEL_CONTROL'!$C$4, BC17, BC37, BC57)</f>
        <v>269</v>
      </c>
      <c r="BD77" s="35">
        <f>CHOOSE('1_PANEL_CONTROL'!$C$4, BD17, BD37, BD57)</f>
        <v>269</v>
      </c>
      <c r="BE77" s="35">
        <f>CHOOSE('1_PANEL_CONTROL'!$C$4, BE17, BE37, BE57)</f>
        <v>269</v>
      </c>
      <c r="BF77" s="35">
        <f>CHOOSE('1_PANEL_CONTROL'!$C$4, BF17, BF37, BF57)</f>
        <v>269</v>
      </c>
      <c r="BG77" s="35">
        <f>CHOOSE('1_PANEL_CONTROL'!$C$4, BG17, BG37, BG57)</f>
        <v>269</v>
      </c>
      <c r="BH77" s="35">
        <f>CHOOSE('1_PANEL_CONTROL'!$C$4, BH17, BH37, BH57)</f>
        <v>269</v>
      </c>
      <c r="BI77" s="35">
        <f>CHOOSE('1_PANEL_CONTROL'!$C$4, BI17, BI37, BI57)</f>
        <v>269</v>
      </c>
      <c r="BJ77" s="35">
        <f>CHOOSE('1_PANEL_CONTROL'!$C$4, BJ17, BJ37, BJ57)</f>
        <v>269</v>
      </c>
      <c r="BK77" s="35">
        <f>CHOOSE('1_PANEL_CONTROL'!$C$4, BK17, BK37, BK57)</f>
        <v>269</v>
      </c>
      <c r="BL77" s="35">
        <f>CHOOSE('1_PANEL_CONTROL'!$C$4, BL17, BL37, BL57)</f>
        <v>269</v>
      </c>
      <c r="BM77" s="35">
        <f>CHOOSE('1_PANEL_CONTROL'!$C$4, BM17, BM37, BM57)</f>
        <v>269</v>
      </c>
      <c r="BN77" s="35">
        <f>CHOOSE('1_PANEL_CONTROL'!$C$4, BN17, BN37, BN57)</f>
        <v>269</v>
      </c>
      <c r="BO77" s="35">
        <f>CHOOSE('1_PANEL_CONTROL'!$C$4, BO17, BO37, BO57)</f>
        <v>269</v>
      </c>
      <c r="BP77" s="35">
        <f>CHOOSE('1_PANEL_CONTROL'!$C$4, BP17, BP37, BP57)</f>
        <v>269</v>
      </c>
      <c r="BQ77" s="35">
        <f>CHOOSE('1_PANEL_CONTROL'!$C$4, BQ17, BQ37, BQ57)</f>
        <v>269</v>
      </c>
      <c r="BR77" s="35">
        <f>CHOOSE('1_PANEL_CONTROL'!$C$4, BR17, BR37, BR57)</f>
        <v>269</v>
      </c>
      <c r="BS77" s="35">
        <f>CHOOSE('1_PANEL_CONTROL'!$C$4, BS17, BS37, BS57)</f>
        <v>269</v>
      </c>
      <c r="BT77" s="35">
        <f>CHOOSE('1_PANEL_CONTROL'!$C$4, BT17, BT37, BT57)</f>
        <v>269</v>
      </c>
      <c r="BU77" s="35">
        <f>CHOOSE('1_PANEL_CONTROL'!$C$4, BU17, BU37, BU57)</f>
        <v>269</v>
      </c>
      <c r="BV77" s="35">
        <f>CHOOSE('1_PANEL_CONTROL'!$C$4, BV17, BV37, BV57)</f>
        <v>269</v>
      </c>
      <c r="BW77" s="35">
        <f>CHOOSE('1_PANEL_CONTROL'!$C$4, BW17, BW37, BW57)</f>
        <v>269</v>
      </c>
      <c r="BX77" s="35">
        <f>CHOOSE('1_PANEL_CONTROL'!$C$4, BX17, BX37, BX57)</f>
        <v>269</v>
      </c>
      <c r="BY77" s="35">
        <f>CHOOSE('1_PANEL_CONTROL'!$C$4, BY17, BY37, BY57)</f>
        <v>269</v>
      </c>
      <c r="BZ77" s="35">
        <f>CHOOSE('1_PANEL_CONTROL'!$C$4, BZ17, BZ37, BZ57)</f>
        <v>269</v>
      </c>
      <c r="CA77" s="35">
        <f>CHOOSE('1_PANEL_CONTROL'!$C$4, CA17, CA37, CA57)</f>
        <v>269</v>
      </c>
      <c r="CB77" s="35">
        <f>CHOOSE('1_PANEL_CONTROL'!$C$4, CB17, CB37, CB57)</f>
        <v>269</v>
      </c>
      <c r="CC77" s="35">
        <f>CHOOSE('1_PANEL_CONTROL'!$C$4, CC17, CC37, CC57)</f>
        <v>269</v>
      </c>
      <c r="CD77" s="35">
        <f>CHOOSE('1_PANEL_CONTROL'!$C$4, CD17, CD37, CD57)</f>
        <v>269</v>
      </c>
      <c r="CE77" s="35">
        <f>CHOOSE('1_PANEL_CONTROL'!$C$4, CE17, CE37, CE57)</f>
        <v>269</v>
      </c>
      <c r="CF77" s="35">
        <f>CHOOSE('1_PANEL_CONTROL'!$C$4, CF17, CF37, CF57)</f>
        <v>269</v>
      </c>
      <c r="CG77" s="35">
        <f>CHOOSE('1_PANEL_CONTROL'!$C$4, CG17, CG37, CG57)</f>
        <v>269</v>
      </c>
      <c r="CH77" s="35">
        <f>CHOOSE('1_PANEL_CONTROL'!$C$4, CH17, CH37, CH57)</f>
        <v>269</v>
      </c>
      <c r="CI77" s="35">
        <f>CHOOSE('1_PANEL_CONTROL'!$C$4, CI17, CI37, CI57)</f>
        <v>269</v>
      </c>
    </row>
    <row r="78" spans="1:87" ht="16.5">
      <c r="A78" s="5" t="s">
        <v>471</v>
      </c>
      <c r="B78" s="30" t="s">
        <v>458</v>
      </c>
      <c r="C78" s="17" t="s">
        <v>504</v>
      </c>
      <c r="D78" s="35">
        <f>CHOOSE('1_PANEL_CONTROL'!$C$4, D18, D38, D58)</f>
        <v>5</v>
      </c>
      <c r="E78" s="35">
        <f>CHOOSE('1_PANEL_CONTROL'!$C$4, E18, E38, E58)</f>
        <v>5</v>
      </c>
      <c r="F78" s="35">
        <f>CHOOSE('1_PANEL_CONTROL'!$C$4, F18, F38, F58)</f>
        <v>5</v>
      </c>
      <c r="G78" s="35">
        <f>CHOOSE('1_PANEL_CONTROL'!$C$4, G18, G38, G58)</f>
        <v>5</v>
      </c>
      <c r="H78" s="35">
        <f>CHOOSE('1_PANEL_CONTROL'!$C$4, H18, H38, H58)</f>
        <v>5</v>
      </c>
      <c r="I78" s="35">
        <f>CHOOSE('1_PANEL_CONTROL'!$C$4, I18, I38, I58)</f>
        <v>5</v>
      </c>
      <c r="J78" s="35">
        <f>CHOOSE('1_PANEL_CONTROL'!$C$4, J18, J38, J58)</f>
        <v>5</v>
      </c>
      <c r="K78" s="35">
        <f>CHOOSE('1_PANEL_CONTROL'!$C$4, K18, K38, K58)</f>
        <v>5</v>
      </c>
      <c r="L78" s="35">
        <f>CHOOSE('1_PANEL_CONTROL'!$C$4, L18, L38, L58)</f>
        <v>5</v>
      </c>
      <c r="M78" s="35">
        <f>CHOOSE('1_PANEL_CONTROL'!$C$4, M18, M38, M58)</f>
        <v>5</v>
      </c>
      <c r="N78" s="35">
        <f>CHOOSE('1_PANEL_CONTROL'!$C$4, N18, N38, N58)</f>
        <v>5</v>
      </c>
      <c r="O78" s="35">
        <f>CHOOSE('1_PANEL_CONTROL'!$C$4, O18, O38, O58)</f>
        <v>5</v>
      </c>
      <c r="P78" s="35">
        <f>CHOOSE('1_PANEL_CONTROL'!$C$4, P18, P38, P58)</f>
        <v>5</v>
      </c>
      <c r="Q78" s="35">
        <f>CHOOSE('1_PANEL_CONTROL'!$C$4, Q18, Q38, Q58)</f>
        <v>5</v>
      </c>
      <c r="R78" s="35">
        <f>CHOOSE('1_PANEL_CONTROL'!$C$4, R18, R38, R58)</f>
        <v>5</v>
      </c>
      <c r="S78" s="35">
        <f>CHOOSE('1_PANEL_CONTROL'!$C$4, S18, S38, S58)</f>
        <v>5</v>
      </c>
      <c r="T78" s="35">
        <f>CHOOSE('1_PANEL_CONTROL'!$C$4, T18, T38, T58)</f>
        <v>5</v>
      </c>
      <c r="U78" s="35">
        <f>CHOOSE('1_PANEL_CONTROL'!$C$4, U18, U38, U58)</f>
        <v>5</v>
      </c>
      <c r="V78" s="35">
        <f>CHOOSE('1_PANEL_CONTROL'!$C$4, V18, V38, V58)</f>
        <v>5</v>
      </c>
      <c r="W78" s="35">
        <f>CHOOSE('1_PANEL_CONTROL'!$C$4, W18, W38, W58)</f>
        <v>5</v>
      </c>
      <c r="X78" s="35">
        <f>CHOOSE('1_PANEL_CONTROL'!$C$4, X18, X38, X58)</f>
        <v>5</v>
      </c>
      <c r="Y78" s="35">
        <f>CHOOSE('1_PANEL_CONTROL'!$C$4, Y18, Y38, Y58)</f>
        <v>5</v>
      </c>
      <c r="Z78" s="35">
        <f>CHOOSE('1_PANEL_CONTROL'!$C$4, Z18, Z38, Z58)</f>
        <v>5</v>
      </c>
      <c r="AA78" s="35">
        <f>CHOOSE('1_PANEL_CONTROL'!$C$4, AA18, AA38, AA58)</f>
        <v>5</v>
      </c>
      <c r="AB78" s="35">
        <f>CHOOSE('1_PANEL_CONTROL'!$C$4, AB18, AB38, AB58)</f>
        <v>5</v>
      </c>
      <c r="AC78" s="35">
        <f>CHOOSE('1_PANEL_CONTROL'!$C$4, AC18, AC38, AC58)</f>
        <v>5</v>
      </c>
      <c r="AD78" s="35">
        <f>CHOOSE('1_PANEL_CONTROL'!$C$4, AD18, AD38, AD58)</f>
        <v>5</v>
      </c>
      <c r="AE78" s="35">
        <f>CHOOSE('1_PANEL_CONTROL'!$C$4, AE18, AE38, AE58)</f>
        <v>5</v>
      </c>
      <c r="AF78" s="35">
        <f>CHOOSE('1_PANEL_CONTROL'!$C$4, AF18, AF38, AF58)</f>
        <v>5</v>
      </c>
      <c r="AG78" s="35">
        <f>CHOOSE('1_PANEL_CONTROL'!$C$4, AG18, AG38, AG58)</f>
        <v>5</v>
      </c>
      <c r="AH78" s="35">
        <f>CHOOSE('1_PANEL_CONTROL'!$C$4, AH18, AH38, AH58)</f>
        <v>5</v>
      </c>
      <c r="AI78" s="35">
        <f>CHOOSE('1_PANEL_CONTROL'!$C$4, AI18, AI38, AI58)</f>
        <v>5</v>
      </c>
      <c r="AJ78" s="35">
        <f>CHOOSE('1_PANEL_CONTROL'!$C$4, AJ18, AJ38, AJ58)</f>
        <v>5</v>
      </c>
      <c r="AK78" s="35">
        <f>CHOOSE('1_PANEL_CONTROL'!$C$4, AK18, AK38, AK58)</f>
        <v>5</v>
      </c>
      <c r="AL78" s="35">
        <f>CHOOSE('1_PANEL_CONTROL'!$C$4, AL18, AL38, AL58)</f>
        <v>5</v>
      </c>
      <c r="AM78" s="35">
        <f>CHOOSE('1_PANEL_CONTROL'!$C$4, AM18, AM38, AM58)</f>
        <v>5</v>
      </c>
      <c r="AN78" s="35">
        <f>CHOOSE('1_PANEL_CONTROL'!$C$4, AN18, AN38, AN58)</f>
        <v>5</v>
      </c>
      <c r="AO78" s="35">
        <f>CHOOSE('1_PANEL_CONTROL'!$C$4, AO18, AO38, AO58)</f>
        <v>5</v>
      </c>
      <c r="AP78" s="35">
        <f>CHOOSE('1_PANEL_CONTROL'!$C$4, AP18, AP38, AP58)</f>
        <v>5</v>
      </c>
      <c r="AQ78" s="35">
        <f>CHOOSE('1_PANEL_CONTROL'!$C$4, AQ18, AQ38, AQ58)</f>
        <v>5</v>
      </c>
      <c r="AR78" s="35">
        <f>CHOOSE('1_PANEL_CONTROL'!$C$4, AR18, AR38, AR58)</f>
        <v>5</v>
      </c>
      <c r="AS78" s="35">
        <f>CHOOSE('1_PANEL_CONTROL'!$C$4, AS18, AS38, AS58)</f>
        <v>5</v>
      </c>
      <c r="AT78" s="35">
        <f>CHOOSE('1_PANEL_CONTROL'!$C$4, AT18, AT38, AT58)</f>
        <v>5</v>
      </c>
      <c r="AU78" s="35">
        <f>CHOOSE('1_PANEL_CONTROL'!$C$4, AU18, AU38, AU58)</f>
        <v>5</v>
      </c>
      <c r="AV78" s="35">
        <f>CHOOSE('1_PANEL_CONTROL'!$C$4, AV18, AV38, AV58)</f>
        <v>5</v>
      </c>
      <c r="AW78" s="35">
        <f>CHOOSE('1_PANEL_CONTROL'!$C$4, AW18, AW38, AW58)</f>
        <v>5</v>
      </c>
      <c r="AX78" s="35">
        <f>CHOOSE('1_PANEL_CONTROL'!$C$4, AX18, AX38, AX58)</f>
        <v>5</v>
      </c>
      <c r="AY78" s="35">
        <f>CHOOSE('1_PANEL_CONTROL'!$C$4, AY18, AY38, AY58)</f>
        <v>5</v>
      </c>
      <c r="AZ78" s="35">
        <f>CHOOSE('1_PANEL_CONTROL'!$C$4, AZ18, AZ38, AZ58)</f>
        <v>5</v>
      </c>
      <c r="BA78" s="35">
        <f>CHOOSE('1_PANEL_CONTROL'!$C$4, BA18, BA38, BA58)</f>
        <v>5</v>
      </c>
      <c r="BB78" s="35">
        <f>CHOOSE('1_PANEL_CONTROL'!$C$4, BB18, BB38, BB58)</f>
        <v>5</v>
      </c>
      <c r="BC78" s="35">
        <f>CHOOSE('1_PANEL_CONTROL'!$C$4, BC18, BC38, BC58)</f>
        <v>5</v>
      </c>
      <c r="BD78" s="35">
        <f>CHOOSE('1_PANEL_CONTROL'!$C$4, BD18, BD38, BD58)</f>
        <v>5</v>
      </c>
      <c r="BE78" s="35">
        <f>CHOOSE('1_PANEL_CONTROL'!$C$4, BE18, BE38, BE58)</f>
        <v>5</v>
      </c>
      <c r="BF78" s="35">
        <f>CHOOSE('1_PANEL_CONTROL'!$C$4, BF18, BF38, BF58)</f>
        <v>5</v>
      </c>
      <c r="BG78" s="35">
        <f>CHOOSE('1_PANEL_CONTROL'!$C$4, BG18, BG38, BG58)</f>
        <v>5</v>
      </c>
      <c r="BH78" s="35">
        <f>CHOOSE('1_PANEL_CONTROL'!$C$4, BH18, BH38, BH58)</f>
        <v>5</v>
      </c>
      <c r="BI78" s="35">
        <f>CHOOSE('1_PANEL_CONTROL'!$C$4, BI18, BI38, BI58)</f>
        <v>5</v>
      </c>
      <c r="BJ78" s="35">
        <f>CHOOSE('1_PANEL_CONTROL'!$C$4, BJ18, BJ38, BJ58)</f>
        <v>5</v>
      </c>
      <c r="BK78" s="35">
        <f>CHOOSE('1_PANEL_CONTROL'!$C$4, BK18, BK38, BK58)</f>
        <v>5</v>
      </c>
      <c r="BL78" s="35">
        <f>CHOOSE('1_PANEL_CONTROL'!$C$4, BL18, BL38, BL58)</f>
        <v>5</v>
      </c>
      <c r="BM78" s="35">
        <f>CHOOSE('1_PANEL_CONTROL'!$C$4, BM18, BM38, BM58)</f>
        <v>5</v>
      </c>
      <c r="BN78" s="35">
        <f>CHOOSE('1_PANEL_CONTROL'!$C$4, BN18, BN38, BN58)</f>
        <v>5</v>
      </c>
      <c r="BO78" s="35">
        <f>CHOOSE('1_PANEL_CONTROL'!$C$4, BO18, BO38, BO58)</f>
        <v>5</v>
      </c>
      <c r="BP78" s="35">
        <f>CHOOSE('1_PANEL_CONTROL'!$C$4, BP18, BP38, BP58)</f>
        <v>5</v>
      </c>
      <c r="BQ78" s="35">
        <f>CHOOSE('1_PANEL_CONTROL'!$C$4, BQ18, BQ38, BQ58)</f>
        <v>5</v>
      </c>
      <c r="BR78" s="35">
        <f>CHOOSE('1_PANEL_CONTROL'!$C$4, BR18, BR38, BR58)</f>
        <v>5</v>
      </c>
      <c r="BS78" s="35">
        <f>CHOOSE('1_PANEL_CONTROL'!$C$4, BS18, BS38, BS58)</f>
        <v>5</v>
      </c>
      <c r="BT78" s="35">
        <f>CHOOSE('1_PANEL_CONTROL'!$C$4, BT18, BT38, BT58)</f>
        <v>5</v>
      </c>
      <c r="BU78" s="35">
        <f>CHOOSE('1_PANEL_CONTROL'!$C$4, BU18, BU38, BU58)</f>
        <v>5</v>
      </c>
      <c r="BV78" s="35">
        <f>CHOOSE('1_PANEL_CONTROL'!$C$4, BV18, BV38, BV58)</f>
        <v>5</v>
      </c>
      <c r="BW78" s="35">
        <f>CHOOSE('1_PANEL_CONTROL'!$C$4, BW18, BW38, BW58)</f>
        <v>5</v>
      </c>
      <c r="BX78" s="35">
        <f>CHOOSE('1_PANEL_CONTROL'!$C$4, BX18, BX38, BX58)</f>
        <v>5</v>
      </c>
      <c r="BY78" s="35">
        <f>CHOOSE('1_PANEL_CONTROL'!$C$4, BY18, BY38, BY58)</f>
        <v>5</v>
      </c>
      <c r="BZ78" s="35">
        <f>CHOOSE('1_PANEL_CONTROL'!$C$4, BZ18, BZ38, BZ58)</f>
        <v>5</v>
      </c>
      <c r="CA78" s="35">
        <f>CHOOSE('1_PANEL_CONTROL'!$C$4, CA18, CA38, CA58)</f>
        <v>5</v>
      </c>
      <c r="CB78" s="35">
        <f>CHOOSE('1_PANEL_CONTROL'!$C$4, CB18, CB38, CB58)</f>
        <v>5</v>
      </c>
      <c r="CC78" s="35">
        <f>CHOOSE('1_PANEL_CONTROL'!$C$4, CC18, CC38, CC58)</f>
        <v>5</v>
      </c>
      <c r="CD78" s="35">
        <f>CHOOSE('1_PANEL_CONTROL'!$C$4, CD18, CD38, CD58)</f>
        <v>5</v>
      </c>
      <c r="CE78" s="35">
        <f>CHOOSE('1_PANEL_CONTROL'!$C$4, CE18, CE38, CE58)</f>
        <v>5</v>
      </c>
      <c r="CF78" s="35">
        <f>CHOOSE('1_PANEL_CONTROL'!$C$4, CF18, CF38, CF58)</f>
        <v>5</v>
      </c>
      <c r="CG78" s="35">
        <f>CHOOSE('1_PANEL_CONTROL'!$C$4, CG18, CG38, CG58)</f>
        <v>5</v>
      </c>
      <c r="CH78" s="35">
        <f>CHOOSE('1_PANEL_CONTROL'!$C$4, CH18, CH38, CH58)</f>
        <v>5</v>
      </c>
      <c r="CI78" s="35">
        <f>CHOOSE('1_PANEL_CONTROL'!$C$4, CI18, CI38, CI58)</f>
        <v>5</v>
      </c>
    </row>
    <row r="79" spans="1:87" ht="16.5">
      <c r="A79" s="5" t="s">
        <v>473</v>
      </c>
      <c r="B79" s="30" t="s">
        <v>458</v>
      </c>
      <c r="C79" s="17" t="s">
        <v>504</v>
      </c>
      <c r="D79" s="35">
        <f>CHOOSE('1_PANEL_CONTROL'!$C$4, D19, D39, D59)</f>
        <v>46</v>
      </c>
      <c r="E79" s="35">
        <f>CHOOSE('1_PANEL_CONTROL'!$C$4, E19, E39, E59)</f>
        <v>49</v>
      </c>
      <c r="F79" s="35">
        <f>CHOOSE('1_PANEL_CONTROL'!$C$4, F19, F39, F59)</f>
        <v>52</v>
      </c>
      <c r="G79" s="35">
        <f>CHOOSE('1_PANEL_CONTROL'!$C$4, G19, G39, G59)</f>
        <v>56</v>
      </c>
      <c r="H79" s="35">
        <f>CHOOSE('1_PANEL_CONTROL'!$C$4, H19, H39, H59)</f>
        <v>60</v>
      </c>
      <c r="I79" s="35">
        <f>CHOOSE('1_PANEL_CONTROL'!$C$4, I19, I39, I59)</f>
        <v>65</v>
      </c>
      <c r="J79" s="35">
        <f>CHOOSE('1_PANEL_CONTROL'!$C$4, J19, J39, J59)</f>
        <v>69</v>
      </c>
      <c r="K79" s="35">
        <f>CHOOSE('1_PANEL_CONTROL'!$C$4, K19, K39, K59)</f>
        <v>74</v>
      </c>
      <c r="L79" s="35">
        <f>CHOOSE('1_PANEL_CONTROL'!$C$4, L19, L39, L59)</f>
        <v>80</v>
      </c>
      <c r="M79" s="35">
        <f>CHOOSE('1_PANEL_CONTROL'!$C$4, M19, M39, M59)</f>
        <v>86</v>
      </c>
      <c r="N79" s="35">
        <f>CHOOSE('1_PANEL_CONTROL'!$C$4, N19, N39, N59)</f>
        <v>93</v>
      </c>
      <c r="O79" s="35">
        <f>CHOOSE('1_PANEL_CONTROL'!$C$4, O19, O39, O59)</f>
        <v>100</v>
      </c>
      <c r="P79" s="35">
        <f>CHOOSE('1_PANEL_CONTROL'!$C$4, P19, P39, P59)</f>
        <v>107</v>
      </c>
      <c r="Q79" s="35">
        <f>CHOOSE('1_PANEL_CONTROL'!$C$4, Q19, Q39, Q59)</f>
        <v>115</v>
      </c>
      <c r="R79" s="35">
        <f>CHOOSE('1_PANEL_CONTROL'!$C$4, R19, R39, R59)</f>
        <v>124</v>
      </c>
      <c r="S79" s="35">
        <f>CHOOSE('1_PANEL_CONTROL'!$C$4, S19, S39, S59)</f>
        <v>134</v>
      </c>
      <c r="T79" s="35">
        <f>CHOOSE('1_PANEL_CONTROL'!$C$4, T19, T39, T59)</f>
        <v>144</v>
      </c>
      <c r="U79" s="35">
        <f>CHOOSE('1_PANEL_CONTROL'!$C$4, U19, U39, U59)</f>
        <v>155</v>
      </c>
      <c r="V79" s="35">
        <f>CHOOSE('1_PANEL_CONTROL'!$C$4, V19, V39, V59)</f>
        <v>167</v>
      </c>
      <c r="W79" s="35">
        <f>CHOOSE('1_PANEL_CONTROL'!$C$4, W19, W39, W59)</f>
        <v>180</v>
      </c>
      <c r="X79" s="35">
        <f>CHOOSE('1_PANEL_CONTROL'!$C$4, X19, X39, X59)</f>
        <v>194</v>
      </c>
      <c r="Y79" s="35">
        <f>CHOOSE('1_PANEL_CONTROL'!$C$4, Y19, Y39, Y59)</f>
        <v>209</v>
      </c>
      <c r="Z79" s="35">
        <f>CHOOSE('1_PANEL_CONTROL'!$C$4, Z19, Z39, Z59)</f>
        <v>225</v>
      </c>
      <c r="AA79" s="35">
        <f>CHOOSE('1_PANEL_CONTROL'!$C$4, AA19, AA39, AA59)</f>
        <v>243</v>
      </c>
      <c r="AB79" s="35">
        <f>CHOOSE('1_PANEL_CONTROL'!$C$4, AB19, AB39, AB59)</f>
        <v>262</v>
      </c>
      <c r="AC79" s="35">
        <f>CHOOSE('1_PANEL_CONTROL'!$C$4, AC19, AC39, AC59)</f>
        <v>283</v>
      </c>
      <c r="AD79" s="35">
        <f>CHOOSE('1_PANEL_CONTROL'!$C$4, AD19, AD39, AD59)</f>
        <v>305</v>
      </c>
      <c r="AE79" s="35">
        <f>CHOOSE('1_PANEL_CONTROL'!$C$4, AE19, AE39, AE59)</f>
        <v>329</v>
      </c>
      <c r="AF79" s="35">
        <f>CHOOSE('1_PANEL_CONTROL'!$C$4, AF19, AF39, AF59)</f>
        <v>355</v>
      </c>
      <c r="AG79" s="35">
        <f>CHOOSE('1_PANEL_CONTROL'!$C$4, AG19, AG39, AG59)</f>
        <v>383</v>
      </c>
      <c r="AH79" s="35">
        <f>CHOOSE('1_PANEL_CONTROL'!$C$4, AH19, AH39, AH59)</f>
        <v>413</v>
      </c>
      <c r="AI79" s="35">
        <f>CHOOSE('1_PANEL_CONTROL'!$C$4, AI19, AI39, AI59)</f>
        <v>446</v>
      </c>
      <c r="AJ79" s="35">
        <f>CHOOSE('1_PANEL_CONTROL'!$C$4, AJ19, AJ39, AJ59)</f>
        <v>481</v>
      </c>
      <c r="AK79" s="35">
        <f>CHOOSE('1_PANEL_CONTROL'!$C$4, AK19, AK39, AK59)</f>
        <v>519</v>
      </c>
      <c r="AL79" s="35">
        <f>CHOOSE('1_PANEL_CONTROL'!$C$4, AL19, AL39, AL59)</f>
        <v>560</v>
      </c>
      <c r="AM79" s="35">
        <f>CHOOSE('1_PANEL_CONTROL'!$C$4, AM19, AM39, AM59)</f>
        <v>604</v>
      </c>
      <c r="AN79" s="35">
        <f>CHOOSE('1_PANEL_CONTROL'!$C$4, AN19, AN39, AN59)</f>
        <v>652</v>
      </c>
      <c r="AO79" s="35">
        <f>CHOOSE('1_PANEL_CONTROL'!$C$4, AO19, AO39, AO59)</f>
        <v>704</v>
      </c>
      <c r="AP79" s="35">
        <f>CHOOSE('1_PANEL_CONTROL'!$C$4, AP19, AP39, AP59)</f>
        <v>760</v>
      </c>
      <c r="AQ79" s="35">
        <f>CHOOSE('1_PANEL_CONTROL'!$C$4, AQ19, AQ39, AQ59)</f>
        <v>820</v>
      </c>
      <c r="AR79" s="35">
        <f>CHOOSE('1_PANEL_CONTROL'!$C$4, AR19, AR39, AR59)</f>
        <v>886</v>
      </c>
      <c r="AS79" s="35">
        <f>CHOOSE('1_PANEL_CONTROL'!$C$4, AS19, AS39, AS59)</f>
        <v>956</v>
      </c>
      <c r="AT79" s="35">
        <f>CHOOSE('1_PANEL_CONTROL'!$C$4, AT19, AT39, AT59)</f>
        <v>1032</v>
      </c>
      <c r="AU79" s="35">
        <f>CHOOSE('1_PANEL_CONTROL'!$C$4, AU19, AU39, AU59)</f>
        <v>1114</v>
      </c>
      <c r="AV79" s="35">
        <f>CHOOSE('1_PANEL_CONTROL'!$C$4, AV19, AV39, AV59)</f>
        <v>1203</v>
      </c>
      <c r="AW79" s="35">
        <f>CHOOSE('1_PANEL_CONTROL'!$C$4, AW19, AW39, AW59)</f>
        <v>1299</v>
      </c>
      <c r="AX79" s="35">
        <f>CHOOSE('1_PANEL_CONTROL'!$C$4, AX19, AX39, AX59)</f>
        <v>1403</v>
      </c>
      <c r="AY79" s="35">
        <f>CHOOSE('1_PANEL_CONTROL'!$C$4, AY19, AY39, AY59)</f>
        <v>1514</v>
      </c>
      <c r="AZ79" s="35">
        <f>CHOOSE('1_PANEL_CONTROL'!$C$4, AZ19, AZ39, AZ59)</f>
        <v>1635</v>
      </c>
      <c r="BA79" s="35">
        <f>CHOOSE('1_PANEL_CONTROL'!$C$4, BA19, BA39, BA59)</f>
        <v>1766</v>
      </c>
      <c r="BB79" s="35">
        <f>CHOOSE('1_PANEL_CONTROL'!$C$4, BB19, BB39, BB59)</f>
        <v>1906</v>
      </c>
      <c r="BC79" s="35">
        <f>CHOOSE('1_PANEL_CONTROL'!$C$4, BC19, BC39, BC59)</f>
        <v>2059</v>
      </c>
      <c r="BD79" s="35">
        <f>CHOOSE('1_PANEL_CONTROL'!$C$4, BD19, BD39, BD59)</f>
        <v>2223</v>
      </c>
      <c r="BE79" s="35">
        <f>CHOOSE('1_PANEL_CONTROL'!$C$4, BE19, BE39, BE59)</f>
        <v>2400</v>
      </c>
      <c r="BF79" s="35">
        <f>CHOOSE('1_PANEL_CONTROL'!$C$4, BF19, BF39, BF59)</f>
        <v>2592</v>
      </c>
      <c r="BG79" s="35">
        <f>CHOOSE('1_PANEL_CONTROL'!$C$4, BG19, BG39, BG59)</f>
        <v>2799</v>
      </c>
      <c r="BH79" s="35">
        <f>CHOOSE('1_PANEL_CONTROL'!$C$4, BH19, BH39, BH59)</f>
        <v>3022</v>
      </c>
      <c r="BI79" s="35">
        <f>CHOOSE('1_PANEL_CONTROL'!$C$4, BI19, BI39, BI59)</f>
        <v>3264</v>
      </c>
      <c r="BJ79" s="35">
        <f>CHOOSE('1_PANEL_CONTROL'!$C$4, BJ19, BJ39, BJ59)</f>
        <v>3524</v>
      </c>
      <c r="BK79" s="35">
        <f>CHOOSE('1_PANEL_CONTROL'!$C$4, BK19, BK39, BK59)</f>
        <v>3806</v>
      </c>
      <c r="BL79" s="35">
        <f>CHOOSE('1_PANEL_CONTROL'!$C$4, BL19, BL39, BL59)</f>
        <v>4110</v>
      </c>
      <c r="BM79" s="35">
        <f>CHOOSE('1_PANEL_CONTROL'!$C$4, BM19, BM39, BM59)</f>
        <v>4438</v>
      </c>
      <c r="BN79" s="35">
        <f>CHOOSE('1_PANEL_CONTROL'!$C$4, BN19, BN39, BN59)</f>
        <v>4793</v>
      </c>
      <c r="BO79" s="35">
        <f>CHOOSE('1_PANEL_CONTROL'!$C$4, BO19, BO39, BO59)</f>
        <v>5176</v>
      </c>
      <c r="BP79" s="35">
        <f>CHOOSE('1_PANEL_CONTROL'!$C$4, BP19, BP39, BP59)</f>
        <v>5590</v>
      </c>
      <c r="BQ79" s="35">
        <f>CHOOSE('1_PANEL_CONTROL'!$C$4, BQ19, BQ39, BQ59)</f>
        <v>6037</v>
      </c>
      <c r="BR79" s="35">
        <f>CHOOSE('1_PANEL_CONTROL'!$C$4, BR19, BR39, BR59)</f>
        <v>6519</v>
      </c>
      <c r="BS79" s="35">
        <f>CHOOSE('1_PANEL_CONTROL'!$C$4, BS19, BS39, BS59)</f>
        <v>7040</v>
      </c>
      <c r="BT79" s="35">
        <f>CHOOSE('1_PANEL_CONTROL'!$C$4, BT19, BT39, BT59)</f>
        <v>7603</v>
      </c>
      <c r="BU79" s="35">
        <f>CHOOSE('1_PANEL_CONTROL'!$C$4, BU19, BU39, BU59)</f>
        <v>8211</v>
      </c>
      <c r="BV79" s="35">
        <f>CHOOSE('1_PANEL_CONTROL'!$C$4, BV19, BV39, BV59)</f>
        <v>8867</v>
      </c>
      <c r="BW79" s="35">
        <f>CHOOSE('1_PANEL_CONTROL'!$C$4, BW19, BW39, BW59)</f>
        <v>9576</v>
      </c>
      <c r="BX79" s="35">
        <f>CHOOSE('1_PANEL_CONTROL'!$C$4, BX19, BX39, BX59)</f>
        <v>10342</v>
      </c>
      <c r="BY79" s="35">
        <f>CHOOSE('1_PANEL_CONTROL'!$C$4, BY19, BY39, BY59)</f>
        <v>11169</v>
      </c>
      <c r="BZ79" s="35">
        <f>CHOOSE('1_PANEL_CONTROL'!$C$4, BZ19, BZ39, BZ59)</f>
        <v>12062</v>
      </c>
      <c r="CA79" s="35">
        <f>CHOOSE('1_PANEL_CONTROL'!$C$4, CA19, CA39, CA59)</f>
        <v>13027</v>
      </c>
      <c r="CB79" s="35">
        <f>CHOOSE('1_PANEL_CONTROL'!$C$4, CB19, CB39, CB59)</f>
        <v>14068</v>
      </c>
      <c r="CC79" s="35">
        <f>CHOOSE('1_PANEL_CONTROL'!$C$4, CC19, CC39, CC59)</f>
        <v>15193</v>
      </c>
      <c r="CD79" s="35">
        <f>CHOOSE('1_PANEL_CONTROL'!$C$4, CD19, CD39, CD59)</f>
        <v>16409</v>
      </c>
      <c r="CE79" s="35">
        <f>CHOOSE('1_PANEL_CONTROL'!$C$4, CE19, CE39, CE59)</f>
        <v>17721</v>
      </c>
      <c r="CF79" s="35">
        <f>CHOOSE('1_PANEL_CONTROL'!$C$4, CF19, CF39, CF59)</f>
        <v>19138</v>
      </c>
      <c r="CG79" s="35">
        <f>CHOOSE('1_PANEL_CONTROL'!$C$4, CG19, CG39, CG59)</f>
        <v>20669</v>
      </c>
      <c r="CH79" s="35">
        <f>CHOOSE('1_PANEL_CONTROL'!$C$4, CH19, CH39, CH59)</f>
        <v>22322</v>
      </c>
      <c r="CI79" s="35">
        <f>CHOOSE('1_PANEL_CONTROL'!$C$4, CI19, CI39, CI59)</f>
        <v>24107</v>
      </c>
    </row>
    <row r="80" spans="1:87" ht="16.5">
      <c r="A80" s="5" t="s">
        <v>475</v>
      </c>
      <c r="B80" s="30" t="s">
        <v>455</v>
      </c>
      <c r="C80" s="17" t="s">
        <v>504</v>
      </c>
      <c r="D80" s="34">
        <f>CHOOSE('1_PANEL_CONTROL'!$C$4, D20, D40, D60)</f>
        <v>4.8000000000000001E-2</v>
      </c>
      <c r="E80" s="34">
        <f>CHOOSE('1_PANEL_CONTROL'!$C$4, E20, E40, E60)</f>
        <v>4.8000000000000001E-2</v>
      </c>
      <c r="F80" s="34">
        <f>CHOOSE('1_PANEL_CONTROL'!$C$4, F20, F40, F60)</f>
        <v>4.8000000000000001E-2</v>
      </c>
      <c r="G80" s="34">
        <f>CHOOSE('1_PANEL_CONTROL'!$C$4, G20, G40, G60)</f>
        <v>4.8000000000000001E-2</v>
      </c>
      <c r="H80" s="34">
        <f>CHOOSE('1_PANEL_CONTROL'!$C$4, H20, H40, H60)</f>
        <v>4.8000000000000001E-2</v>
      </c>
      <c r="I80" s="34">
        <f>CHOOSE('1_PANEL_CONTROL'!$C$4, I20, I40, I60)</f>
        <v>4.8000000000000001E-2</v>
      </c>
      <c r="J80" s="34">
        <f>CHOOSE('1_PANEL_CONTROL'!$C$4, J20, J40, J60)</f>
        <v>4.8000000000000001E-2</v>
      </c>
      <c r="K80" s="34">
        <f>CHOOSE('1_PANEL_CONTROL'!$C$4, K20, K40, K60)</f>
        <v>4.8000000000000001E-2</v>
      </c>
      <c r="L80" s="34">
        <f>CHOOSE('1_PANEL_CONTROL'!$C$4, L20, L40, L60)</f>
        <v>4.8000000000000001E-2</v>
      </c>
      <c r="M80" s="34">
        <f>CHOOSE('1_PANEL_CONTROL'!$C$4, M20, M40, M60)</f>
        <v>4.8000000000000001E-2</v>
      </c>
      <c r="N80" s="34">
        <f>CHOOSE('1_PANEL_CONTROL'!$C$4, N20, N40, N60)</f>
        <v>4.8000000000000001E-2</v>
      </c>
      <c r="O80" s="34">
        <f>CHOOSE('1_PANEL_CONTROL'!$C$4, O20, O40, O60)</f>
        <v>4.8000000000000001E-2</v>
      </c>
      <c r="P80" s="34">
        <f>CHOOSE('1_PANEL_CONTROL'!$C$4, P20, P40, P60)</f>
        <v>4.8000000000000001E-2</v>
      </c>
      <c r="Q80" s="34">
        <f>CHOOSE('1_PANEL_CONTROL'!$C$4, Q20, Q40, Q60)</f>
        <v>4.8000000000000001E-2</v>
      </c>
      <c r="R80" s="34">
        <f>CHOOSE('1_PANEL_CONTROL'!$C$4, R20, R40, R60)</f>
        <v>4.8000000000000001E-2</v>
      </c>
      <c r="S80" s="34">
        <f>CHOOSE('1_PANEL_CONTROL'!$C$4, S20, S40, S60)</f>
        <v>4.8000000000000001E-2</v>
      </c>
      <c r="T80" s="34">
        <f>CHOOSE('1_PANEL_CONTROL'!$C$4, T20, T40, T60)</f>
        <v>4.8000000000000001E-2</v>
      </c>
      <c r="U80" s="34">
        <f>CHOOSE('1_PANEL_CONTROL'!$C$4, U20, U40, U60)</f>
        <v>4.8000000000000001E-2</v>
      </c>
      <c r="V80" s="34">
        <f>CHOOSE('1_PANEL_CONTROL'!$C$4, V20, V40, V60)</f>
        <v>4.8000000000000001E-2</v>
      </c>
      <c r="W80" s="34">
        <f>CHOOSE('1_PANEL_CONTROL'!$C$4, W20, W40, W60)</f>
        <v>4.8000000000000001E-2</v>
      </c>
      <c r="X80" s="34">
        <f>CHOOSE('1_PANEL_CONTROL'!$C$4, X20, X40, X60)</f>
        <v>4.8000000000000001E-2</v>
      </c>
      <c r="Y80" s="34">
        <f>CHOOSE('1_PANEL_CONTROL'!$C$4, Y20, Y40, Y60)</f>
        <v>4.8000000000000001E-2</v>
      </c>
      <c r="Z80" s="34">
        <f>CHOOSE('1_PANEL_CONTROL'!$C$4, Z20, Z40, Z60)</f>
        <v>4.8000000000000001E-2</v>
      </c>
      <c r="AA80" s="34">
        <f>CHOOSE('1_PANEL_CONTROL'!$C$4, AA20, AA40, AA60)</f>
        <v>4.8000000000000001E-2</v>
      </c>
      <c r="AB80" s="34">
        <f>CHOOSE('1_PANEL_CONTROL'!$C$4, AB20, AB40, AB60)</f>
        <v>4.8000000000000001E-2</v>
      </c>
      <c r="AC80" s="34">
        <f>CHOOSE('1_PANEL_CONTROL'!$C$4, AC20, AC40, AC60)</f>
        <v>4.8000000000000001E-2</v>
      </c>
      <c r="AD80" s="34">
        <f>CHOOSE('1_PANEL_CONTROL'!$C$4, AD20, AD40, AD60)</f>
        <v>4.8000000000000001E-2</v>
      </c>
      <c r="AE80" s="34">
        <f>CHOOSE('1_PANEL_CONTROL'!$C$4, AE20, AE40, AE60)</f>
        <v>4.8000000000000001E-2</v>
      </c>
      <c r="AF80" s="34">
        <f>CHOOSE('1_PANEL_CONTROL'!$C$4, AF20, AF40, AF60)</f>
        <v>4.8000000000000001E-2</v>
      </c>
      <c r="AG80" s="34">
        <f>CHOOSE('1_PANEL_CONTROL'!$C$4, AG20, AG40, AG60)</f>
        <v>4.8000000000000001E-2</v>
      </c>
      <c r="AH80" s="34">
        <f>CHOOSE('1_PANEL_CONTROL'!$C$4, AH20, AH40, AH60)</f>
        <v>4.8000000000000001E-2</v>
      </c>
      <c r="AI80" s="34">
        <f>CHOOSE('1_PANEL_CONTROL'!$C$4, AI20, AI40, AI60)</f>
        <v>4.8000000000000001E-2</v>
      </c>
      <c r="AJ80" s="34">
        <f>CHOOSE('1_PANEL_CONTROL'!$C$4, AJ20, AJ40, AJ60)</f>
        <v>4.8000000000000001E-2</v>
      </c>
      <c r="AK80" s="34">
        <f>CHOOSE('1_PANEL_CONTROL'!$C$4, AK20, AK40, AK60)</f>
        <v>4.8000000000000001E-2</v>
      </c>
      <c r="AL80" s="34">
        <f>CHOOSE('1_PANEL_CONTROL'!$C$4, AL20, AL40, AL60)</f>
        <v>4.8000000000000001E-2</v>
      </c>
      <c r="AM80" s="34">
        <f>CHOOSE('1_PANEL_CONTROL'!$C$4, AM20, AM40, AM60)</f>
        <v>4.8000000000000001E-2</v>
      </c>
      <c r="AN80" s="34">
        <f>CHOOSE('1_PANEL_CONTROL'!$C$4, AN20, AN40, AN60)</f>
        <v>4.8000000000000001E-2</v>
      </c>
      <c r="AO80" s="34">
        <f>CHOOSE('1_PANEL_CONTROL'!$C$4, AO20, AO40, AO60)</f>
        <v>4.8000000000000001E-2</v>
      </c>
      <c r="AP80" s="34">
        <f>CHOOSE('1_PANEL_CONTROL'!$C$4, AP20, AP40, AP60)</f>
        <v>4.8000000000000001E-2</v>
      </c>
      <c r="AQ80" s="34">
        <f>CHOOSE('1_PANEL_CONTROL'!$C$4, AQ20, AQ40, AQ60)</f>
        <v>4.8000000000000001E-2</v>
      </c>
      <c r="AR80" s="34">
        <f>CHOOSE('1_PANEL_CONTROL'!$C$4, AR20, AR40, AR60)</f>
        <v>4.8000000000000001E-2</v>
      </c>
      <c r="AS80" s="34">
        <f>CHOOSE('1_PANEL_CONTROL'!$C$4, AS20, AS40, AS60)</f>
        <v>4.8000000000000001E-2</v>
      </c>
      <c r="AT80" s="34">
        <f>CHOOSE('1_PANEL_CONTROL'!$C$4, AT20, AT40, AT60)</f>
        <v>4.8000000000000001E-2</v>
      </c>
      <c r="AU80" s="34">
        <f>CHOOSE('1_PANEL_CONTROL'!$C$4, AU20, AU40, AU60)</f>
        <v>4.8000000000000001E-2</v>
      </c>
      <c r="AV80" s="34">
        <f>CHOOSE('1_PANEL_CONTROL'!$C$4, AV20, AV40, AV60)</f>
        <v>4.8000000000000001E-2</v>
      </c>
      <c r="AW80" s="34">
        <f>CHOOSE('1_PANEL_CONTROL'!$C$4, AW20, AW40, AW60)</f>
        <v>4.8000000000000001E-2</v>
      </c>
      <c r="AX80" s="34">
        <f>CHOOSE('1_PANEL_CONTROL'!$C$4, AX20, AX40, AX60)</f>
        <v>4.8000000000000001E-2</v>
      </c>
      <c r="AY80" s="34">
        <f>CHOOSE('1_PANEL_CONTROL'!$C$4, AY20, AY40, AY60)</f>
        <v>4.8000000000000001E-2</v>
      </c>
      <c r="AZ80" s="34">
        <f>CHOOSE('1_PANEL_CONTROL'!$C$4, AZ20, AZ40, AZ60)</f>
        <v>4.8000000000000001E-2</v>
      </c>
      <c r="BA80" s="34">
        <f>CHOOSE('1_PANEL_CONTROL'!$C$4, BA20, BA40, BA60)</f>
        <v>4.8000000000000001E-2</v>
      </c>
      <c r="BB80" s="34">
        <f>CHOOSE('1_PANEL_CONTROL'!$C$4, BB20, BB40, BB60)</f>
        <v>4.8000000000000001E-2</v>
      </c>
      <c r="BC80" s="34">
        <f>CHOOSE('1_PANEL_CONTROL'!$C$4, BC20, BC40, BC60)</f>
        <v>4.8000000000000001E-2</v>
      </c>
      <c r="BD80" s="34">
        <f>CHOOSE('1_PANEL_CONTROL'!$C$4, BD20, BD40, BD60)</f>
        <v>4.8000000000000001E-2</v>
      </c>
      <c r="BE80" s="34">
        <f>CHOOSE('1_PANEL_CONTROL'!$C$4, BE20, BE40, BE60)</f>
        <v>4.8000000000000001E-2</v>
      </c>
      <c r="BF80" s="34">
        <f>CHOOSE('1_PANEL_CONTROL'!$C$4, BF20, BF40, BF60)</f>
        <v>4.8000000000000001E-2</v>
      </c>
      <c r="BG80" s="34">
        <f>CHOOSE('1_PANEL_CONTROL'!$C$4, BG20, BG40, BG60)</f>
        <v>4.8000000000000001E-2</v>
      </c>
      <c r="BH80" s="34">
        <f>CHOOSE('1_PANEL_CONTROL'!$C$4, BH20, BH40, BH60)</f>
        <v>4.8000000000000001E-2</v>
      </c>
      <c r="BI80" s="34">
        <f>CHOOSE('1_PANEL_CONTROL'!$C$4, BI20, BI40, BI60)</f>
        <v>4.8000000000000001E-2</v>
      </c>
      <c r="BJ80" s="34">
        <f>CHOOSE('1_PANEL_CONTROL'!$C$4, BJ20, BJ40, BJ60)</f>
        <v>4.8000000000000001E-2</v>
      </c>
      <c r="BK80" s="34">
        <f>CHOOSE('1_PANEL_CONTROL'!$C$4, BK20, BK40, BK60)</f>
        <v>4.8000000000000001E-2</v>
      </c>
      <c r="BL80" s="34">
        <f>CHOOSE('1_PANEL_CONTROL'!$C$4, BL20, BL40, BL60)</f>
        <v>4.8000000000000001E-2</v>
      </c>
      <c r="BM80" s="34">
        <f>CHOOSE('1_PANEL_CONTROL'!$C$4, BM20, BM40, BM60)</f>
        <v>4.8000000000000001E-2</v>
      </c>
      <c r="BN80" s="34">
        <f>CHOOSE('1_PANEL_CONTROL'!$C$4, BN20, BN40, BN60)</f>
        <v>4.8000000000000001E-2</v>
      </c>
      <c r="BO80" s="34">
        <f>CHOOSE('1_PANEL_CONTROL'!$C$4, BO20, BO40, BO60)</f>
        <v>4.8000000000000001E-2</v>
      </c>
      <c r="BP80" s="34">
        <f>CHOOSE('1_PANEL_CONTROL'!$C$4, BP20, BP40, BP60)</f>
        <v>4.8000000000000001E-2</v>
      </c>
      <c r="BQ80" s="34">
        <f>CHOOSE('1_PANEL_CONTROL'!$C$4, BQ20, BQ40, BQ60)</f>
        <v>4.8000000000000001E-2</v>
      </c>
      <c r="BR80" s="34">
        <f>CHOOSE('1_PANEL_CONTROL'!$C$4, BR20, BR40, BR60)</f>
        <v>4.8000000000000001E-2</v>
      </c>
      <c r="BS80" s="34">
        <f>CHOOSE('1_PANEL_CONTROL'!$C$4, BS20, BS40, BS60)</f>
        <v>4.8000000000000001E-2</v>
      </c>
      <c r="BT80" s="34">
        <f>CHOOSE('1_PANEL_CONTROL'!$C$4, BT20, BT40, BT60)</f>
        <v>4.8000000000000001E-2</v>
      </c>
      <c r="BU80" s="34">
        <f>CHOOSE('1_PANEL_CONTROL'!$C$4, BU20, BU40, BU60)</f>
        <v>4.8000000000000001E-2</v>
      </c>
      <c r="BV80" s="34">
        <f>CHOOSE('1_PANEL_CONTROL'!$C$4, BV20, BV40, BV60)</f>
        <v>4.8000000000000001E-2</v>
      </c>
      <c r="BW80" s="34">
        <f>CHOOSE('1_PANEL_CONTROL'!$C$4, BW20, BW40, BW60)</f>
        <v>4.8000000000000001E-2</v>
      </c>
      <c r="BX80" s="34">
        <f>CHOOSE('1_PANEL_CONTROL'!$C$4, BX20, BX40, BX60)</f>
        <v>4.8000000000000001E-2</v>
      </c>
      <c r="BY80" s="34">
        <f>CHOOSE('1_PANEL_CONTROL'!$C$4, BY20, BY40, BY60)</f>
        <v>4.8000000000000001E-2</v>
      </c>
      <c r="BZ80" s="34">
        <f>CHOOSE('1_PANEL_CONTROL'!$C$4, BZ20, BZ40, BZ60)</f>
        <v>4.8000000000000001E-2</v>
      </c>
      <c r="CA80" s="34">
        <f>CHOOSE('1_PANEL_CONTROL'!$C$4, CA20, CA40, CA60)</f>
        <v>4.8000000000000001E-2</v>
      </c>
      <c r="CB80" s="34">
        <f>CHOOSE('1_PANEL_CONTROL'!$C$4, CB20, CB40, CB60)</f>
        <v>4.8000000000000001E-2</v>
      </c>
      <c r="CC80" s="34">
        <f>CHOOSE('1_PANEL_CONTROL'!$C$4, CC20, CC40, CC60)</f>
        <v>4.8000000000000001E-2</v>
      </c>
      <c r="CD80" s="34">
        <f>CHOOSE('1_PANEL_CONTROL'!$C$4, CD20, CD40, CD60)</f>
        <v>4.8000000000000001E-2</v>
      </c>
      <c r="CE80" s="34">
        <f>CHOOSE('1_PANEL_CONTROL'!$C$4, CE20, CE40, CE60)</f>
        <v>4.8000000000000001E-2</v>
      </c>
      <c r="CF80" s="34">
        <f>CHOOSE('1_PANEL_CONTROL'!$C$4, CF20, CF40, CF60)</f>
        <v>4.8000000000000001E-2</v>
      </c>
      <c r="CG80" s="34">
        <f>CHOOSE('1_PANEL_CONTROL'!$C$4, CG20, CG40, CG60)</f>
        <v>4.8000000000000001E-2</v>
      </c>
      <c r="CH80" s="34">
        <f>CHOOSE('1_PANEL_CONTROL'!$C$4, CH20, CH40, CH60)</f>
        <v>4.8000000000000001E-2</v>
      </c>
      <c r="CI80" s="34">
        <f>CHOOSE('1_PANEL_CONTROL'!$C$4, CI20, CI40, CI60)</f>
        <v>4.8000000000000001E-2</v>
      </c>
    </row>
    <row r="81" spans="1:87" ht="16.5">
      <c r="A81" s="5" t="s">
        <v>477</v>
      </c>
      <c r="B81" s="30" t="s">
        <v>458</v>
      </c>
      <c r="C81" s="17" t="s">
        <v>504</v>
      </c>
      <c r="D81" s="35">
        <f>CHOOSE('1_PANEL_CONTROL'!$C$4, D21, D41, D61)</f>
        <v>46</v>
      </c>
      <c r="E81" s="35">
        <f>CHOOSE('1_PANEL_CONTROL'!$C$4, E21, E41, E61)</f>
        <v>93</v>
      </c>
      <c r="F81" s="35">
        <f>CHOOSE('1_PANEL_CONTROL'!$C$4, F21, F41, F61)</f>
        <v>141</v>
      </c>
      <c r="G81" s="35">
        <f>CHOOSE('1_PANEL_CONTROL'!$C$4, G21, G41, G61)</f>
        <v>190</v>
      </c>
      <c r="H81" s="35">
        <f>CHOOSE('1_PANEL_CONTROL'!$C$4, H21, H41, H61)</f>
        <v>241</v>
      </c>
      <c r="I81" s="35">
        <f>CHOOSE('1_PANEL_CONTROL'!$C$4, I21, I41, I61)</f>
        <v>294</v>
      </c>
      <c r="J81" s="35">
        <f>CHOOSE('1_PANEL_CONTROL'!$C$4, J21, J41, J61)</f>
        <v>349</v>
      </c>
      <c r="K81" s="35">
        <f>CHOOSE('1_PANEL_CONTROL'!$C$4, K21, K41, K61)</f>
        <v>406</v>
      </c>
      <c r="L81" s="35">
        <f>CHOOSE('1_PANEL_CONTROL'!$C$4, L21, L41, L61)</f>
        <v>467</v>
      </c>
      <c r="M81" s="35">
        <f>CHOOSE('1_PANEL_CONTROL'!$C$4, M21, M41, M61)</f>
        <v>531</v>
      </c>
      <c r="N81" s="35">
        <f>CHOOSE('1_PANEL_CONTROL'!$C$4, N21, N41, N61)</f>
        <v>599</v>
      </c>
      <c r="O81" s="35">
        <f>CHOOSE('1_PANEL_CONTROL'!$C$4, O21, O41, O61)</f>
        <v>670</v>
      </c>
      <c r="P81" s="35">
        <f>CHOOSE('1_PANEL_CONTROL'!$C$4, P21, P41, P61)</f>
        <v>745</v>
      </c>
      <c r="Q81" s="35">
        <f>CHOOSE('1_PANEL_CONTROL'!$C$4, Q21, Q41, Q61)</f>
        <v>824</v>
      </c>
      <c r="R81" s="35">
        <f>CHOOSE('1_PANEL_CONTROL'!$C$4, R21, R41, R61)</f>
        <v>908</v>
      </c>
      <c r="S81" s="35">
        <f>CHOOSE('1_PANEL_CONTROL'!$C$4, S21, S41, S61)</f>
        <v>998</v>
      </c>
      <c r="T81" s="35">
        <f>CHOOSE('1_PANEL_CONTROL'!$C$4, T21, T41, T61)</f>
        <v>1094</v>
      </c>
      <c r="U81" s="35">
        <f>CHOOSE('1_PANEL_CONTROL'!$C$4, U21, U41, U61)</f>
        <v>1196</v>
      </c>
      <c r="V81" s="35">
        <f>CHOOSE('1_PANEL_CONTROL'!$C$4, V21, V41, V61)</f>
        <v>1306</v>
      </c>
      <c r="W81" s="35">
        <f>CHOOSE('1_PANEL_CONTROL'!$C$4, W21, W41, W61)</f>
        <v>1423</v>
      </c>
      <c r="X81" s="35">
        <f>CHOOSE('1_PANEL_CONTROL'!$C$4, X21, X41, X61)</f>
        <v>1549</v>
      </c>
      <c r="Y81" s="35">
        <f>CHOOSE('1_PANEL_CONTROL'!$C$4, Y21, Y41, Y61)</f>
        <v>1684</v>
      </c>
      <c r="Z81" s="35">
        <f>CHOOSE('1_PANEL_CONTROL'!$C$4, Z21, Z41, Z61)</f>
        <v>1828</v>
      </c>
      <c r="AA81" s="35">
        <f>CHOOSE('1_PANEL_CONTROL'!$C$4, AA21, AA41, AA61)</f>
        <v>1983</v>
      </c>
      <c r="AB81" s="35">
        <f>CHOOSE('1_PANEL_CONTROL'!$C$4, AB21, AB41, AB61)</f>
        <v>2150</v>
      </c>
      <c r="AC81" s="35">
        <f>CHOOSE('1_PANEL_CONTROL'!$C$4, AC21, AC41, AC61)</f>
        <v>2330</v>
      </c>
      <c r="AD81" s="35">
        <f>CHOOSE('1_PANEL_CONTROL'!$C$4, AD21, AD41, AD61)</f>
        <v>2523</v>
      </c>
      <c r="AE81" s="35">
        <f>CHOOSE('1_PANEL_CONTROL'!$C$4, AE21, AE41, AE61)</f>
        <v>2731</v>
      </c>
      <c r="AF81" s="35">
        <f>CHOOSE('1_PANEL_CONTROL'!$C$4, AF21, AF41, AF61)</f>
        <v>2955</v>
      </c>
      <c r="AG81" s="35">
        <f>CHOOSE('1_PANEL_CONTROL'!$C$4, AG21, AG41, AG61)</f>
        <v>3196</v>
      </c>
      <c r="AH81" s="35">
        <f>CHOOSE('1_PANEL_CONTROL'!$C$4, AH21, AH41, AH61)</f>
        <v>3456</v>
      </c>
      <c r="AI81" s="35">
        <f>CHOOSE('1_PANEL_CONTROL'!$C$4, AI21, AI41, AI61)</f>
        <v>3736</v>
      </c>
      <c r="AJ81" s="35">
        <f>CHOOSE('1_PANEL_CONTROL'!$C$4, AJ21, AJ41, AJ61)</f>
        <v>4038</v>
      </c>
      <c r="AK81" s="35">
        <f>CHOOSE('1_PANEL_CONTROL'!$C$4, AK21, AK41, AK61)</f>
        <v>4363</v>
      </c>
      <c r="AL81" s="35">
        <f>CHOOSE('1_PANEL_CONTROL'!$C$4, AL21, AL41, AL61)</f>
        <v>4714</v>
      </c>
      <c r="AM81" s="35">
        <f>CHOOSE('1_PANEL_CONTROL'!$C$4, AM21, AM41, AM61)</f>
        <v>5092</v>
      </c>
      <c r="AN81" s="35">
        <f>CHOOSE('1_PANEL_CONTROL'!$C$4, AN21, AN41, AN61)</f>
        <v>5500</v>
      </c>
      <c r="AO81" s="35">
        <f>CHOOSE('1_PANEL_CONTROL'!$C$4, AO21, AO41, AO61)</f>
        <v>5940</v>
      </c>
      <c r="AP81" s="35">
        <f>CHOOSE('1_PANEL_CONTROL'!$C$4, AP21, AP41, AP61)</f>
        <v>6415</v>
      </c>
      <c r="AQ81" s="35">
        <f>CHOOSE('1_PANEL_CONTROL'!$C$4, AQ21, AQ41, AQ61)</f>
        <v>6927</v>
      </c>
      <c r="AR81" s="35">
        <f>CHOOSE('1_PANEL_CONTROL'!$C$4, AR21, AR41, AR61)</f>
        <v>7481</v>
      </c>
      <c r="AS81" s="35">
        <f>CHOOSE('1_PANEL_CONTROL'!$C$4, AS21, AS41, AS61)</f>
        <v>8078</v>
      </c>
      <c r="AT81" s="35">
        <f>CHOOSE('1_PANEL_CONTROL'!$C$4, AT21, AT41, AT61)</f>
        <v>8722</v>
      </c>
      <c r="AU81" s="35">
        <f>CHOOSE('1_PANEL_CONTROL'!$C$4, AU21, AU41, AU61)</f>
        <v>9417</v>
      </c>
      <c r="AV81" s="35">
        <f>CHOOSE('1_PANEL_CONTROL'!$C$4, AV21, AV41, AV61)</f>
        <v>10168</v>
      </c>
      <c r="AW81" s="35">
        <f>CHOOSE('1_PANEL_CONTROL'!$C$4, AW21, AW41, AW61)</f>
        <v>10979</v>
      </c>
      <c r="AX81" s="35">
        <f>CHOOSE('1_PANEL_CONTROL'!$C$4, AX21, AX41, AX61)</f>
        <v>11855</v>
      </c>
      <c r="AY81" s="35">
        <f>CHOOSE('1_PANEL_CONTROL'!$C$4, AY21, AY41, AY61)</f>
        <v>12800</v>
      </c>
      <c r="AZ81" s="35">
        <f>CHOOSE('1_PANEL_CONTROL'!$C$4, AZ21, AZ41, AZ61)</f>
        <v>13821</v>
      </c>
      <c r="BA81" s="35">
        <f>CHOOSE('1_PANEL_CONTROL'!$C$4, BA21, BA41, BA61)</f>
        <v>14924</v>
      </c>
      <c r="BB81" s="35">
        <f>CHOOSE('1_PANEL_CONTROL'!$C$4, BB21, BB41, BB61)</f>
        <v>16114</v>
      </c>
      <c r="BC81" s="35">
        <f>CHOOSE('1_PANEL_CONTROL'!$C$4, BC21, BC41, BC61)</f>
        <v>17400</v>
      </c>
      <c r="BD81" s="35">
        <f>CHOOSE('1_PANEL_CONTROL'!$C$4, BD21, BD41, BD61)</f>
        <v>18788</v>
      </c>
      <c r="BE81" s="35">
        <f>CHOOSE('1_PANEL_CONTROL'!$C$4, BE21, BE41, BE61)</f>
        <v>20286</v>
      </c>
      <c r="BF81" s="35">
        <f>CHOOSE('1_PANEL_CONTROL'!$C$4, BF21, BF41, BF61)</f>
        <v>21904</v>
      </c>
      <c r="BG81" s="35">
        <f>CHOOSE('1_PANEL_CONTROL'!$C$4, BG21, BG41, BG61)</f>
        <v>23652</v>
      </c>
      <c r="BH81" s="35">
        <f>CHOOSE('1_PANEL_CONTROL'!$C$4, BH21, BH41, BH61)</f>
        <v>25539</v>
      </c>
      <c r="BI81" s="35">
        <f>CHOOSE('1_PANEL_CONTROL'!$C$4, BI21, BI41, BI61)</f>
        <v>27577</v>
      </c>
      <c r="BJ81" s="35">
        <f>CHOOSE('1_PANEL_CONTROL'!$C$4, BJ21, BJ41, BJ61)</f>
        <v>29777</v>
      </c>
      <c r="BK81" s="35">
        <f>CHOOSE('1_PANEL_CONTROL'!$C$4, BK21, BK41, BK61)</f>
        <v>32154</v>
      </c>
      <c r="BL81" s="35">
        <f>CHOOSE('1_PANEL_CONTROL'!$C$4, BL21, BL41, BL61)</f>
        <v>34721</v>
      </c>
      <c r="BM81" s="35">
        <f>CHOOSE('1_PANEL_CONTROL'!$C$4, BM21, BM41, BM61)</f>
        <v>37492</v>
      </c>
      <c r="BN81" s="35">
        <f>CHOOSE('1_PANEL_CONTROL'!$C$4, BN21, BN41, BN61)</f>
        <v>40485</v>
      </c>
      <c r="BO81" s="35">
        <f>CHOOSE('1_PANEL_CONTROL'!$C$4, BO21, BO41, BO61)</f>
        <v>43718</v>
      </c>
      <c r="BP81" s="35">
        <f>CHOOSE('1_PANEL_CONTROL'!$C$4, BP21, BP41, BP61)</f>
        <v>47210</v>
      </c>
      <c r="BQ81" s="35">
        <f>CHOOSE('1_PANEL_CONTROL'!$C$4, BQ21, BQ41, BQ61)</f>
        <v>50981</v>
      </c>
      <c r="BR81" s="35">
        <f>CHOOSE('1_PANEL_CONTROL'!$C$4, BR21, BR41, BR61)</f>
        <v>55053</v>
      </c>
      <c r="BS81" s="35">
        <f>CHOOSE('1_PANEL_CONTROL'!$C$4, BS21, BS41, BS61)</f>
        <v>59450</v>
      </c>
      <c r="BT81" s="35">
        <f>CHOOSE('1_PANEL_CONTROL'!$C$4, BT21, BT41, BT61)</f>
        <v>64199</v>
      </c>
      <c r="BU81" s="35">
        <f>CHOOSE('1_PANEL_CONTROL'!$C$4, BU21, BU41, BU61)</f>
        <v>69328</v>
      </c>
      <c r="BV81" s="35">
        <f>CHOOSE('1_PANEL_CONTROL'!$C$4, BV21, BV41, BV61)</f>
        <v>74867</v>
      </c>
      <c r="BW81" s="35">
        <f>CHOOSE('1_PANEL_CONTROL'!$C$4, BW21, BW41, BW61)</f>
        <v>80849</v>
      </c>
      <c r="BX81" s="35">
        <f>CHOOSE('1_PANEL_CONTROL'!$C$4, BX21, BX41, BX61)</f>
        <v>87310</v>
      </c>
      <c r="BY81" s="35">
        <f>CHOOSE('1_PANEL_CONTROL'!$C$4, BY21, BY41, BY61)</f>
        <v>94288</v>
      </c>
      <c r="BZ81" s="35">
        <f>CHOOSE('1_PANEL_CONTROL'!$C$4, BZ21, BZ41, BZ61)</f>
        <v>101824</v>
      </c>
      <c r="CA81" s="35">
        <f>CHOOSE('1_PANEL_CONTROL'!$C$4, CA21, CA41, CA61)</f>
        <v>109963</v>
      </c>
      <c r="CB81" s="35">
        <f>CHOOSE('1_PANEL_CONTROL'!$C$4, CB21, CB41, CB61)</f>
        <v>118753</v>
      </c>
      <c r="CC81" s="35">
        <f>CHOOSE('1_PANEL_CONTROL'!$C$4, CC21, CC41, CC61)</f>
        <v>128246</v>
      </c>
      <c r="CD81" s="35">
        <f>CHOOSE('1_PANEL_CONTROL'!$C$4, CD21, CD41, CD61)</f>
        <v>138499</v>
      </c>
      <c r="CE81" s="35">
        <f>CHOOSE('1_PANEL_CONTROL'!$C$4, CE21, CE41, CE61)</f>
        <v>149572</v>
      </c>
      <c r="CF81" s="35">
        <f>CHOOSE('1_PANEL_CONTROL'!$C$4, CF21, CF41, CF61)</f>
        <v>161531</v>
      </c>
      <c r="CG81" s="35">
        <f>CHOOSE('1_PANEL_CONTROL'!$C$4, CG21, CG41, CG61)</f>
        <v>174447</v>
      </c>
      <c r="CH81" s="35">
        <f>CHOOSE('1_PANEL_CONTROL'!$C$4, CH21, CH41, CH61)</f>
        <v>188396</v>
      </c>
      <c r="CI81" s="35">
        <f>CHOOSE('1_PANEL_CONTROL'!$C$4, CI21, CI41, CI61)</f>
        <v>203460</v>
      </c>
    </row>
    <row r="82" spans="1:87" ht="16.5">
      <c r="A82" s="5" t="s">
        <v>479</v>
      </c>
      <c r="B82" s="30" t="s">
        <v>455</v>
      </c>
      <c r="C82" s="17" t="s">
        <v>504</v>
      </c>
      <c r="D82" s="34">
        <f>CHOOSE('1_PANEL_CONTROL'!$C$4, D22, D42, D62)</f>
        <v>0.3</v>
      </c>
      <c r="E82" s="34">
        <f>CHOOSE('1_PANEL_CONTROL'!$C$4, E22, E42, E62)</f>
        <v>0.3</v>
      </c>
      <c r="F82" s="34">
        <f>CHOOSE('1_PANEL_CONTROL'!$C$4, F22, F42, F62)</f>
        <v>0.3</v>
      </c>
      <c r="G82" s="34">
        <f>CHOOSE('1_PANEL_CONTROL'!$C$4, G22, G42, G62)</f>
        <v>0.3</v>
      </c>
      <c r="H82" s="34">
        <f>CHOOSE('1_PANEL_CONTROL'!$C$4, H22, H42, H62)</f>
        <v>0.3</v>
      </c>
      <c r="I82" s="34">
        <f>CHOOSE('1_PANEL_CONTROL'!$C$4, I22, I42, I62)</f>
        <v>0.3</v>
      </c>
      <c r="J82" s="34">
        <f>CHOOSE('1_PANEL_CONTROL'!$C$4, J22, J42, J62)</f>
        <v>0.3</v>
      </c>
      <c r="K82" s="34">
        <f>CHOOSE('1_PANEL_CONTROL'!$C$4, K22, K42, K62)</f>
        <v>0.3</v>
      </c>
      <c r="L82" s="34">
        <f>CHOOSE('1_PANEL_CONTROL'!$C$4, L22, L42, L62)</f>
        <v>0.3</v>
      </c>
      <c r="M82" s="34">
        <f>CHOOSE('1_PANEL_CONTROL'!$C$4, M22, M42, M62)</f>
        <v>0.3</v>
      </c>
      <c r="N82" s="34">
        <f>CHOOSE('1_PANEL_CONTROL'!$C$4, N22, N42, N62)</f>
        <v>0.3</v>
      </c>
      <c r="O82" s="34">
        <f>CHOOSE('1_PANEL_CONTROL'!$C$4, O22, O42, O62)</f>
        <v>0.3</v>
      </c>
      <c r="P82" s="34">
        <f>CHOOSE('1_PANEL_CONTROL'!$C$4, P22, P42, P62)</f>
        <v>0.3</v>
      </c>
      <c r="Q82" s="34">
        <f>CHOOSE('1_PANEL_CONTROL'!$C$4, Q22, Q42, Q62)</f>
        <v>0.3</v>
      </c>
      <c r="R82" s="34">
        <f>CHOOSE('1_PANEL_CONTROL'!$C$4, R22, R42, R62)</f>
        <v>0.3</v>
      </c>
      <c r="S82" s="34">
        <f>CHOOSE('1_PANEL_CONTROL'!$C$4, S22, S42, S62)</f>
        <v>0.3</v>
      </c>
      <c r="T82" s="34">
        <f>CHOOSE('1_PANEL_CONTROL'!$C$4, T22, T42, T62)</f>
        <v>0.3</v>
      </c>
      <c r="U82" s="34">
        <f>CHOOSE('1_PANEL_CONTROL'!$C$4, U22, U42, U62)</f>
        <v>0.3</v>
      </c>
      <c r="V82" s="34">
        <f>CHOOSE('1_PANEL_CONTROL'!$C$4, V22, V42, V62)</f>
        <v>0.3</v>
      </c>
      <c r="W82" s="34">
        <f>CHOOSE('1_PANEL_CONTROL'!$C$4, W22, W42, W62)</f>
        <v>0.3</v>
      </c>
      <c r="X82" s="34">
        <f>CHOOSE('1_PANEL_CONTROL'!$C$4, X22, X42, X62)</f>
        <v>0.3</v>
      </c>
      <c r="Y82" s="34">
        <f>CHOOSE('1_PANEL_CONTROL'!$C$4, Y22, Y42, Y62)</f>
        <v>0.3</v>
      </c>
      <c r="Z82" s="34">
        <f>CHOOSE('1_PANEL_CONTROL'!$C$4, Z22, Z42, Z62)</f>
        <v>0.3</v>
      </c>
      <c r="AA82" s="34">
        <f>CHOOSE('1_PANEL_CONTROL'!$C$4, AA22, AA42, AA62)</f>
        <v>0.3</v>
      </c>
      <c r="AB82" s="34">
        <f>CHOOSE('1_PANEL_CONTROL'!$C$4, AB22, AB42, AB62)</f>
        <v>0.3</v>
      </c>
      <c r="AC82" s="34">
        <f>CHOOSE('1_PANEL_CONTROL'!$C$4, AC22, AC42, AC62)</f>
        <v>0.3</v>
      </c>
      <c r="AD82" s="34">
        <f>CHOOSE('1_PANEL_CONTROL'!$C$4, AD22, AD42, AD62)</f>
        <v>0.3</v>
      </c>
      <c r="AE82" s="34">
        <f>CHOOSE('1_PANEL_CONTROL'!$C$4, AE22, AE42, AE62)</f>
        <v>0.3</v>
      </c>
      <c r="AF82" s="34">
        <f>CHOOSE('1_PANEL_CONTROL'!$C$4, AF22, AF42, AF62)</f>
        <v>0.3</v>
      </c>
      <c r="AG82" s="34">
        <f>CHOOSE('1_PANEL_CONTROL'!$C$4, AG22, AG42, AG62)</f>
        <v>0.3</v>
      </c>
      <c r="AH82" s="34">
        <f>CHOOSE('1_PANEL_CONTROL'!$C$4, AH22, AH42, AH62)</f>
        <v>0.3</v>
      </c>
      <c r="AI82" s="34">
        <f>CHOOSE('1_PANEL_CONTROL'!$C$4, AI22, AI42, AI62)</f>
        <v>0.3</v>
      </c>
      <c r="AJ82" s="34">
        <f>CHOOSE('1_PANEL_CONTROL'!$C$4, AJ22, AJ42, AJ62)</f>
        <v>0.3</v>
      </c>
      <c r="AK82" s="34">
        <f>CHOOSE('1_PANEL_CONTROL'!$C$4, AK22, AK42, AK62)</f>
        <v>0.3</v>
      </c>
      <c r="AL82" s="34">
        <f>CHOOSE('1_PANEL_CONTROL'!$C$4, AL22, AL42, AL62)</f>
        <v>0.3</v>
      </c>
      <c r="AM82" s="34">
        <f>CHOOSE('1_PANEL_CONTROL'!$C$4, AM22, AM42, AM62)</f>
        <v>0.3</v>
      </c>
      <c r="AN82" s="34">
        <f>CHOOSE('1_PANEL_CONTROL'!$C$4, AN22, AN42, AN62)</f>
        <v>0.3</v>
      </c>
      <c r="AO82" s="34">
        <f>CHOOSE('1_PANEL_CONTROL'!$C$4, AO22, AO42, AO62)</f>
        <v>0.3</v>
      </c>
      <c r="AP82" s="34">
        <f>CHOOSE('1_PANEL_CONTROL'!$C$4, AP22, AP42, AP62)</f>
        <v>0.3</v>
      </c>
      <c r="AQ82" s="34">
        <f>CHOOSE('1_PANEL_CONTROL'!$C$4, AQ22, AQ42, AQ62)</f>
        <v>0.3</v>
      </c>
      <c r="AR82" s="34">
        <f>CHOOSE('1_PANEL_CONTROL'!$C$4, AR22, AR42, AR62)</f>
        <v>0.3</v>
      </c>
      <c r="AS82" s="34">
        <f>CHOOSE('1_PANEL_CONTROL'!$C$4, AS22, AS42, AS62)</f>
        <v>0.3</v>
      </c>
      <c r="AT82" s="34">
        <f>CHOOSE('1_PANEL_CONTROL'!$C$4, AT22, AT42, AT62)</f>
        <v>0.3</v>
      </c>
      <c r="AU82" s="34">
        <f>CHOOSE('1_PANEL_CONTROL'!$C$4, AU22, AU42, AU62)</f>
        <v>0.3</v>
      </c>
      <c r="AV82" s="34">
        <f>CHOOSE('1_PANEL_CONTROL'!$C$4, AV22, AV42, AV62)</f>
        <v>0.3</v>
      </c>
      <c r="AW82" s="34">
        <f>CHOOSE('1_PANEL_CONTROL'!$C$4, AW22, AW42, AW62)</f>
        <v>0.3</v>
      </c>
      <c r="AX82" s="34">
        <f>CHOOSE('1_PANEL_CONTROL'!$C$4, AX22, AX42, AX62)</f>
        <v>0.3</v>
      </c>
      <c r="AY82" s="34">
        <f>CHOOSE('1_PANEL_CONTROL'!$C$4, AY22, AY42, AY62)</f>
        <v>0.3</v>
      </c>
      <c r="AZ82" s="34">
        <f>CHOOSE('1_PANEL_CONTROL'!$C$4, AZ22, AZ42, AZ62)</f>
        <v>0.3</v>
      </c>
      <c r="BA82" s="34">
        <f>CHOOSE('1_PANEL_CONTROL'!$C$4, BA22, BA42, BA62)</f>
        <v>0.3</v>
      </c>
      <c r="BB82" s="34">
        <f>CHOOSE('1_PANEL_CONTROL'!$C$4, BB22, BB42, BB62)</f>
        <v>0.3</v>
      </c>
      <c r="BC82" s="34">
        <f>CHOOSE('1_PANEL_CONTROL'!$C$4, BC22, BC42, BC62)</f>
        <v>0.3</v>
      </c>
      <c r="BD82" s="34">
        <f>CHOOSE('1_PANEL_CONTROL'!$C$4, BD22, BD42, BD62)</f>
        <v>0.3</v>
      </c>
      <c r="BE82" s="34">
        <f>CHOOSE('1_PANEL_CONTROL'!$C$4, BE22, BE42, BE62)</f>
        <v>0.3</v>
      </c>
      <c r="BF82" s="34">
        <f>CHOOSE('1_PANEL_CONTROL'!$C$4, BF22, BF42, BF62)</f>
        <v>0.3</v>
      </c>
      <c r="BG82" s="34">
        <f>CHOOSE('1_PANEL_CONTROL'!$C$4, BG22, BG42, BG62)</f>
        <v>0.3</v>
      </c>
      <c r="BH82" s="34">
        <f>CHOOSE('1_PANEL_CONTROL'!$C$4, BH22, BH42, BH62)</f>
        <v>0.3</v>
      </c>
      <c r="BI82" s="34">
        <f>CHOOSE('1_PANEL_CONTROL'!$C$4, BI22, BI42, BI62)</f>
        <v>0.3</v>
      </c>
      <c r="BJ82" s="34">
        <f>CHOOSE('1_PANEL_CONTROL'!$C$4, BJ22, BJ42, BJ62)</f>
        <v>0.3</v>
      </c>
      <c r="BK82" s="34">
        <f>CHOOSE('1_PANEL_CONTROL'!$C$4, BK22, BK42, BK62)</f>
        <v>0.3</v>
      </c>
      <c r="BL82" s="34">
        <f>CHOOSE('1_PANEL_CONTROL'!$C$4, BL22, BL42, BL62)</f>
        <v>0.3</v>
      </c>
      <c r="BM82" s="34">
        <f>CHOOSE('1_PANEL_CONTROL'!$C$4, BM22, BM42, BM62)</f>
        <v>0.3</v>
      </c>
      <c r="BN82" s="34">
        <f>CHOOSE('1_PANEL_CONTROL'!$C$4, BN22, BN42, BN62)</f>
        <v>0.3</v>
      </c>
      <c r="BO82" s="34">
        <f>CHOOSE('1_PANEL_CONTROL'!$C$4, BO22, BO42, BO62)</f>
        <v>0.3</v>
      </c>
      <c r="BP82" s="34">
        <f>CHOOSE('1_PANEL_CONTROL'!$C$4, BP22, BP42, BP62)</f>
        <v>0.3</v>
      </c>
      <c r="BQ82" s="34">
        <f>CHOOSE('1_PANEL_CONTROL'!$C$4, BQ22, BQ42, BQ62)</f>
        <v>0.3</v>
      </c>
      <c r="BR82" s="34">
        <f>CHOOSE('1_PANEL_CONTROL'!$C$4, BR22, BR42, BR62)</f>
        <v>0.3</v>
      </c>
      <c r="BS82" s="34">
        <f>CHOOSE('1_PANEL_CONTROL'!$C$4, BS22, BS42, BS62)</f>
        <v>0.3</v>
      </c>
      <c r="BT82" s="34">
        <f>CHOOSE('1_PANEL_CONTROL'!$C$4, BT22, BT42, BT62)</f>
        <v>0.3</v>
      </c>
      <c r="BU82" s="34">
        <f>CHOOSE('1_PANEL_CONTROL'!$C$4, BU22, BU42, BU62)</f>
        <v>0.3</v>
      </c>
      <c r="BV82" s="34">
        <f>CHOOSE('1_PANEL_CONTROL'!$C$4, BV22, BV42, BV62)</f>
        <v>0.3</v>
      </c>
      <c r="BW82" s="34">
        <f>CHOOSE('1_PANEL_CONTROL'!$C$4, BW22, BW42, BW62)</f>
        <v>0.3</v>
      </c>
      <c r="BX82" s="34">
        <f>CHOOSE('1_PANEL_CONTROL'!$C$4, BX22, BX42, BX62)</f>
        <v>0.3</v>
      </c>
      <c r="BY82" s="34">
        <f>CHOOSE('1_PANEL_CONTROL'!$C$4, BY22, BY42, BY62)</f>
        <v>0.3</v>
      </c>
      <c r="BZ82" s="34">
        <f>CHOOSE('1_PANEL_CONTROL'!$C$4, BZ22, BZ42, BZ62)</f>
        <v>0.3</v>
      </c>
      <c r="CA82" s="34">
        <f>CHOOSE('1_PANEL_CONTROL'!$C$4, CA22, CA42, CA62)</f>
        <v>0.3</v>
      </c>
      <c r="CB82" s="34">
        <f>CHOOSE('1_PANEL_CONTROL'!$C$4, CB22, CB42, CB62)</f>
        <v>0.3</v>
      </c>
      <c r="CC82" s="34">
        <f>CHOOSE('1_PANEL_CONTROL'!$C$4, CC22, CC42, CC62)</f>
        <v>0.3</v>
      </c>
      <c r="CD82" s="34">
        <f>CHOOSE('1_PANEL_CONTROL'!$C$4, CD22, CD42, CD62)</f>
        <v>0.3</v>
      </c>
      <c r="CE82" s="34">
        <f>CHOOSE('1_PANEL_CONTROL'!$C$4, CE22, CE42, CE62)</f>
        <v>0.3</v>
      </c>
      <c r="CF82" s="34">
        <f>CHOOSE('1_PANEL_CONTROL'!$C$4, CF22, CF42, CF62)</f>
        <v>0.3</v>
      </c>
      <c r="CG82" s="34">
        <f>CHOOSE('1_PANEL_CONTROL'!$C$4, CG22, CG42, CG62)</f>
        <v>0.3</v>
      </c>
      <c r="CH82" s="34">
        <f>CHOOSE('1_PANEL_CONTROL'!$C$4, CH22, CH42, CH62)</f>
        <v>0.3</v>
      </c>
      <c r="CI82" s="34">
        <f>CHOOSE('1_PANEL_CONTROL'!$C$4, CI22, CI42, CI62)</f>
        <v>0.3</v>
      </c>
    </row>
    <row r="83" spans="1:87" ht="16.5">
      <c r="A83" s="5" t="s">
        <v>481</v>
      </c>
      <c r="B83" s="30" t="s">
        <v>458</v>
      </c>
      <c r="C83" s="17" t="s">
        <v>504</v>
      </c>
      <c r="D83" s="35">
        <f>CHOOSE('1_PANEL_CONTROL'!$C$4, D23, D43, D63)</f>
        <v>14</v>
      </c>
      <c r="E83" s="35">
        <f>CHOOSE('1_PANEL_CONTROL'!$C$4, E23, E43, E63)</f>
        <v>28</v>
      </c>
      <c r="F83" s="35">
        <f>CHOOSE('1_PANEL_CONTROL'!$C$4, F23, F43, F63)</f>
        <v>42</v>
      </c>
      <c r="G83" s="35">
        <f>CHOOSE('1_PANEL_CONTROL'!$C$4, G23, G43, G63)</f>
        <v>57</v>
      </c>
      <c r="H83" s="35">
        <f>CHOOSE('1_PANEL_CONTROL'!$C$4, H23, H43, H63)</f>
        <v>72</v>
      </c>
      <c r="I83" s="35">
        <f>CHOOSE('1_PANEL_CONTROL'!$C$4, I23, I43, I63)</f>
        <v>88</v>
      </c>
      <c r="J83" s="35">
        <f>CHOOSE('1_PANEL_CONTROL'!$C$4, J23, J43, J63)</f>
        <v>105</v>
      </c>
      <c r="K83" s="35">
        <f>CHOOSE('1_PANEL_CONTROL'!$C$4, K23, K43, K63)</f>
        <v>122</v>
      </c>
      <c r="L83" s="35">
        <f>CHOOSE('1_PANEL_CONTROL'!$C$4, L23, L43, L63)</f>
        <v>140</v>
      </c>
      <c r="M83" s="35">
        <f>CHOOSE('1_PANEL_CONTROL'!$C$4, M23, M43, M63)</f>
        <v>159</v>
      </c>
      <c r="N83" s="35">
        <f>CHOOSE('1_PANEL_CONTROL'!$C$4, N23, N43, N63)</f>
        <v>180</v>
      </c>
      <c r="O83" s="35">
        <f>CHOOSE('1_PANEL_CONTROL'!$C$4, O23, O43, O63)</f>
        <v>201</v>
      </c>
      <c r="P83" s="35">
        <f>CHOOSE('1_PANEL_CONTROL'!$C$4, P23, P43, P63)</f>
        <v>224</v>
      </c>
      <c r="Q83" s="35">
        <f>CHOOSE('1_PANEL_CONTROL'!$C$4, Q23, Q43, Q63)</f>
        <v>247</v>
      </c>
      <c r="R83" s="35">
        <f>CHOOSE('1_PANEL_CONTROL'!$C$4, R23, R43, R63)</f>
        <v>272</v>
      </c>
      <c r="S83" s="35">
        <f>CHOOSE('1_PANEL_CONTROL'!$C$4, S23, S43, S63)</f>
        <v>299</v>
      </c>
      <c r="T83" s="35">
        <f>CHOOSE('1_PANEL_CONTROL'!$C$4, T23, T43, T63)</f>
        <v>328</v>
      </c>
      <c r="U83" s="35">
        <f>CHOOSE('1_PANEL_CONTROL'!$C$4, U23, U43, U63)</f>
        <v>359</v>
      </c>
      <c r="V83" s="35">
        <f>CHOOSE('1_PANEL_CONTROL'!$C$4, V23, V43, V63)</f>
        <v>392</v>
      </c>
      <c r="W83" s="35">
        <f>CHOOSE('1_PANEL_CONTROL'!$C$4, W23, W43, W63)</f>
        <v>427</v>
      </c>
      <c r="X83" s="35">
        <f>CHOOSE('1_PANEL_CONTROL'!$C$4, X23, X43, X63)</f>
        <v>465</v>
      </c>
      <c r="Y83" s="35">
        <f>CHOOSE('1_PANEL_CONTROL'!$C$4, Y23, Y43, Y63)</f>
        <v>505</v>
      </c>
      <c r="Z83" s="35">
        <f>CHOOSE('1_PANEL_CONTROL'!$C$4, Z23, Z43, Z63)</f>
        <v>548</v>
      </c>
      <c r="AA83" s="35">
        <f>CHOOSE('1_PANEL_CONTROL'!$C$4, AA23, AA43, AA63)</f>
        <v>595</v>
      </c>
      <c r="AB83" s="35">
        <f>CHOOSE('1_PANEL_CONTROL'!$C$4, AB23, AB43, AB63)</f>
        <v>645</v>
      </c>
      <c r="AC83" s="35">
        <f>CHOOSE('1_PANEL_CONTROL'!$C$4, AC23, AC43, AC63)</f>
        <v>699</v>
      </c>
      <c r="AD83" s="35">
        <f>CHOOSE('1_PANEL_CONTROL'!$C$4, AD23, AD43, AD63)</f>
        <v>757</v>
      </c>
      <c r="AE83" s="35">
        <f>CHOOSE('1_PANEL_CONTROL'!$C$4, AE23, AE43, AE63)</f>
        <v>819</v>
      </c>
      <c r="AF83" s="35">
        <f>CHOOSE('1_PANEL_CONTROL'!$C$4, AF23, AF43, AF63)</f>
        <v>887</v>
      </c>
      <c r="AG83" s="35">
        <f>CHOOSE('1_PANEL_CONTROL'!$C$4, AG23, AG43, AG63)</f>
        <v>959</v>
      </c>
      <c r="AH83" s="35">
        <f>CHOOSE('1_PANEL_CONTROL'!$C$4, AH23, AH43, AH63)</f>
        <v>1037</v>
      </c>
      <c r="AI83" s="35">
        <f>CHOOSE('1_PANEL_CONTROL'!$C$4, AI23, AI43, AI63)</f>
        <v>1121</v>
      </c>
      <c r="AJ83" s="35">
        <f>CHOOSE('1_PANEL_CONTROL'!$C$4, AJ23, AJ43, AJ63)</f>
        <v>1211</v>
      </c>
      <c r="AK83" s="35">
        <f>CHOOSE('1_PANEL_CONTROL'!$C$4, AK23, AK43, AK63)</f>
        <v>1309</v>
      </c>
      <c r="AL83" s="35">
        <f>CHOOSE('1_PANEL_CONTROL'!$C$4, AL23, AL43, AL63)</f>
        <v>1414</v>
      </c>
      <c r="AM83" s="35">
        <f>CHOOSE('1_PANEL_CONTROL'!$C$4, AM23, AM43, AM63)</f>
        <v>1528</v>
      </c>
      <c r="AN83" s="35">
        <f>CHOOSE('1_PANEL_CONTROL'!$C$4, AN23, AN43, AN63)</f>
        <v>1650</v>
      </c>
      <c r="AO83" s="35">
        <f>CHOOSE('1_PANEL_CONTROL'!$C$4, AO23, AO43, AO63)</f>
        <v>1782</v>
      </c>
      <c r="AP83" s="35">
        <f>CHOOSE('1_PANEL_CONTROL'!$C$4, AP23, AP43, AP63)</f>
        <v>1925</v>
      </c>
      <c r="AQ83" s="35">
        <f>CHOOSE('1_PANEL_CONTROL'!$C$4, AQ23, AQ43, AQ63)</f>
        <v>2078</v>
      </c>
      <c r="AR83" s="35">
        <f>CHOOSE('1_PANEL_CONTROL'!$C$4, AR23, AR43, AR63)</f>
        <v>2244</v>
      </c>
      <c r="AS83" s="35">
        <f>CHOOSE('1_PANEL_CONTROL'!$C$4, AS23, AS43, AS63)</f>
        <v>2423</v>
      </c>
      <c r="AT83" s="35">
        <f>CHOOSE('1_PANEL_CONTROL'!$C$4, AT23, AT43, AT63)</f>
        <v>2617</v>
      </c>
      <c r="AU83" s="35">
        <f>CHOOSE('1_PANEL_CONTROL'!$C$4, AU23, AU43, AU63)</f>
        <v>2825</v>
      </c>
      <c r="AV83" s="35">
        <f>CHOOSE('1_PANEL_CONTROL'!$C$4, AV23, AV43, AV63)</f>
        <v>3050</v>
      </c>
      <c r="AW83" s="35">
        <f>CHOOSE('1_PANEL_CONTROL'!$C$4, AW23, AW43, AW63)</f>
        <v>3294</v>
      </c>
      <c r="AX83" s="35">
        <f>CHOOSE('1_PANEL_CONTROL'!$C$4, AX23, AX43, AX63)</f>
        <v>3557</v>
      </c>
      <c r="AY83" s="35">
        <f>CHOOSE('1_PANEL_CONTROL'!$C$4, AY23, AY43, AY63)</f>
        <v>3840</v>
      </c>
      <c r="AZ83" s="35">
        <f>CHOOSE('1_PANEL_CONTROL'!$C$4, AZ23, AZ43, AZ63)</f>
        <v>4146</v>
      </c>
      <c r="BA83" s="35">
        <f>CHOOSE('1_PANEL_CONTROL'!$C$4, BA23, BA43, BA63)</f>
        <v>4477</v>
      </c>
      <c r="BB83" s="35">
        <f>CHOOSE('1_PANEL_CONTROL'!$C$4, BB23, BB43, BB63)</f>
        <v>4834</v>
      </c>
      <c r="BC83" s="35">
        <f>CHOOSE('1_PANEL_CONTROL'!$C$4, BC23, BC43, BC63)</f>
        <v>5220</v>
      </c>
      <c r="BD83" s="35">
        <f>CHOOSE('1_PANEL_CONTROL'!$C$4, BD23, BD43, BD63)</f>
        <v>5636</v>
      </c>
      <c r="BE83" s="35">
        <f>CHOOSE('1_PANEL_CONTROL'!$C$4, BE23, BE43, BE63)</f>
        <v>6086</v>
      </c>
      <c r="BF83" s="35">
        <f>CHOOSE('1_PANEL_CONTROL'!$C$4, BF23, BF43, BF63)</f>
        <v>6571</v>
      </c>
      <c r="BG83" s="35">
        <f>CHOOSE('1_PANEL_CONTROL'!$C$4, BG23, BG43, BG63)</f>
        <v>7096</v>
      </c>
      <c r="BH83" s="35">
        <f>CHOOSE('1_PANEL_CONTROL'!$C$4, BH23, BH43, BH63)</f>
        <v>7662</v>
      </c>
      <c r="BI83" s="35">
        <f>CHOOSE('1_PANEL_CONTROL'!$C$4, BI23, BI43, BI63)</f>
        <v>8273</v>
      </c>
      <c r="BJ83" s="35">
        <f>CHOOSE('1_PANEL_CONTROL'!$C$4, BJ23, BJ43, BJ63)</f>
        <v>8933</v>
      </c>
      <c r="BK83" s="35">
        <f>CHOOSE('1_PANEL_CONTROL'!$C$4, BK23, BK43, BK63)</f>
        <v>9646</v>
      </c>
      <c r="BL83" s="35">
        <f>CHOOSE('1_PANEL_CONTROL'!$C$4, BL23, BL43, BL63)</f>
        <v>10416</v>
      </c>
      <c r="BM83" s="35">
        <f>CHOOSE('1_PANEL_CONTROL'!$C$4, BM23, BM43, BM63)</f>
        <v>11248</v>
      </c>
      <c r="BN83" s="35">
        <f>CHOOSE('1_PANEL_CONTROL'!$C$4, BN23, BN43, BN63)</f>
        <v>12146</v>
      </c>
      <c r="BO83" s="35">
        <f>CHOOSE('1_PANEL_CONTROL'!$C$4, BO23, BO43, BO63)</f>
        <v>13115</v>
      </c>
      <c r="BP83" s="35">
        <f>CHOOSE('1_PANEL_CONTROL'!$C$4, BP23, BP43, BP63)</f>
        <v>14163</v>
      </c>
      <c r="BQ83" s="35">
        <f>CHOOSE('1_PANEL_CONTROL'!$C$4, BQ23, BQ43, BQ63)</f>
        <v>15294</v>
      </c>
      <c r="BR83" s="35">
        <f>CHOOSE('1_PANEL_CONTROL'!$C$4, BR23, BR43, BR63)</f>
        <v>16516</v>
      </c>
      <c r="BS83" s="35">
        <f>CHOOSE('1_PANEL_CONTROL'!$C$4, BS23, BS43, BS63)</f>
        <v>17835</v>
      </c>
      <c r="BT83" s="35">
        <f>CHOOSE('1_PANEL_CONTROL'!$C$4, BT23, BT43, BT63)</f>
        <v>19260</v>
      </c>
      <c r="BU83" s="35">
        <f>CHOOSE('1_PANEL_CONTROL'!$C$4, BU23, BU43, BU63)</f>
        <v>20798</v>
      </c>
      <c r="BV83" s="35">
        <f>CHOOSE('1_PANEL_CONTROL'!$C$4, BV23, BV43, BV63)</f>
        <v>22460</v>
      </c>
      <c r="BW83" s="35">
        <f>CHOOSE('1_PANEL_CONTROL'!$C$4, BW23, BW43, BW63)</f>
        <v>24255</v>
      </c>
      <c r="BX83" s="35">
        <f>CHOOSE('1_PANEL_CONTROL'!$C$4, BX23, BX43, BX63)</f>
        <v>26193</v>
      </c>
      <c r="BY83" s="35">
        <f>CHOOSE('1_PANEL_CONTROL'!$C$4, BY23, BY43, BY63)</f>
        <v>28286</v>
      </c>
      <c r="BZ83" s="35">
        <f>CHOOSE('1_PANEL_CONTROL'!$C$4, BZ23, BZ43, BZ63)</f>
        <v>30547</v>
      </c>
      <c r="CA83" s="35">
        <f>CHOOSE('1_PANEL_CONTROL'!$C$4, CA23, CA43, CA63)</f>
        <v>32989</v>
      </c>
      <c r="CB83" s="35">
        <f>CHOOSE('1_PANEL_CONTROL'!$C$4, CB23, CB43, CB63)</f>
        <v>35626</v>
      </c>
      <c r="CC83" s="35">
        <f>CHOOSE('1_PANEL_CONTROL'!$C$4, CC23, CC43, CC63)</f>
        <v>38474</v>
      </c>
      <c r="CD83" s="35">
        <f>CHOOSE('1_PANEL_CONTROL'!$C$4, CD23, CD43, CD63)</f>
        <v>41550</v>
      </c>
      <c r="CE83" s="35">
        <f>CHOOSE('1_PANEL_CONTROL'!$C$4, CE23, CE43, CE63)</f>
        <v>44872</v>
      </c>
      <c r="CF83" s="35">
        <f>CHOOSE('1_PANEL_CONTROL'!$C$4, CF23, CF43, CF63)</f>
        <v>48459</v>
      </c>
      <c r="CG83" s="35">
        <f>CHOOSE('1_PANEL_CONTROL'!$C$4, CG23, CG43, CG63)</f>
        <v>52334</v>
      </c>
      <c r="CH83" s="35">
        <f>CHOOSE('1_PANEL_CONTROL'!$C$4, CH23, CH43, CH63)</f>
        <v>56519</v>
      </c>
      <c r="CI83" s="35">
        <f>CHOOSE('1_PANEL_CONTROL'!$C$4, CI23, CI43, CI63)</f>
        <v>61038</v>
      </c>
    </row>
    <row r="84" spans="1:87" ht="16.5">
      <c r="A84" s="5" t="s">
        <v>483</v>
      </c>
      <c r="B84" s="30" t="s">
        <v>458</v>
      </c>
      <c r="C84" s="17" t="s">
        <v>504</v>
      </c>
      <c r="D84" s="35">
        <f>CHOOSE('1_PANEL_CONTROL'!$C$4, D24, D44, D64)</f>
        <v>46</v>
      </c>
      <c r="E84" s="35">
        <f>CHOOSE('1_PANEL_CONTROL'!$C$4, E24, E44, E64)</f>
        <v>49</v>
      </c>
      <c r="F84" s="35">
        <f>CHOOSE('1_PANEL_CONTROL'!$C$4, F24, F44, F64)</f>
        <v>52</v>
      </c>
      <c r="G84" s="35">
        <f>CHOOSE('1_PANEL_CONTROL'!$C$4, G24, G44, G64)</f>
        <v>56</v>
      </c>
      <c r="H84" s="35">
        <f>CHOOSE('1_PANEL_CONTROL'!$C$4, H24, H44, H64)</f>
        <v>60</v>
      </c>
      <c r="I84" s="35">
        <f>CHOOSE('1_PANEL_CONTROL'!$C$4, I24, I44, I64)</f>
        <v>65</v>
      </c>
      <c r="J84" s="35">
        <f>CHOOSE('1_PANEL_CONTROL'!$C$4, J24, J44, J64)</f>
        <v>69</v>
      </c>
      <c r="K84" s="35">
        <f>CHOOSE('1_PANEL_CONTROL'!$C$4, K24, K44, K64)</f>
        <v>74</v>
      </c>
      <c r="L84" s="35">
        <f>CHOOSE('1_PANEL_CONTROL'!$C$4, L24, L44, L64)</f>
        <v>80</v>
      </c>
      <c r="M84" s="35">
        <f>CHOOSE('1_PANEL_CONTROL'!$C$4, M24, M44, M64)</f>
        <v>86</v>
      </c>
      <c r="N84" s="35">
        <f>CHOOSE('1_PANEL_CONTROL'!$C$4, N24, N44, N64)</f>
        <v>93</v>
      </c>
      <c r="O84" s="35">
        <f>CHOOSE('1_PANEL_CONTROL'!$C$4, O24, O44, O64)</f>
        <v>100</v>
      </c>
      <c r="P84" s="35">
        <f>CHOOSE('1_PANEL_CONTROL'!$C$4, P24, P44, P64)</f>
        <v>107</v>
      </c>
      <c r="Q84" s="35">
        <f>CHOOSE('1_PANEL_CONTROL'!$C$4, Q24, Q44, Q64)</f>
        <v>115</v>
      </c>
      <c r="R84" s="35">
        <f>CHOOSE('1_PANEL_CONTROL'!$C$4, R24, R44, R64)</f>
        <v>124</v>
      </c>
      <c r="S84" s="35">
        <f>CHOOSE('1_PANEL_CONTROL'!$C$4, S24, S44, S64)</f>
        <v>134</v>
      </c>
      <c r="T84" s="35">
        <f>CHOOSE('1_PANEL_CONTROL'!$C$4, T24, T44, T64)</f>
        <v>144</v>
      </c>
      <c r="U84" s="35">
        <f>CHOOSE('1_PANEL_CONTROL'!$C$4, U24, U44, U64)</f>
        <v>155</v>
      </c>
      <c r="V84" s="35">
        <f>CHOOSE('1_PANEL_CONTROL'!$C$4, V24, V44, V64)</f>
        <v>167</v>
      </c>
      <c r="W84" s="35">
        <f>CHOOSE('1_PANEL_CONTROL'!$C$4, W24, W44, W64)</f>
        <v>180</v>
      </c>
      <c r="X84" s="35">
        <f>CHOOSE('1_PANEL_CONTROL'!$C$4, X24, X44, X64)</f>
        <v>194</v>
      </c>
      <c r="Y84" s="35">
        <f>CHOOSE('1_PANEL_CONTROL'!$C$4, Y24, Y44, Y64)</f>
        <v>209</v>
      </c>
      <c r="Z84" s="35">
        <f>CHOOSE('1_PANEL_CONTROL'!$C$4, Z24, Z44, Z64)</f>
        <v>225</v>
      </c>
      <c r="AA84" s="35">
        <f>CHOOSE('1_PANEL_CONTROL'!$C$4, AA24, AA44, AA64)</f>
        <v>243</v>
      </c>
      <c r="AB84" s="35">
        <f>CHOOSE('1_PANEL_CONTROL'!$C$4, AB24, AB44, AB64)</f>
        <v>262</v>
      </c>
      <c r="AC84" s="35">
        <f>CHOOSE('1_PANEL_CONTROL'!$C$4, AC24, AC44, AC64)</f>
        <v>283</v>
      </c>
      <c r="AD84" s="35">
        <f>CHOOSE('1_PANEL_CONTROL'!$C$4, AD24, AD44, AD64)</f>
        <v>305</v>
      </c>
      <c r="AE84" s="35">
        <f>CHOOSE('1_PANEL_CONTROL'!$C$4, AE24, AE44, AE64)</f>
        <v>329</v>
      </c>
      <c r="AF84" s="35">
        <f>CHOOSE('1_PANEL_CONTROL'!$C$4, AF24, AF44, AF64)</f>
        <v>355</v>
      </c>
      <c r="AG84" s="35">
        <f>CHOOSE('1_PANEL_CONTROL'!$C$4, AG24, AG44, AG64)</f>
        <v>383</v>
      </c>
      <c r="AH84" s="35">
        <f>CHOOSE('1_PANEL_CONTROL'!$C$4, AH24, AH44, AH64)</f>
        <v>413</v>
      </c>
      <c r="AI84" s="35">
        <f>CHOOSE('1_PANEL_CONTROL'!$C$4, AI24, AI44, AI64)</f>
        <v>446</v>
      </c>
      <c r="AJ84" s="35">
        <f>CHOOSE('1_PANEL_CONTROL'!$C$4, AJ24, AJ44, AJ64)</f>
        <v>481</v>
      </c>
      <c r="AK84" s="35">
        <f>CHOOSE('1_PANEL_CONTROL'!$C$4, AK24, AK44, AK64)</f>
        <v>519</v>
      </c>
      <c r="AL84" s="35">
        <f>CHOOSE('1_PANEL_CONTROL'!$C$4, AL24, AL44, AL64)</f>
        <v>560</v>
      </c>
      <c r="AM84" s="35">
        <f>CHOOSE('1_PANEL_CONTROL'!$C$4, AM24, AM44, AM64)</f>
        <v>604</v>
      </c>
      <c r="AN84" s="35">
        <f>CHOOSE('1_PANEL_CONTROL'!$C$4, AN24, AN44, AN64)</f>
        <v>652</v>
      </c>
      <c r="AO84" s="35">
        <f>CHOOSE('1_PANEL_CONTROL'!$C$4, AO24, AO44, AO64)</f>
        <v>704</v>
      </c>
      <c r="AP84" s="35">
        <f>CHOOSE('1_PANEL_CONTROL'!$C$4, AP24, AP44, AP64)</f>
        <v>760</v>
      </c>
      <c r="AQ84" s="35">
        <f>CHOOSE('1_PANEL_CONTROL'!$C$4, AQ24, AQ44, AQ64)</f>
        <v>820</v>
      </c>
      <c r="AR84" s="35">
        <f>CHOOSE('1_PANEL_CONTROL'!$C$4, AR24, AR44, AR64)</f>
        <v>886</v>
      </c>
      <c r="AS84" s="35">
        <f>CHOOSE('1_PANEL_CONTROL'!$C$4, AS24, AS44, AS64)</f>
        <v>956</v>
      </c>
      <c r="AT84" s="35">
        <f>CHOOSE('1_PANEL_CONTROL'!$C$4, AT24, AT44, AT64)</f>
        <v>1032</v>
      </c>
      <c r="AU84" s="35">
        <f>CHOOSE('1_PANEL_CONTROL'!$C$4, AU24, AU44, AU64)</f>
        <v>1114</v>
      </c>
      <c r="AV84" s="35">
        <f>CHOOSE('1_PANEL_CONTROL'!$C$4, AV24, AV44, AV64)</f>
        <v>1203</v>
      </c>
      <c r="AW84" s="35">
        <f>CHOOSE('1_PANEL_CONTROL'!$C$4, AW24, AW44, AW64)</f>
        <v>1299</v>
      </c>
      <c r="AX84" s="35">
        <f>CHOOSE('1_PANEL_CONTROL'!$C$4, AX24, AX44, AX64)</f>
        <v>1403</v>
      </c>
      <c r="AY84" s="35">
        <f>CHOOSE('1_PANEL_CONTROL'!$C$4, AY24, AY44, AY64)</f>
        <v>1514</v>
      </c>
      <c r="AZ84" s="35">
        <f>CHOOSE('1_PANEL_CONTROL'!$C$4, AZ24, AZ44, AZ64)</f>
        <v>1635</v>
      </c>
      <c r="BA84" s="35">
        <f>CHOOSE('1_PANEL_CONTROL'!$C$4, BA24, BA44, BA64)</f>
        <v>1766</v>
      </c>
      <c r="BB84" s="35">
        <f>CHOOSE('1_PANEL_CONTROL'!$C$4, BB24, BB44, BB64)</f>
        <v>1906</v>
      </c>
      <c r="BC84" s="35">
        <f>CHOOSE('1_PANEL_CONTROL'!$C$4, BC24, BC44, BC64)</f>
        <v>2059</v>
      </c>
      <c r="BD84" s="35">
        <f>CHOOSE('1_PANEL_CONTROL'!$C$4, BD24, BD44, BD64)</f>
        <v>2223</v>
      </c>
      <c r="BE84" s="35">
        <f>CHOOSE('1_PANEL_CONTROL'!$C$4, BE24, BE44, BE64)</f>
        <v>2400</v>
      </c>
      <c r="BF84" s="35">
        <f>CHOOSE('1_PANEL_CONTROL'!$C$4, BF24, BF44, BF64)</f>
        <v>2592</v>
      </c>
      <c r="BG84" s="35">
        <f>CHOOSE('1_PANEL_CONTROL'!$C$4, BG24, BG44, BG64)</f>
        <v>2799</v>
      </c>
      <c r="BH84" s="35">
        <f>CHOOSE('1_PANEL_CONTROL'!$C$4, BH24, BH44, BH64)</f>
        <v>3022</v>
      </c>
      <c r="BI84" s="35">
        <f>CHOOSE('1_PANEL_CONTROL'!$C$4, BI24, BI44, BI64)</f>
        <v>3264</v>
      </c>
      <c r="BJ84" s="35">
        <f>CHOOSE('1_PANEL_CONTROL'!$C$4, BJ24, BJ44, BJ64)</f>
        <v>3524</v>
      </c>
      <c r="BK84" s="35">
        <f>CHOOSE('1_PANEL_CONTROL'!$C$4, BK24, BK44, BK64)</f>
        <v>3806</v>
      </c>
      <c r="BL84" s="35">
        <f>CHOOSE('1_PANEL_CONTROL'!$C$4, BL24, BL44, BL64)</f>
        <v>4110</v>
      </c>
      <c r="BM84" s="35">
        <f>CHOOSE('1_PANEL_CONTROL'!$C$4, BM24, BM44, BM64)</f>
        <v>4438</v>
      </c>
      <c r="BN84" s="35">
        <f>CHOOSE('1_PANEL_CONTROL'!$C$4, BN24, BN44, BN64)</f>
        <v>4793</v>
      </c>
      <c r="BO84" s="35">
        <f>CHOOSE('1_PANEL_CONTROL'!$C$4, BO24, BO44, BO64)</f>
        <v>5176</v>
      </c>
      <c r="BP84" s="35">
        <f>CHOOSE('1_PANEL_CONTROL'!$C$4, BP24, BP44, BP64)</f>
        <v>5590</v>
      </c>
      <c r="BQ84" s="35">
        <f>CHOOSE('1_PANEL_CONTROL'!$C$4, BQ24, BQ44, BQ64)</f>
        <v>6037</v>
      </c>
      <c r="BR84" s="35">
        <f>CHOOSE('1_PANEL_CONTROL'!$C$4, BR24, BR44, BR64)</f>
        <v>6519</v>
      </c>
      <c r="BS84" s="35">
        <f>CHOOSE('1_PANEL_CONTROL'!$C$4, BS24, BS44, BS64)</f>
        <v>7040</v>
      </c>
      <c r="BT84" s="35">
        <f>CHOOSE('1_PANEL_CONTROL'!$C$4, BT24, BT44, BT64)</f>
        <v>7603</v>
      </c>
      <c r="BU84" s="35">
        <f>CHOOSE('1_PANEL_CONTROL'!$C$4, BU24, BU44, BU64)</f>
        <v>8211</v>
      </c>
      <c r="BV84" s="35">
        <f>CHOOSE('1_PANEL_CONTROL'!$C$4, BV24, BV44, BV64)</f>
        <v>8867</v>
      </c>
      <c r="BW84" s="35">
        <f>CHOOSE('1_PANEL_CONTROL'!$C$4, BW24, BW44, BW64)</f>
        <v>9576</v>
      </c>
      <c r="BX84" s="35">
        <f>CHOOSE('1_PANEL_CONTROL'!$C$4, BX24, BX44, BX64)</f>
        <v>10342</v>
      </c>
      <c r="BY84" s="35">
        <f>CHOOSE('1_PANEL_CONTROL'!$C$4, BY24, BY44, BY64)</f>
        <v>11169</v>
      </c>
      <c r="BZ84" s="35">
        <f>CHOOSE('1_PANEL_CONTROL'!$C$4, BZ24, BZ44, BZ64)</f>
        <v>12062</v>
      </c>
      <c r="CA84" s="35">
        <f>CHOOSE('1_PANEL_CONTROL'!$C$4, CA24, CA44, CA64)</f>
        <v>13027</v>
      </c>
      <c r="CB84" s="35">
        <f>CHOOSE('1_PANEL_CONTROL'!$C$4, CB24, CB44, CB64)</f>
        <v>14068</v>
      </c>
      <c r="CC84" s="35">
        <f>CHOOSE('1_PANEL_CONTROL'!$C$4, CC24, CC44, CC64)</f>
        <v>15193</v>
      </c>
      <c r="CD84" s="35">
        <f>CHOOSE('1_PANEL_CONTROL'!$C$4, CD24, CD44, CD64)</f>
        <v>16409</v>
      </c>
      <c r="CE84" s="35">
        <f>CHOOSE('1_PANEL_CONTROL'!$C$4, CE24, CE44, CE64)</f>
        <v>17721</v>
      </c>
      <c r="CF84" s="35">
        <f>CHOOSE('1_PANEL_CONTROL'!$C$4, CF24, CF44, CF64)</f>
        <v>19138</v>
      </c>
      <c r="CG84" s="35">
        <f>CHOOSE('1_PANEL_CONTROL'!$C$4, CG24, CG44, CG64)</f>
        <v>20669</v>
      </c>
      <c r="CH84" s="35">
        <f>CHOOSE('1_PANEL_CONTROL'!$C$4, CH24, CH44, CH64)</f>
        <v>22322</v>
      </c>
      <c r="CI84" s="35">
        <f>CHOOSE('1_PANEL_CONTROL'!$C$4, CI24, CI44, CI64)</f>
        <v>24107</v>
      </c>
    </row>
    <row r="85" spans="1:87" ht="16.5">
      <c r="A85" s="5" t="s">
        <v>484</v>
      </c>
      <c r="B85" s="30" t="s">
        <v>455</v>
      </c>
      <c r="C85" s="17" t="s">
        <v>504</v>
      </c>
      <c r="D85" s="34">
        <f>CHOOSE('1_PANEL_CONTROL'!$C$4, D25, D45, D65)</f>
        <v>4.4999999999999998E-2</v>
      </c>
      <c r="E85" s="34">
        <f>CHOOSE('1_PANEL_CONTROL'!$C$4, E25, E45, E65)</f>
        <v>4.4999999999999998E-2</v>
      </c>
      <c r="F85" s="34">
        <f>CHOOSE('1_PANEL_CONTROL'!$C$4, F25, F45, F65)</f>
        <v>4.4999999999999998E-2</v>
      </c>
      <c r="G85" s="34">
        <f>CHOOSE('1_PANEL_CONTROL'!$C$4, G25, G45, G65)</f>
        <v>4.4999999999999998E-2</v>
      </c>
      <c r="H85" s="34">
        <f>CHOOSE('1_PANEL_CONTROL'!$C$4, H25, H45, H65)</f>
        <v>4.4999999999999998E-2</v>
      </c>
      <c r="I85" s="34">
        <f>CHOOSE('1_PANEL_CONTROL'!$C$4, I25, I45, I65)</f>
        <v>4.4999999999999998E-2</v>
      </c>
      <c r="J85" s="34">
        <f>CHOOSE('1_PANEL_CONTROL'!$C$4, J25, J45, J65)</f>
        <v>4.4999999999999998E-2</v>
      </c>
      <c r="K85" s="34">
        <f>CHOOSE('1_PANEL_CONTROL'!$C$4, K25, K45, K65)</f>
        <v>4.4999999999999998E-2</v>
      </c>
      <c r="L85" s="34">
        <f>CHOOSE('1_PANEL_CONTROL'!$C$4, L25, L45, L65)</f>
        <v>4.4999999999999998E-2</v>
      </c>
      <c r="M85" s="34">
        <f>CHOOSE('1_PANEL_CONTROL'!$C$4, M25, M45, M65)</f>
        <v>4.4999999999999998E-2</v>
      </c>
      <c r="N85" s="34">
        <f>CHOOSE('1_PANEL_CONTROL'!$C$4, N25, N45, N65)</f>
        <v>4.4999999999999998E-2</v>
      </c>
      <c r="O85" s="34">
        <f>CHOOSE('1_PANEL_CONTROL'!$C$4, O25, O45, O65)</f>
        <v>4.4999999999999998E-2</v>
      </c>
      <c r="P85" s="34">
        <f>CHOOSE('1_PANEL_CONTROL'!$C$4, P25, P45, P65)</f>
        <v>4.4999999999999998E-2</v>
      </c>
      <c r="Q85" s="34">
        <f>CHOOSE('1_PANEL_CONTROL'!$C$4, Q25, Q45, Q65)</f>
        <v>4.4999999999999998E-2</v>
      </c>
      <c r="R85" s="34">
        <f>CHOOSE('1_PANEL_CONTROL'!$C$4, R25, R45, R65)</f>
        <v>4.4999999999999998E-2</v>
      </c>
      <c r="S85" s="34">
        <f>CHOOSE('1_PANEL_CONTROL'!$C$4, S25, S45, S65)</f>
        <v>4.4999999999999998E-2</v>
      </c>
      <c r="T85" s="34">
        <f>CHOOSE('1_PANEL_CONTROL'!$C$4, T25, T45, T65)</f>
        <v>4.4999999999999998E-2</v>
      </c>
      <c r="U85" s="34">
        <f>CHOOSE('1_PANEL_CONTROL'!$C$4, U25, U45, U65)</f>
        <v>4.4999999999999998E-2</v>
      </c>
      <c r="V85" s="34">
        <f>CHOOSE('1_PANEL_CONTROL'!$C$4, V25, V45, V65)</f>
        <v>4.4999999999999998E-2</v>
      </c>
      <c r="W85" s="34">
        <f>CHOOSE('1_PANEL_CONTROL'!$C$4, W25, W45, W65)</f>
        <v>4.4999999999999998E-2</v>
      </c>
      <c r="X85" s="34">
        <f>CHOOSE('1_PANEL_CONTROL'!$C$4, X25, X45, X65)</f>
        <v>4.4999999999999998E-2</v>
      </c>
      <c r="Y85" s="34">
        <f>CHOOSE('1_PANEL_CONTROL'!$C$4, Y25, Y45, Y65)</f>
        <v>4.4999999999999998E-2</v>
      </c>
      <c r="Z85" s="34">
        <f>CHOOSE('1_PANEL_CONTROL'!$C$4, Z25, Z45, Z65)</f>
        <v>4.4999999999999998E-2</v>
      </c>
      <c r="AA85" s="34">
        <f>CHOOSE('1_PANEL_CONTROL'!$C$4, AA25, AA45, AA65)</f>
        <v>4.4999999999999998E-2</v>
      </c>
      <c r="AB85" s="34">
        <f>CHOOSE('1_PANEL_CONTROL'!$C$4, AB25, AB45, AB65)</f>
        <v>4.4999999999999998E-2</v>
      </c>
      <c r="AC85" s="34">
        <f>CHOOSE('1_PANEL_CONTROL'!$C$4, AC25, AC45, AC65)</f>
        <v>4.4999999999999998E-2</v>
      </c>
      <c r="AD85" s="34">
        <f>CHOOSE('1_PANEL_CONTROL'!$C$4, AD25, AD45, AD65)</f>
        <v>4.4999999999999998E-2</v>
      </c>
      <c r="AE85" s="34">
        <f>CHOOSE('1_PANEL_CONTROL'!$C$4, AE25, AE45, AE65)</f>
        <v>4.4999999999999998E-2</v>
      </c>
      <c r="AF85" s="34">
        <f>CHOOSE('1_PANEL_CONTROL'!$C$4, AF25, AF45, AF65)</f>
        <v>4.4999999999999998E-2</v>
      </c>
      <c r="AG85" s="34">
        <f>CHOOSE('1_PANEL_CONTROL'!$C$4, AG25, AG45, AG65)</f>
        <v>4.4999999999999998E-2</v>
      </c>
      <c r="AH85" s="34">
        <f>CHOOSE('1_PANEL_CONTROL'!$C$4, AH25, AH45, AH65)</f>
        <v>4.4999999999999998E-2</v>
      </c>
      <c r="AI85" s="34">
        <f>CHOOSE('1_PANEL_CONTROL'!$C$4, AI25, AI45, AI65)</f>
        <v>4.4999999999999998E-2</v>
      </c>
      <c r="AJ85" s="34">
        <f>CHOOSE('1_PANEL_CONTROL'!$C$4, AJ25, AJ45, AJ65)</f>
        <v>4.4999999999999998E-2</v>
      </c>
      <c r="AK85" s="34">
        <f>CHOOSE('1_PANEL_CONTROL'!$C$4, AK25, AK45, AK65)</f>
        <v>4.4999999999999998E-2</v>
      </c>
      <c r="AL85" s="34">
        <f>CHOOSE('1_PANEL_CONTROL'!$C$4, AL25, AL45, AL65)</f>
        <v>4.4999999999999998E-2</v>
      </c>
      <c r="AM85" s="34">
        <f>CHOOSE('1_PANEL_CONTROL'!$C$4, AM25, AM45, AM65)</f>
        <v>4.4999999999999998E-2</v>
      </c>
      <c r="AN85" s="34">
        <f>CHOOSE('1_PANEL_CONTROL'!$C$4, AN25, AN45, AN65)</f>
        <v>4.4999999999999998E-2</v>
      </c>
      <c r="AO85" s="34">
        <f>CHOOSE('1_PANEL_CONTROL'!$C$4, AO25, AO45, AO65)</f>
        <v>4.4999999999999998E-2</v>
      </c>
      <c r="AP85" s="34">
        <f>CHOOSE('1_PANEL_CONTROL'!$C$4, AP25, AP45, AP65)</f>
        <v>4.4999999999999998E-2</v>
      </c>
      <c r="AQ85" s="34">
        <f>CHOOSE('1_PANEL_CONTROL'!$C$4, AQ25, AQ45, AQ65)</f>
        <v>4.4999999999999998E-2</v>
      </c>
      <c r="AR85" s="34">
        <f>CHOOSE('1_PANEL_CONTROL'!$C$4, AR25, AR45, AR65)</f>
        <v>4.4999999999999998E-2</v>
      </c>
      <c r="AS85" s="34">
        <f>CHOOSE('1_PANEL_CONTROL'!$C$4, AS25, AS45, AS65)</f>
        <v>4.4999999999999998E-2</v>
      </c>
      <c r="AT85" s="34">
        <f>CHOOSE('1_PANEL_CONTROL'!$C$4, AT25, AT45, AT65)</f>
        <v>4.4999999999999998E-2</v>
      </c>
      <c r="AU85" s="34">
        <f>CHOOSE('1_PANEL_CONTROL'!$C$4, AU25, AU45, AU65)</f>
        <v>4.4999999999999998E-2</v>
      </c>
      <c r="AV85" s="34">
        <f>CHOOSE('1_PANEL_CONTROL'!$C$4, AV25, AV45, AV65)</f>
        <v>4.4999999999999998E-2</v>
      </c>
      <c r="AW85" s="34">
        <f>CHOOSE('1_PANEL_CONTROL'!$C$4, AW25, AW45, AW65)</f>
        <v>4.4999999999999998E-2</v>
      </c>
      <c r="AX85" s="34">
        <f>CHOOSE('1_PANEL_CONTROL'!$C$4, AX25, AX45, AX65)</f>
        <v>4.4999999999999998E-2</v>
      </c>
      <c r="AY85" s="34">
        <f>CHOOSE('1_PANEL_CONTROL'!$C$4, AY25, AY45, AY65)</f>
        <v>4.4999999999999998E-2</v>
      </c>
      <c r="AZ85" s="34">
        <f>CHOOSE('1_PANEL_CONTROL'!$C$4, AZ25, AZ45, AZ65)</f>
        <v>4.4999999999999998E-2</v>
      </c>
      <c r="BA85" s="34">
        <f>CHOOSE('1_PANEL_CONTROL'!$C$4, BA25, BA45, BA65)</f>
        <v>4.4999999999999998E-2</v>
      </c>
      <c r="BB85" s="34">
        <f>CHOOSE('1_PANEL_CONTROL'!$C$4, BB25, BB45, BB65)</f>
        <v>4.4999999999999998E-2</v>
      </c>
      <c r="BC85" s="34">
        <f>CHOOSE('1_PANEL_CONTROL'!$C$4, BC25, BC45, BC65)</f>
        <v>4.4999999999999998E-2</v>
      </c>
      <c r="BD85" s="34">
        <f>CHOOSE('1_PANEL_CONTROL'!$C$4, BD25, BD45, BD65)</f>
        <v>4.4999999999999998E-2</v>
      </c>
      <c r="BE85" s="34">
        <f>CHOOSE('1_PANEL_CONTROL'!$C$4, BE25, BE45, BE65)</f>
        <v>4.4999999999999998E-2</v>
      </c>
      <c r="BF85" s="34">
        <f>CHOOSE('1_PANEL_CONTROL'!$C$4, BF25, BF45, BF65)</f>
        <v>4.4999999999999998E-2</v>
      </c>
      <c r="BG85" s="34">
        <f>CHOOSE('1_PANEL_CONTROL'!$C$4, BG25, BG45, BG65)</f>
        <v>4.4999999999999998E-2</v>
      </c>
      <c r="BH85" s="34">
        <f>CHOOSE('1_PANEL_CONTROL'!$C$4, BH25, BH45, BH65)</f>
        <v>4.4999999999999998E-2</v>
      </c>
      <c r="BI85" s="34">
        <f>CHOOSE('1_PANEL_CONTROL'!$C$4, BI25, BI45, BI65)</f>
        <v>4.4999999999999998E-2</v>
      </c>
      <c r="BJ85" s="34">
        <f>CHOOSE('1_PANEL_CONTROL'!$C$4, BJ25, BJ45, BJ65)</f>
        <v>4.4999999999999998E-2</v>
      </c>
      <c r="BK85" s="34">
        <f>CHOOSE('1_PANEL_CONTROL'!$C$4, BK25, BK45, BK65)</f>
        <v>4.4999999999999998E-2</v>
      </c>
      <c r="BL85" s="34">
        <f>CHOOSE('1_PANEL_CONTROL'!$C$4, BL25, BL45, BL65)</f>
        <v>4.4999999999999998E-2</v>
      </c>
      <c r="BM85" s="34">
        <f>CHOOSE('1_PANEL_CONTROL'!$C$4, BM25, BM45, BM65)</f>
        <v>4.4999999999999998E-2</v>
      </c>
      <c r="BN85" s="34">
        <f>CHOOSE('1_PANEL_CONTROL'!$C$4, BN25, BN45, BN65)</f>
        <v>4.4999999999999998E-2</v>
      </c>
      <c r="BO85" s="34">
        <f>CHOOSE('1_PANEL_CONTROL'!$C$4, BO25, BO45, BO65)</f>
        <v>4.4999999999999998E-2</v>
      </c>
      <c r="BP85" s="34">
        <f>CHOOSE('1_PANEL_CONTROL'!$C$4, BP25, BP45, BP65)</f>
        <v>4.4999999999999998E-2</v>
      </c>
      <c r="BQ85" s="34">
        <f>CHOOSE('1_PANEL_CONTROL'!$C$4, BQ25, BQ45, BQ65)</f>
        <v>4.4999999999999998E-2</v>
      </c>
      <c r="BR85" s="34">
        <f>CHOOSE('1_PANEL_CONTROL'!$C$4, BR25, BR45, BR65)</f>
        <v>4.4999999999999998E-2</v>
      </c>
      <c r="BS85" s="34">
        <f>CHOOSE('1_PANEL_CONTROL'!$C$4, BS25, BS45, BS65)</f>
        <v>4.4999999999999998E-2</v>
      </c>
      <c r="BT85" s="34">
        <f>CHOOSE('1_PANEL_CONTROL'!$C$4, BT25, BT45, BT65)</f>
        <v>4.4999999999999998E-2</v>
      </c>
      <c r="BU85" s="34">
        <f>CHOOSE('1_PANEL_CONTROL'!$C$4, BU25, BU45, BU65)</f>
        <v>4.4999999999999998E-2</v>
      </c>
      <c r="BV85" s="34">
        <f>CHOOSE('1_PANEL_CONTROL'!$C$4, BV25, BV45, BV65)</f>
        <v>4.4999999999999998E-2</v>
      </c>
      <c r="BW85" s="34">
        <f>CHOOSE('1_PANEL_CONTROL'!$C$4, BW25, BW45, BW65)</f>
        <v>4.4999999999999998E-2</v>
      </c>
      <c r="BX85" s="34">
        <f>CHOOSE('1_PANEL_CONTROL'!$C$4, BX25, BX45, BX65)</f>
        <v>4.4999999999999998E-2</v>
      </c>
      <c r="BY85" s="34">
        <f>CHOOSE('1_PANEL_CONTROL'!$C$4, BY25, BY45, BY65)</f>
        <v>4.4999999999999998E-2</v>
      </c>
      <c r="BZ85" s="34">
        <f>CHOOSE('1_PANEL_CONTROL'!$C$4, BZ25, BZ45, BZ65)</f>
        <v>4.4999999999999998E-2</v>
      </c>
      <c r="CA85" s="34">
        <f>CHOOSE('1_PANEL_CONTROL'!$C$4, CA25, CA45, CA65)</f>
        <v>4.4999999999999998E-2</v>
      </c>
      <c r="CB85" s="34">
        <f>CHOOSE('1_PANEL_CONTROL'!$C$4, CB25, CB45, CB65)</f>
        <v>4.4999999999999998E-2</v>
      </c>
      <c r="CC85" s="34">
        <f>CHOOSE('1_PANEL_CONTROL'!$C$4, CC25, CC45, CC65)</f>
        <v>4.4999999999999998E-2</v>
      </c>
      <c r="CD85" s="34">
        <f>CHOOSE('1_PANEL_CONTROL'!$C$4, CD25, CD45, CD65)</f>
        <v>4.4999999999999998E-2</v>
      </c>
      <c r="CE85" s="34">
        <f>CHOOSE('1_PANEL_CONTROL'!$C$4, CE25, CE45, CE65)</f>
        <v>4.4999999999999998E-2</v>
      </c>
      <c r="CF85" s="34">
        <f>CHOOSE('1_PANEL_CONTROL'!$C$4, CF25, CF45, CF65)</f>
        <v>4.4999999999999998E-2</v>
      </c>
      <c r="CG85" s="34">
        <f>CHOOSE('1_PANEL_CONTROL'!$C$4, CG25, CG45, CG65)</f>
        <v>4.4999999999999998E-2</v>
      </c>
      <c r="CH85" s="34">
        <f>CHOOSE('1_PANEL_CONTROL'!$C$4, CH25, CH45, CH65)</f>
        <v>4.4999999999999998E-2</v>
      </c>
      <c r="CI85" s="34">
        <f>CHOOSE('1_PANEL_CONTROL'!$C$4, CI25, CI45, CI65)</f>
        <v>4.4999999999999998E-2</v>
      </c>
    </row>
    <row r="86" spans="1:87" ht="16.5">
      <c r="A86" s="5" t="s">
        <v>486</v>
      </c>
      <c r="B86" s="30" t="s">
        <v>458</v>
      </c>
      <c r="C86" s="17" t="s">
        <v>504</v>
      </c>
      <c r="D86" s="35">
        <f>CHOOSE('1_PANEL_CONTROL'!$C$4, D26, D46, D66)</f>
        <v>2</v>
      </c>
      <c r="E86" s="35">
        <f>CHOOSE('1_PANEL_CONTROL'!$C$4, E26, E46, E66)</f>
        <v>4</v>
      </c>
      <c r="F86" s="35">
        <f>CHOOSE('1_PANEL_CONTROL'!$C$4, F26, F46, F66)</f>
        <v>6</v>
      </c>
      <c r="G86" s="35">
        <f>CHOOSE('1_PANEL_CONTROL'!$C$4, G26, G46, G66)</f>
        <v>9</v>
      </c>
      <c r="H86" s="35">
        <f>CHOOSE('1_PANEL_CONTROL'!$C$4, H26, H46, H66)</f>
        <v>11</v>
      </c>
      <c r="I86" s="35">
        <f>CHOOSE('1_PANEL_CONTROL'!$C$4, I26, I46, I66)</f>
        <v>13</v>
      </c>
      <c r="J86" s="35">
        <f>CHOOSE('1_PANEL_CONTROL'!$C$4, J26, J46, J66)</f>
        <v>16</v>
      </c>
      <c r="K86" s="35">
        <f>CHOOSE('1_PANEL_CONTROL'!$C$4, K26, K46, K66)</f>
        <v>18</v>
      </c>
      <c r="L86" s="35">
        <f>CHOOSE('1_PANEL_CONTROL'!$C$4, L26, L46, L66)</f>
        <v>21</v>
      </c>
      <c r="M86" s="35">
        <f>CHOOSE('1_PANEL_CONTROL'!$C$4, M26, M46, M66)</f>
        <v>24</v>
      </c>
      <c r="N86" s="35">
        <f>CHOOSE('1_PANEL_CONTROL'!$C$4, N26, N46, N66)</f>
        <v>27</v>
      </c>
      <c r="O86" s="35">
        <f>CHOOSE('1_PANEL_CONTROL'!$C$4, O26, O46, O66)</f>
        <v>30</v>
      </c>
      <c r="P86" s="35">
        <f>CHOOSE('1_PANEL_CONTROL'!$C$4, P26, P46, P66)</f>
        <v>34</v>
      </c>
      <c r="Q86" s="35">
        <f>CHOOSE('1_PANEL_CONTROL'!$C$4, Q26, Q46, Q66)</f>
        <v>37</v>
      </c>
      <c r="R86" s="35">
        <f>CHOOSE('1_PANEL_CONTROL'!$C$4, R26, R46, R66)</f>
        <v>41</v>
      </c>
      <c r="S86" s="35">
        <f>CHOOSE('1_PANEL_CONTROL'!$C$4, S26, S46, S66)</f>
        <v>45</v>
      </c>
      <c r="T86" s="35">
        <f>CHOOSE('1_PANEL_CONTROL'!$C$4, T26, T46, T66)</f>
        <v>49</v>
      </c>
      <c r="U86" s="35">
        <f>CHOOSE('1_PANEL_CONTROL'!$C$4, U26, U46, U66)</f>
        <v>54</v>
      </c>
      <c r="V86" s="35">
        <f>CHOOSE('1_PANEL_CONTROL'!$C$4, V26, V46, V66)</f>
        <v>59</v>
      </c>
      <c r="W86" s="35">
        <f>CHOOSE('1_PANEL_CONTROL'!$C$4, W26, W46, W66)</f>
        <v>64</v>
      </c>
      <c r="X86" s="35">
        <f>CHOOSE('1_PANEL_CONTROL'!$C$4, X26, X46, X66)</f>
        <v>70</v>
      </c>
      <c r="Y86" s="35">
        <f>CHOOSE('1_PANEL_CONTROL'!$C$4, Y26, Y46, Y66)</f>
        <v>76</v>
      </c>
      <c r="Z86" s="35">
        <f>CHOOSE('1_PANEL_CONTROL'!$C$4, Z26, Z46, Z66)</f>
        <v>82</v>
      </c>
      <c r="AA86" s="35">
        <f>CHOOSE('1_PANEL_CONTROL'!$C$4, AA26, AA46, AA66)</f>
        <v>89</v>
      </c>
      <c r="AB86" s="35">
        <f>CHOOSE('1_PANEL_CONTROL'!$C$4, AB26, AB46, AB66)</f>
        <v>97</v>
      </c>
      <c r="AC86" s="35">
        <f>CHOOSE('1_PANEL_CONTROL'!$C$4, AC26, AC46, AC66)</f>
        <v>105</v>
      </c>
      <c r="AD86" s="35">
        <f>CHOOSE('1_PANEL_CONTROL'!$C$4, AD26, AD46, AD66)</f>
        <v>114</v>
      </c>
      <c r="AE86" s="35">
        <f>CHOOSE('1_PANEL_CONTROL'!$C$4, AE26, AE46, AE66)</f>
        <v>123</v>
      </c>
      <c r="AF86" s="35">
        <f>CHOOSE('1_PANEL_CONTROL'!$C$4, AF26, AF46, AF66)</f>
        <v>133</v>
      </c>
      <c r="AG86" s="35">
        <f>CHOOSE('1_PANEL_CONTROL'!$C$4, AG26, AG46, AG66)</f>
        <v>144</v>
      </c>
      <c r="AH86" s="35">
        <f>CHOOSE('1_PANEL_CONTROL'!$C$4, AH26, AH46, AH66)</f>
        <v>156</v>
      </c>
      <c r="AI86" s="35">
        <f>CHOOSE('1_PANEL_CONTROL'!$C$4, AI26, AI46, AI66)</f>
        <v>168</v>
      </c>
      <c r="AJ86" s="35">
        <f>CHOOSE('1_PANEL_CONTROL'!$C$4, AJ26, AJ46, AJ66)</f>
        <v>182</v>
      </c>
      <c r="AK86" s="35">
        <f>CHOOSE('1_PANEL_CONTROL'!$C$4, AK26, AK46, AK66)</f>
        <v>196</v>
      </c>
      <c r="AL86" s="35">
        <f>CHOOSE('1_PANEL_CONTROL'!$C$4, AL26, AL46, AL66)</f>
        <v>212</v>
      </c>
      <c r="AM86" s="35">
        <f>CHOOSE('1_PANEL_CONTROL'!$C$4, AM26, AM46, AM66)</f>
        <v>229</v>
      </c>
      <c r="AN86" s="35">
        <f>CHOOSE('1_PANEL_CONTROL'!$C$4, AN26, AN46, AN66)</f>
        <v>248</v>
      </c>
      <c r="AO86" s="35">
        <f>CHOOSE('1_PANEL_CONTROL'!$C$4, AO26, AO46, AO66)</f>
        <v>267</v>
      </c>
      <c r="AP86" s="35">
        <f>CHOOSE('1_PANEL_CONTROL'!$C$4, AP26, AP46, AP66)</f>
        <v>289</v>
      </c>
      <c r="AQ86" s="35">
        <f>CHOOSE('1_PANEL_CONTROL'!$C$4, AQ26, AQ46, AQ66)</f>
        <v>312</v>
      </c>
      <c r="AR86" s="35">
        <f>CHOOSE('1_PANEL_CONTROL'!$C$4, AR26, AR46, AR66)</f>
        <v>337</v>
      </c>
      <c r="AS86" s="35">
        <f>CHOOSE('1_PANEL_CONTROL'!$C$4, AS26, AS46, AS66)</f>
        <v>364</v>
      </c>
      <c r="AT86" s="35">
        <f>CHOOSE('1_PANEL_CONTROL'!$C$4, AT26, AT46, AT66)</f>
        <v>392</v>
      </c>
      <c r="AU86" s="35">
        <f>CHOOSE('1_PANEL_CONTROL'!$C$4, AU26, AU46, AU66)</f>
        <v>424</v>
      </c>
      <c r="AV86" s="35">
        <f>CHOOSE('1_PANEL_CONTROL'!$C$4, AV26, AV46, AV66)</f>
        <v>458</v>
      </c>
      <c r="AW86" s="35">
        <f>CHOOSE('1_PANEL_CONTROL'!$C$4, AW26, AW46, AW66)</f>
        <v>494</v>
      </c>
      <c r="AX86" s="35">
        <f>CHOOSE('1_PANEL_CONTROL'!$C$4, AX26, AX46, AX66)</f>
        <v>533</v>
      </c>
      <c r="AY86" s="35">
        <f>CHOOSE('1_PANEL_CONTROL'!$C$4, AY26, AY46, AY66)</f>
        <v>576</v>
      </c>
      <c r="AZ86" s="35">
        <f>CHOOSE('1_PANEL_CONTROL'!$C$4, AZ26, AZ46, AZ66)</f>
        <v>622</v>
      </c>
      <c r="BA86" s="35">
        <f>CHOOSE('1_PANEL_CONTROL'!$C$4, BA26, BA46, BA66)</f>
        <v>672</v>
      </c>
      <c r="BB86" s="35">
        <f>CHOOSE('1_PANEL_CONTROL'!$C$4, BB26, BB46, BB66)</f>
        <v>725</v>
      </c>
      <c r="BC86" s="35">
        <f>CHOOSE('1_PANEL_CONTROL'!$C$4, BC26, BC46, BC66)</f>
        <v>783</v>
      </c>
      <c r="BD86" s="35">
        <f>CHOOSE('1_PANEL_CONTROL'!$C$4, BD26, BD46, BD66)</f>
        <v>845</v>
      </c>
      <c r="BE86" s="35">
        <f>CHOOSE('1_PANEL_CONTROL'!$C$4, BE26, BE46, BE66)</f>
        <v>913</v>
      </c>
      <c r="BF86" s="35">
        <f>CHOOSE('1_PANEL_CONTROL'!$C$4, BF26, BF46, BF66)</f>
        <v>986</v>
      </c>
      <c r="BG86" s="35">
        <f>CHOOSE('1_PANEL_CONTROL'!$C$4, BG26, BG46, BG66)</f>
        <v>1064</v>
      </c>
      <c r="BH86" s="35">
        <f>CHOOSE('1_PANEL_CONTROL'!$C$4, BH26, BH46, BH66)</f>
        <v>1149</v>
      </c>
      <c r="BI86" s="35">
        <f>CHOOSE('1_PANEL_CONTROL'!$C$4, BI26, BI46, BI66)</f>
        <v>1241</v>
      </c>
      <c r="BJ86" s="35">
        <f>CHOOSE('1_PANEL_CONTROL'!$C$4, BJ26, BJ46, BJ66)</f>
        <v>1340</v>
      </c>
      <c r="BK86" s="35">
        <f>CHOOSE('1_PANEL_CONTROL'!$C$4, BK26, BK46, BK66)</f>
        <v>1447</v>
      </c>
      <c r="BL86" s="35">
        <f>CHOOSE('1_PANEL_CONTROL'!$C$4, BL26, BL46, BL66)</f>
        <v>1562</v>
      </c>
      <c r="BM86" s="35">
        <f>CHOOSE('1_PANEL_CONTROL'!$C$4, BM26, BM46, BM66)</f>
        <v>1687</v>
      </c>
      <c r="BN86" s="35">
        <f>CHOOSE('1_PANEL_CONTROL'!$C$4, BN26, BN46, BN66)</f>
        <v>1822</v>
      </c>
      <c r="BO86" s="35">
        <f>CHOOSE('1_PANEL_CONTROL'!$C$4, BO26, BO46, BO66)</f>
        <v>1967</v>
      </c>
      <c r="BP86" s="35">
        <f>CHOOSE('1_PANEL_CONTROL'!$C$4, BP26, BP46, BP66)</f>
        <v>2124</v>
      </c>
      <c r="BQ86" s="35">
        <f>CHOOSE('1_PANEL_CONTROL'!$C$4, BQ26, BQ46, BQ66)</f>
        <v>2294</v>
      </c>
      <c r="BR86" s="35">
        <f>CHOOSE('1_PANEL_CONTROL'!$C$4, BR26, BR46, BR66)</f>
        <v>2477</v>
      </c>
      <c r="BS86" s="35">
        <f>CHOOSE('1_PANEL_CONTROL'!$C$4, BS26, BS46, BS66)</f>
        <v>2675</v>
      </c>
      <c r="BT86" s="35">
        <f>CHOOSE('1_PANEL_CONTROL'!$C$4, BT26, BT46, BT66)</f>
        <v>2889</v>
      </c>
      <c r="BU86" s="35">
        <f>CHOOSE('1_PANEL_CONTROL'!$C$4, BU26, BU46, BU66)</f>
        <v>3120</v>
      </c>
      <c r="BV86" s="35">
        <f>CHOOSE('1_PANEL_CONTROL'!$C$4, BV26, BV46, BV66)</f>
        <v>3369</v>
      </c>
      <c r="BW86" s="35">
        <f>CHOOSE('1_PANEL_CONTROL'!$C$4, BW26, BW46, BW66)</f>
        <v>3638</v>
      </c>
      <c r="BX86" s="35">
        <f>CHOOSE('1_PANEL_CONTROL'!$C$4, BX26, BX46, BX66)</f>
        <v>3929</v>
      </c>
      <c r="BY86" s="35">
        <f>CHOOSE('1_PANEL_CONTROL'!$C$4, BY26, BY46, BY66)</f>
        <v>4243</v>
      </c>
      <c r="BZ86" s="35">
        <f>CHOOSE('1_PANEL_CONTROL'!$C$4, BZ26, BZ46, BZ66)</f>
        <v>4582</v>
      </c>
      <c r="CA86" s="35">
        <f>CHOOSE('1_PANEL_CONTROL'!$C$4, CA26, CA46, CA66)</f>
        <v>4948</v>
      </c>
      <c r="CB86" s="35">
        <f>CHOOSE('1_PANEL_CONTROL'!$C$4, CB26, CB46, CB66)</f>
        <v>5344</v>
      </c>
      <c r="CC86" s="35">
        <f>CHOOSE('1_PANEL_CONTROL'!$C$4, CC26, CC46, CC66)</f>
        <v>5771</v>
      </c>
      <c r="CD86" s="35">
        <f>CHOOSE('1_PANEL_CONTROL'!$C$4, CD26, CD46, CD66)</f>
        <v>6232</v>
      </c>
      <c r="CE86" s="35">
        <f>CHOOSE('1_PANEL_CONTROL'!$C$4, CE26, CE46, CE66)</f>
        <v>6731</v>
      </c>
      <c r="CF86" s="35">
        <f>CHOOSE('1_PANEL_CONTROL'!$C$4, CF26, CF46, CF66)</f>
        <v>7269</v>
      </c>
      <c r="CG86" s="35">
        <f>CHOOSE('1_PANEL_CONTROL'!$C$4, CG26, CG46, CG66)</f>
        <v>7850</v>
      </c>
      <c r="CH86" s="35">
        <f>CHOOSE('1_PANEL_CONTROL'!$C$4, CH26, CH46, CH66)</f>
        <v>8478</v>
      </c>
      <c r="CI86" s="35">
        <f>CHOOSE('1_PANEL_CONTROL'!$C$4, CI26, CI46, CI66)</f>
        <v>9156</v>
      </c>
    </row>
    <row r="87" spans="1:87" ht="16.5">
      <c r="A87" s="5" t="s">
        <v>488</v>
      </c>
      <c r="B87" s="30" t="s">
        <v>455</v>
      </c>
      <c r="C87" s="17" t="s">
        <v>504</v>
      </c>
      <c r="D87" s="34">
        <f>CHOOSE('1_PANEL_CONTROL'!$C$4, D27, D47, D67)</f>
        <v>0.2</v>
      </c>
      <c r="E87" s="34">
        <f>CHOOSE('1_PANEL_CONTROL'!$C$4, E27, E47, E67)</f>
        <v>0.2</v>
      </c>
      <c r="F87" s="34">
        <f>CHOOSE('1_PANEL_CONTROL'!$C$4, F27, F47, F67)</f>
        <v>0.2</v>
      </c>
      <c r="G87" s="34">
        <f>CHOOSE('1_PANEL_CONTROL'!$C$4, G27, G47, G67)</f>
        <v>0.2</v>
      </c>
      <c r="H87" s="34">
        <f>CHOOSE('1_PANEL_CONTROL'!$C$4, H27, H47, H67)</f>
        <v>0.2</v>
      </c>
      <c r="I87" s="34">
        <f>CHOOSE('1_PANEL_CONTROL'!$C$4, I27, I47, I67)</f>
        <v>0.2</v>
      </c>
      <c r="J87" s="34">
        <f>CHOOSE('1_PANEL_CONTROL'!$C$4, J27, J47, J67)</f>
        <v>0.2</v>
      </c>
      <c r="K87" s="34">
        <f>CHOOSE('1_PANEL_CONTROL'!$C$4, K27, K47, K67)</f>
        <v>0.2</v>
      </c>
      <c r="L87" s="34">
        <f>CHOOSE('1_PANEL_CONTROL'!$C$4, L27, L47, L67)</f>
        <v>0.2</v>
      </c>
      <c r="M87" s="34">
        <f>CHOOSE('1_PANEL_CONTROL'!$C$4, M27, M47, M67)</f>
        <v>0.2</v>
      </c>
      <c r="N87" s="34">
        <f>CHOOSE('1_PANEL_CONTROL'!$C$4, N27, N47, N67)</f>
        <v>0.2</v>
      </c>
      <c r="O87" s="34">
        <f>CHOOSE('1_PANEL_CONTROL'!$C$4, O27, O47, O67)</f>
        <v>0.2</v>
      </c>
      <c r="P87" s="34">
        <f>CHOOSE('1_PANEL_CONTROL'!$C$4, P27, P47, P67)</f>
        <v>0.2</v>
      </c>
      <c r="Q87" s="34">
        <f>CHOOSE('1_PANEL_CONTROL'!$C$4, Q27, Q47, Q67)</f>
        <v>0.2</v>
      </c>
      <c r="R87" s="34">
        <f>CHOOSE('1_PANEL_CONTROL'!$C$4, R27, R47, R67)</f>
        <v>0.2</v>
      </c>
      <c r="S87" s="34">
        <f>CHOOSE('1_PANEL_CONTROL'!$C$4, S27, S47, S67)</f>
        <v>0.2</v>
      </c>
      <c r="T87" s="34">
        <f>CHOOSE('1_PANEL_CONTROL'!$C$4, T27, T47, T67)</f>
        <v>0.2</v>
      </c>
      <c r="U87" s="34">
        <f>CHOOSE('1_PANEL_CONTROL'!$C$4, U27, U47, U67)</f>
        <v>0.2</v>
      </c>
      <c r="V87" s="34">
        <f>CHOOSE('1_PANEL_CONTROL'!$C$4, V27, V47, V67)</f>
        <v>0.2</v>
      </c>
      <c r="W87" s="34">
        <f>CHOOSE('1_PANEL_CONTROL'!$C$4, W27, W47, W67)</f>
        <v>0.2</v>
      </c>
      <c r="X87" s="34">
        <f>CHOOSE('1_PANEL_CONTROL'!$C$4, X27, X47, X67)</f>
        <v>0.2</v>
      </c>
      <c r="Y87" s="34">
        <f>CHOOSE('1_PANEL_CONTROL'!$C$4, Y27, Y47, Y67)</f>
        <v>0.2</v>
      </c>
      <c r="Z87" s="34">
        <f>CHOOSE('1_PANEL_CONTROL'!$C$4, Z27, Z47, Z67)</f>
        <v>0.2</v>
      </c>
      <c r="AA87" s="34">
        <f>CHOOSE('1_PANEL_CONTROL'!$C$4, AA27, AA47, AA67)</f>
        <v>0.2</v>
      </c>
      <c r="AB87" s="34">
        <f>CHOOSE('1_PANEL_CONTROL'!$C$4, AB27, AB47, AB67)</f>
        <v>0.2</v>
      </c>
      <c r="AC87" s="34">
        <f>CHOOSE('1_PANEL_CONTROL'!$C$4, AC27, AC47, AC67)</f>
        <v>0.2</v>
      </c>
      <c r="AD87" s="34">
        <f>CHOOSE('1_PANEL_CONTROL'!$C$4, AD27, AD47, AD67)</f>
        <v>0.2</v>
      </c>
      <c r="AE87" s="34">
        <f>CHOOSE('1_PANEL_CONTROL'!$C$4, AE27, AE47, AE67)</f>
        <v>0.2</v>
      </c>
      <c r="AF87" s="34">
        <f>CHOOSE('1_PANEL_CONTROL'!$C$4, AF27, AF47, AF67)</f>
        <v>0.2</v>
      </c>
      <c r="AG87" s="34">
        <f>CHOOSE('1_PANEL_CONTROL'!$C$4, AG27, AG47, AG67)</f>
        <v>0.2</v>
      </c>
      <c r="AH87" s="34">
        <f>CHOOSE('1_PANEL_CONTROL'!$C$4, AH27, AH47, AH67)</f>
        <v>0.2</v>
      </c>
      <c r="AI87" s="34">
        <f>CHOOSE('1_PANEL_CONTROL'!$C$4, AI27, AI47, AI67)</f>
        <v>0.2</v>
      </c>
      <c r="AJ87" s="34">
        <f>CHOOSE('1_PANEL_CONTROL'!$C$4, AJ27, AJ47, AJ67)</f>
        <v>0.2</v>
      </c>
      <c r="AK87" s="34">
        <f>CHOOSE('1_PANEL_CONTROL'!$C$4, AK27, AK47, AK67)</f>
        <v>0.2</v>
      </c>
      <c r="AL87" s="34">
        <f>CHOOSE('1_PANEL_CONTROL'!$C$4, AL27, AL47, AL67)</f>
        <v>0.2</v>
      </c>
      <c r="AM87" s="34">
        <f>CHOOSE('1_PANEL_CONTROL'!$C$4, AM27, AM47, AM67)</f>
        <v>0.2</v>
      </c>
      <c r="AN87" s="34">
        <f>CHOOSE('1_PANEL_CONTROL'!$C$4, AN27, AN47, AN67)</f>
        <v>0.2</v>
      </c>
      <c r="AO87" s="34">
        <f>CHOOSE('1_PANEL_CONTROL'!$C$4, AO27, AO47, AO67)</f>
        <v>0.2</v>
      </c>
      <c r="AP87" s="34">
        <f>CHOOSE('1_PANEL_CONTROL'!$C$4, AP27, AP47, AP67)</f>
        <v>0.2</v>
      </c>
      <c r="AQ87" s="34">
        <f>CHOOSE('1_PANEL_CONTROL'!$C$4, AQ27, AQ47, AQ67)</f>
        <v>0.2</v>
      </c>
      <c r="AR87" s="34">
        <f>CHOOSE('1_PANEL_CONTROL'!$C$4, AR27, AR47, AR67)</f>
        <v>0.2</v>
      </c>
      <c r="AS87" s="34">
        <f>CHOOSE('1_PANEL_CONTROL'!$C$4, AS27, AS47, AS67)</f>
        <v>0.2</v>
      </c>
      <c r="AT87" s="34">
        <f>CHOOSE('1_PANEL_CONTROL'!$C$4, AT27, AT47, AT67)</f>
        <v>0.2</v>
      </c>
      <c r="AU87" s="34">
        <f>CHOOSE('1_PANEL_CONTROL'!$C$4, AU27, AU47, AU67)</f>
        <v>0.2</v>
      </c>
      <c r="AV87" s="34">
        <f>CHOOSE('1_PANEL_CONTROL'!$C$4, AV27, AV47, AV67)</f>
        <v>0.2</v>
      </c>
      <c r="AW87" s="34">
        <f>CHOOSE('1_PANEL_CONTROL'!$C$4, AW27, AW47, AW67)</f>
        <v>0.2</v>
      </c>
      <c r="AX87" s="34">
        <f>CHOOSE('1_PANEL_CONTROL'!$C$4, AX27, AX47, AX67)</f>
        <v>0.2</v>
      </c>
      <c r="AY87" s="34">
        <f>CHOOSE('1_PANEL_CONTROL'!$C$4, AY27, AY47, AY67)</f>
        <v>0.2</v>
      </c>
      <c r="AZ87" s="34">
        <f>CHOOSE('1_PANEL_CONTROL'!$C$4, AZ27, AZ47, AZ67)</f>
        <v>0.2</v>
      </c>
      <c r="BA87" s="34">
        <f>CHOOSE('1_PANEL_CONTROL'!$C$4, BA27, BA47, BA67)</f>
        <v>0.2</v>
      </c>
      <c r="BB87" s="34">
        <f>CHOOSE('1_PANEL_CONTROL'!$C$4, BB27, BB47, BB67)</f>
        <v>0.2</v>
      </c>
      <c r="BC87" s="34">
        <f>CHOOSE('1_PANEL_CONTROL'!$C$4, BC27, BC47, BC67)</f>
        <v>0.2</v>
      </c>
      <c r="BD87" s="34">
        <f>CHOOSE('1_PANEL_CONTROL'!$C$4, BD27, BD47, BD67)</f>
        <v>0.2</v>
      </c>
      <c r="BE87" s="34">
        <f>CHOOSE('1_PANEL_CONTROL'!$C$4, BE27, BE47, BE67)</f>
        <v>0.2</v>
      </c>
      <c r="BF87" s="34">
        <f>CHOOSE('1_PANEL_CONTROL'!$C$4, BF27, BF47, BF67)</f>
        <v>0.2</v>
      </c>
      <c r="BG87" s="34">
        <f>CHOOSE('1_PANEL_CONTROL'!$C$4, BG27, BG47, BG67)</f>
        <v>0.2</v>
      </c>
      <c r="BH87" s="34">
        <f>CHOOSE('1_PANEL_CONTROL'!$C$4, BH27, BH47, BH67)</f>
        <v>0.2</v>
      </c>
      <c r="BI87" s="34">
        <f>CHOOSE('1_PANEL_CONTROL'!$C$4, BI27, BI47, BI67)</f>
        <v>0.2</v>
      </c>
      <c r="BJ87" s="34">
        <f>CHOOSE('1_PANEL_CONTROL'!$C$4, BJ27, BJ47, BJ67)</f>
        <v>0.2</v>
      </c>
      <c r="BK87" s="34">
        <f>CHOOSE('1_PANEL_CONTROL'!$C$4, BK27, BK47, BK67)</f>
        <v>0.2</v>
      </c>
      <c r="BL87" s="34">
        <f>CHOOSE('1_PANEL_CONTROL'!$C$4, BL27, BL47, BL67)</f>
        <v>0.2</v>
      </c>
      <c r="BM87" s="34">
        <f>CHOOSE('1_PANEL_CONTROL'!$C$4, BM27, BM47, BM67)</f>
        <v>0.2</v>
      </c>
      <c r="BN87" s="34">
        <f>CHOOSE('1_PANEL_CONTROL'!$C$4, BN27, BN47, BN67)</f>
        <v>0.2</v>
      </c>
      <c r="BO87" s="34">
        <f>CHOOSE('1_PANEL_CONTROL'!$C$4, BO27, BO47, BO67)</f>
        <v>0.2</v>
      </c>
      <c r="BP87" s="34">
        <f>CHOOSE('1_PANEL_CONTROL'!$C$4, BP27, BP47, BP67)</f>
        <v>0.2</v>
      </c>
      <c r="BQ87" s="34">
        <f>CHOOSE('1_PANEL_CONTROL'!$C$4, BQ27, BQ47, BQ67)</f>
        <v>0.2</v>
      </c>
      <c r="BR87" s="34">
        <f>CHOOSE('1_PANEL_CONTROL'!$C$4, BR27, BR47, BR67)</f>
        <v>0.2</v>
      </c>
      <c r="BS87" s="34">
        <f>CHOOSE('1_PANEL_CONTROL'!$C$4, BS27, BS47, BS67)</f>
        <v>0.2</v>
      </c>
      <c r="BT87" s="34">
        <f>CHOOSE('1_PANEL_CONTROL'!$C$4, BT27, BT47, BT67)</f>
        <v>0.2</v>
      </c>
      <c r="BU87" s="34">
        <f>CHOOSE('1_PANEL_CONTROL'!$C$4, BU27, BU47, BU67)</f>
        <v>0.2</v>
      </c>
      <c r="BV87" s="34">
        <f>CHOOSE('1_PANEL_CONTROL'!$C$4, BV27, BV47, BV67)</f>
        <v>0.2</v>
      </c>
      <c r="BW87" s="34">
        <f>CHOOSE('1_PANEL_CONTROL'!$C$4, BW27, BW47, BW67)</f>
        <v>0.2</v>
      </c>
      <c r="BX87" s="34">
        <f>CHOOSE('1_PANEL_CONTROL'!$C$4, BX27, BX47, BX67)</f>
        <v>0.2</v>
      </c>
      <c r="BY87" s="34">
        <f>CHOOSE('1_PANEL_CONTROL'!$C$4, BY27, BY47, BY67)</f>
        <v>0.2</v>
      </c>
      <c r="BZ87" s="34">
        <f>CHOOSE('1_PANEL_CONTROL'!$C$4, BZ27, BZ47, BZ67)</f>
        <v>0.2</v>
      </c>
      <c r="CA87" s="34">
        <f>CHOOSE('1_PANEL_CONTROL'!$C$4, CA27, CA47, CA67)</f>
        <v>0.2</v>
      </c>
      <c r="CB87" s="34">
        <f>CHOOSE('1_PANEL_CONTROL'!$C$4, CB27, CB47, CB67)</f>
        <v>0.2</v>
      </c>
      <c r="CC87" s="34">
        <f>CHOOSE('1_PANEL_CONTROL'!$C$4, CC27, CC47, CC67)</f>
        <v>0.2</v>
      </c>
      <c r="CD87" s="34">
        <f>CHOOSE('1_PANEL_CONTROL'!$C$4, CD27, CD47, CD67)</f>
        <v>0.2</v>
      </c>
      <c r="CE87" s="34">
        <f>CHOOSE('1_PANEL_CONTROL'!$C$4, CE27, CE47, CE67)</f>
        <v>0.2</v>
      </c>
      <c r="CF87" s="34">
        <f>CHOOSE('1_PANEL_CONTROL'!$C$4, CF27, CF47, CF67)</f>
        <v>0.2</v>
      </c>
      <c r="CG87" s="34">
        <f>CHOOSE('1_PANEL_CONTROL'!$C$4, CG27, CG47, CG67)</f>
        <v>0.2</v>
      </c>
      <c r="CH87" s="34">
        <f>CHOOSE('1_PANEL_CONTROL'!$C$4, CH27, CH47, CH67)</f>
        <v>0.2</v>
      </c>
      <c r="CI87" s="34">
        <f>CHOOSE('1_PANEL_CONTROL'!$C$4, CI27, CI47, CI67)</f>
        <v>0.2</v>
      </c>
    </row>
    <row r="88" spans="1:87" ht="16.5">
      <c r="A88" s="5" t="s">
        <v>489</v>
      </c>
      <c r="B88" s="30" t="s">
        <v>458</v>
      </c>
      <c r="C88" s="17" t="s">
        <v>504</v>
      </c>
      <c r="D88" s="35">
        <f>CHOOSE('1_PANEL_CONTROL'!$C$4, D28, D48, D68)</f>
        <v>9</v>
      </c>
      <c r="E88" s="35">
        <f>CHOOSE('1_PANEL_CONTROL'!$C$4, E28, E48, E68)</f>
        <v>19</v>
      </c>
      <c r="F88" s="35">
        <f>CHOOSE('1_PANEL_CONTROL'!$C$4, F28, F48, F68)</f>
        <v>28</v>
      </c>
      <c r="G88" s="35">
        <f>CHOOSE('1_PANEL_CONTROL'!$C$4, G28, G48, G68)</f>
        <v>38</v>
      </c>
      <c r="H88" s="35">
        <f>CHOOSE('1_PANEL_CONTROL'!$C$4, H28, H48, H68)</f>
        <v>48</v>
      </c>
      <c r="I88" s="35">
        <f>CHOOSE('1_PANEL_CONTROL'!$C$4, I28, I48, I68)</f>
        <v>59</v>
      </c>
      <c r="J88" s="35">
        <f>CHOOSE('1_PANEL_CONTROL'!$C$4, J28, J48, J68)</f>
        <v>70</v>
      </c>
      <c r="K88" s="35">
        <f>CHOOSE('1_PANEL_CONTROL'!$C$4, K28, K48, K68)</f>
        <v>81</v>
      </c>
      <c r="L88" s="35">
        <f>CHOOSE('1_PANEL_CONTROL'!$C$4, L28, L48, L68)</f>
        <v>93</v>
      </c>
      <c r="M88" s="35">
        <f>CHOOSE('1_PANEL_CONTROL'!$C$4, M28, M48, M68)</f>
        <v>106</v>
      </c>
      <c r="N88" s="35">
        <f>CHOOSE('1_PANEL_CONTROL'!$C$4, N28, N48, N68)</f>
        <v>120</v>
      </c>
      <c r="O88" s="35">
        <f>CHOOSE('1_PANEL_CONTROL'!$C$4, O28, O48, O68)</f>
        <v>134</v>
      </c>
      <c r="P88" s="35">
        <f>CHOOSE('1_PANEL_CONTROL'!$C$4, P28, P48, P68)</f>
        <v>149</v>
      </c>
      <c r="Q88" s="35">
        <f>CHOOSE('1_PANEL_CONTROL'!$C$4, Q28, Q48, Q68)</f>
        <v>165</v>
      </c>
      <c r="R88" s="35">
        <f>CHOOSE('1_PANEL_CONTROL'!$C$4, R28, R48, R68)</f>
        <v>182</v>
      </c>
      <c r="S88" s="35">
        <f>CHOOSE('1_PANEL_CONTROL'!$C$4, S28, S48, S68)</f>
        <v>200</v>
      </c>
      <c r="T88" s="35">
        <f>CHOOSE('1_PANEL_CONTROL'!$C$4, T28, T48, T68)</f>
        <v>219</v>
      </c>
      <c r="U88" s="35">
        <f>CHOOSE('1_PANEL_CONTROL'!$C$4, U28, U48, U68)</f>
        <v>239</v>
      </c>
      <c r="V88" s="35">
        <f>CHOOSE('1_PANEL_CONTROL'!$C$4, V28, V48, V68)</f>
        <v>261</v>
      </c>
      <c r="W88" s="35">
        <f>CHOOSE('1_PANEL_CONTROL'!$C$4, W28, W48, W68)</f>
        <v>285</v>
      </c>
      <c r="X88" s="35">
        <f>CHOOSE('1_PANEL_CONTROL'!$C$4, X28, X48, X68)</f>
        <v>310</v>
      </c>
      <c r="Y88" s="35">
        <f>CHOOSE('1_PANEL_CONTROL'!$C$4, Y28, Y48, Y68)</f>
        <v>337</v>
      </c>
      <c r="Z88" s="35">
        <f>CHOOSE('1_PANEL_CONTROL'!$C$4, Z28, Z48, Z68)</f>
        <v>366</v>
      </c>
      <c r="AA88" s="35">
        <f>CHOOSE('1_PANEL_CONTROL'!$C$4, AA28, AA48, AA68)</f>
        <v>397</v>
      </c>
      <c r="AB88" s="35">
        <f>CHOOSE('1_PANEL_CONTROL'!$C$4, AB28, AB48, AB68)</f>
        <v>430</v>
      </c>
      <c r="AC88" s="35">
        <f>CHOOSE('1_PANEL_CONTROL'!$C$4, AC28, AC48, AC68)</f>
        <v>466</v>
      </c>
      <c r="AD88" s="35">
        <f>CHOOSE('1_PANEL_CONTROL'!$C$4, AD28, AD48, AD68)</f>
        <v>505</v>
      </c>
      <c r="AE88" s="35">
        <f>CHOOSE('1_PANEL_CONTROL'!$C$4, AE28, AE48, AE68)</f>
        <v>546</v>
      </c>
      <c r="AF88" s="35">
        <f>CHOOSE('1_PANEL_CONTROL'!$C$4, AF28, AF48, AF68)</f>
        <v>591</v>
      </c>
      <c r="AG88" s="35">
        <f>CHOOSE('1_PANEL_CONTROL'!$C$4, AG28, AG48, AG68)</f>
        <v>639</v>
      </c>
      <c r="AH88" s="35">
        <f>CHOOSE('1_PANEL_CONTROL'!$C$4, AH28, AH48, AH68)</f>
        <v>691</v>
      </c>
      <c r="AI88" s="35">
        <f>CHOOSE('1_PANEL_CONTROL'!$C$4, AI28, AI48, AI68)</f>
        <v>747</v>
      </c>
      <c r="AJ88" s="35">
        <f>CHOOSE('1_PANEL_CONTROL'!$C$4, AJ28, AJ48, AJ68)</f>
        <v>808</v>
      </c>
      <c r="AK88" s="35">
        <f>CHOOSE('1_PANEL_CONTROL'!$C$4, AK28, AK48, AK68)</f>
        <v>873</v>
      </c>
      <c r="AL88" s="35">
        <f>CHOOSE('1_PANEL_CONTROL'!$C$4, AL28, AL48, AL68)</f>
        <v>943</v>
      </c>
      <c r="AM88" s="35">
        <f>CHOOSE('1_PANEL_CONTROL'!$C$4, AM28, AM48, AM68)</f>
        <v>1018</v>
      </c>
      <c r="AN88" s="35">
        <f>CHOOSE('1_PANEL_CONTROL'!$C$4, AN28, AN48, AN68)</f>
        <v>1100</v>
      </c>
      <c r="AO88" s="35">
        <f>CHOOSE('1_PANEL_CONTROL'!$C$4, AO28, AO48, AO68)</f>
        <v>1188</v>
      </c>
      <c r="AP88" s="35">
        <f>CHOOSE('1_PANEL_CONTROL'!$C$4, AP28, AP48, AP68)</f>
        <v>1283</v>
      </c>
      <c r="AQ88" s="35">
        <f>CHOOSE('1_PANEL_CONTROL'!$C$4, AQ28, AQ48, AQ68)</f>
        <v>1385</v>
      </c>
      <c r="AR88" s="35">
        <f>CHOOSE('1_PANEL_CONTROL'!$C$4, AR28, AR48, AR68)</f>
        <v>1496</v>
      </c>
      <c r="AS88" s="35">
        <f>CHOOSE('1_PANEL_CONTROL'!$C$4, AS28, AS48, AS68)</f>
        <v>1616</v>
      </c>
      <c r="AT88" s="35">
        <f>CHOOSE('1_PANEL_CONTROL'!$C$4, AT28, AT48, AT68)</f>
        <v>1744</v>
      </c>
      <c r="AU88" s="35">
        <f>CHOOSE('1_PANEL_CONTROL'!$C$4, AU28, AU48, AU68)</f>
        <v>1883</v>
      </c>
      <c r="AV88" s="35">
        <f>CHOOSE('1_PANEL_CONTROL'!$C$4, AV28, AV48, AV68)</f>
        <v>2034</v>
      </c>
      <c r="AW88" s="35">
        <f>CHOOSE('1_PANEL_CONTROL'!$C$4, AW28, AW48, AW68)</f>
        <v>2196</v>
      </c>
      <c r="AX88" s="35">
        <f>CHOOSE('1_PANEL_CONTROL'!$C$4, AX28, AX48, AX68)</f>
        <v>2371</v>
      </c>
      <c r="AY88" s="35">
        <f>CHOOSE('1_PANEL_CONTROL'!$C$4, AY28, AY48, AY68)</f>
        <v>2560</v>
      </c>
      <c r="AZ88" s="35">
        <f>CHOOSE('1_PANEL_CONTROL'!$C$4, AZ28, AZ48, AZ68)</f>
        <v>2764</v>
      </c>
      <c r="BA88" s="35">
        <f>CHOOSE('1_PANEL_CONTROL'!$C$4, BA28, BA48, BA68)</f>
        <v>2985</v>
      </c>
      <c r="BB88" s="35">
        <f>CHOOSE('1_PANEL_CONTROL'!$C$4, BB28, BB48, BB68)</f>
        <v>3223</v>
      </c>
      <c r="BC88" s="35">
        <f>CHOOSE('1_PANEL_CONTROL'!$C$4, BC28, BC48, BC68)</f>
        <v>3480</v>
      </c>
      <c r="BD88" s="35">
        <f>CHOOSE('1_PANEL_CONTROL'!$C$4, BD28, BD48, BD68)</f>
        <v>3758</v>
      </c>
      <c r="BE88" s="35">
        <f>CHOOSE('1_PANEL_CONTROL'!$C$4, BE28, BE48, BE68)</f>
        <v>4057</v>
      </c>
      <c r="BF88" s="35">
        <f>CHOOSE('1_PANEL_CONTROL'!$C$4, BF28, BF48, BF68)</f>
        <v>4381</v>
      </c>
      <c r="BG88" s="35">
        <f>CHOOSE('1_PANEL_CONTROL'!$C$4, BG28, BG48, BG68)</f>
        <v>4730</v>
      </c>
      <c r="BH88" s="35">
        <f>CHOOSE('1_PANEL_CONTROL'!$C$4, BH28, BH48, BH68)</f>
        <v>5108</v>
      </c>
      <c r="BI88" s="35">
        <f>CHOOSE('1_PANEL_CONTROL'!$C$4, BI28, BI48, BI68)</f>
        <v>5515</v>
      </c>
      <c r="BJ88" s="35">
        <f>CHOOSE('1_PANEL_CONTROL'!$C$4, BJ28, BJ48, BJ68)</f>
        <v>5955</v>
      </c>
      <c r="BK88" s="35">
        <f>CHOOSE('1_PANEL_CONTROL'!$C$4, BK28, BK48, BK68)</f>
        <v>6431</v>
      </c>
      <c r="BL88" s="35">
        <f>CHOOSE('1_PANEL_CONTROL'!$C$4, BL28, BL48, BL68)</f>
        <v>6944</v>
      </c>
      <c r="BM88" s="35">
        <f>CHOOSE('1_PANEL_CONTROL'!$C$4, BM28, BM48, BM68)</f>
        <v>7498</v>
      </c>
      <c r="BN88" s="35">
        <f>CHOOSE('1_PANEL_CONTROL'!$C$4, BN28, BN48, BN68)</f>
        <v>8097</v>
      </c>
      <c r="BO88" s="35">
        <f>CHOOSE('1_PANEL_CONTROL'!$C$4, BO28, BO48, BO68)</f>
        <v>8744</v>
      </c>
      <c r="BP88" s="35">
        <f>CHOOSE('1_PANEL_CONTROL'!$C$4, BP28, BP48, BP68)</f>
        <v>9442</v>
      </c>
      <c r="BQ88" s="35">
        <f>CHOOSE('1_PANEL_CONTROL'!$C$4, BQ28, BQ48, BQ68)</f>
        <v>10196</v>
      </c>
      <c r="BR88" s="35">
        <f>CHOOSE('1_PANEL_CONTROL'!$C$4, BR28, BR48, BR68)</f>
        <v>11011</v>
      </c>
      <c r="BS88" s="35">
        <f>CHOOSE('1_PANEL_CONTROL'!$C$4, BS28, BS48, BS68)</f>
        <v>11890</v>
      </c>
      <c r="BT88" s="35">
        <f>CHOOSE('1_PANEL_CONTROL'!$C$4, BT28, BT48, BT68)</f>
        <v>12840</v>
      </c>
      <c r="BU88" s="35">
        <f>CHOOSE('1_PANEL_CONTROL'!$C$4, BU28, BU48, BU68)</f>
        <v>13866</v>
      </c>
      <c r="BV88" s="35">
        <f>CHOOSE('1_PANEL_CONTROL'!$C$4, BV28, BV48, BV68)</f>
        <v>14973</v>
      </c>
      <c r="BW88" s="35">
        <f>CHOOSE('1_PANEL_CONTROL'!$C$4, BW28, BW48, BW68)</f>
        <v>16170</v>
      </c>
      <c r="BX88" s="35">
        <f>CHOOSE('1_PANEL_CONTROL'!$C$4, BX28, BX48, BX68)</f>
        <v>17462</v>
      </c>
      <c r="BY88" s="35">
        <f>CHOOSE('1_PANEL_CONTROL'!$C$4, BY28, BY48, BY68)</f>
        <v>18858</v>
      </c>
      <c r="BZ88" s="35">
        <f>CHOOSE('1_PANEL_CONTROL'!$C$4, BZ28, BZ48, BZ68)</f>
        <v>20365</v>
      </c>
      <c r="CA88" s="35">
        <f>CHOOSE('1_PANEL_CONTROL'!$C$4, CA28, CA48, CA68)</f>
        <v>21993</v>
      </c>
      <c r="CB88" s="35">
        <f>CHOOSE('1_PANEL_CONTROL'!$C$4, CB28, CB48, CB68)</f>
        <v>23751</v>
      </c>
      <c r="CC88" s="35">
        <f>CHOOSE('1_PANEL_CONTROL'!$C$4, CC28, CC48, CC68)</f>
        <v>25649</v>
      </c>
      <c r="CD88" s="35">
        <f>CHOOSE('1_PANEL_CONTROL'!$C$4, CD28, CD48, CD68)</f>
        <v>27700</v>
      </c>
      <c r="CE88" s="35">
        <f>CHOOSE('1_PANEL_CONTROL'!$C$4, CE28, CE48, CE68)</f>
        <v>29914</v>
      </c>
      <c r="CF88" s="35">
        <f>CHOOSE('1_PANEL_CONTROL'!$C$4, CF28, CF48, CF68)</f>
        <v>32306</v>
      </c>
      <c r="CG88" s="35">
        <f>CHOOSE('1_PANEL_CONTROL'!$C$4, CG28, CG48, CG68)</f>
        <v>34889</v>
      </c>
      <c r="CH88" s="35">
        <f>CHOOSE('1_PANEL_CONTROL'!$C$4, CH28, CH48, CH68)</f>
        <v>37679</v>
      </c>
      <c r="CI88" s="35">
        <f>CHOOSE('1_PANEL_CONTROL'!$C$4, CI28, CI48, CI68)</f>
        <v>40692</v>
      </c>
    </row>
    <row r="90" spans="1:87" ht="22" customHeight="1">
      <c r="A90" s="126" t="s">
        <v>505</v>
      </c>
      <c r="B90" s="112"/>
      <c r="C90" s="113"/>
    </row>
    <row r="91" spans="1:87" ht="20" customHeight="1">
      <c r="A91" s="116" t="s">
        <v>506</v>
      </c>
      <c r="B91" s="117"/>
      <c r="C91" s="118"/>
    </row>
    <row r="92" spans="1:87" ht="20" customHeight="1">
      <c r="A92" s="119"/>
      <c r="B92" s="120"/>
      <c r="C92" s="121"/>
    </row>
    <row r="93" spans="1:87" ht="20" customHeight="1">
      <c r="A93" s="119"/>
      <c r="B93" s="120"/>
      <c r="C93" s="121"/>
    </row>
    <row r="94" spans="1:87" ht="20" customHeight="1">
      <c r="A94" s="119"/>
      <c r="B94" s="120"/>
      <c r="C94" s="121"/>
    </row>
    <row r="95" spans="1:87" ht="20" customHeight="1">
      <c r="A95" s="119"/>
      <c r="B95" s="120"/>
      <c r="C95" s="121"/>
    </row>
    <row r="96" spans="1:87" ht="20" customHeight="1">
      <c r="A96" s="119"/>
      <c r="B96" s="120"/>
      <c r="C96" s="121"/>
    </row>
    <row r="97" spans="1:8" ht="20" customHeight="1">
      <c r="A97" s="119"/>
      <c r="B97" s="120"/>
      <c r="C97" s="121"/>
    </row>
    <row r="98" spans="1:8" ht="20" customHeight="1">
      <c r="A98" s="119"/>
      <c r="B98" s="120"/>
      <c r="C98" s="121"/>
    </row>
    <row r="99" spans="1:8" ht="20" customHeight="1">
      <c r="A99" s="119"/>
      <c r="B99" s="120"/>
      <c r="C99" s="121"/>
    </row>
    <row r="100" spans="1:8" ht="20" customHeight="1">
      <c r="A100" s="119"/>
      <c r="B100" s="120"/>
      <c r="C100" s="121"/>
    </row>
    <row r="101" spans="1:8" ht="20" customHeight="1">
      <c r="A101" s="119"/>
      <c r="B101" s="120"/>
      <c r="C101" s="121"/>
    </row>
    <row r="102" spans="1:8" ht="20" customHeight="1">
      <c r="A102" s="122"/>
      <c r="B102" s="123"/>
      <c r="C102" s="124"/>
    </row>
    <row r="104" spans="1:8" ht="24" customHeight="1">
      <c r="B104" s="109" t="s">
        <v>507</v>
      </c>
      <c r="C104" s="110"/>
      <c r="D104" s="110"/>
      <c r="E104" s="110"/>
      <c r="F104" s="110"/>
      <c r="G104" s="110"/>
      <c r="H104" s="110"/>
    </row>
    <row r="105" spans="1:8" ht="19" customHeight="1">
      <c r="B105" s="102" t="s">
        <v>508</v>
      </c>
      <c r="C105" s="103"/>
      <c r="D105" s="103"/>
      <c r="E105" s="103"/>
      <c r="F105" s="103"/>
      <c r="G105" s="103"/>
      <c r="H105" s="104"/>
    </row>
    <row r="106" spans="1:8" ht="19" customHeight="1">
      <c r="B106" s="105"/>
      <c r="C106" s="103"/>
      <c r="D106" s="103"/>
      <c r="E106" s="103"/>
      <c r="F106" s="103"/>
      <c r="G106" s="103"/>
      <c r="H106" s="104"/>
    </row>
    <row r="107" spans="1:8" ht="19" customHeight="1">
      <c r="B107" s="105"/>
      <c r="C107" s="103"/>
      <c r="D107" s="103"/>
      <c r="E107" s="103"/>
      <c r="F107" s="103"/>
      <c r="G107" s="103"/>
      <c r="H107" s="104"/>
    </row>
    <row r="108" spans="1:8" ht="19" customHeight="1">
      <c r="B108" s="105"/>
      <c r="C108" s="103"/>
      <c r="D108" s="103"/>
      <c r="E108" s="103"/>
      <c r="F108" s="103"/>
      <c r="G108" s="103"/>
      <c r="H108" s="104"/>
    </row>
    <row r="109" spans="1:8" ht="19" customHeight="1">
      <c r="B109" s="105"/>
      <c r="C109" s="103"/>
      <c r="D109" s="103"/>
      <c r="E109" s="103"/>
      <c r="F109" s="103"/>
      <c r="G109" s="103"/>
      <c r="H109" s="104"/>
    </row>
    <row r="110" spans="1:8" ht="19" customHeight="1">
      <c r="B110" s="105"/>
      <c r="C110" s="103"/>
      <c r="D110" s="103"/>
      <c r="E110" s="103"/>
      <c r="F110" s="103"/>
      <c r="G110" s="103"/>
      <c r="H110" s="104"/>
    </row>
    <row r="111" spans="1:8" ht="19" customHeight="1">
      <c r="B111" s="105"/>
      <c r="C111" s="103"/>
      <c r="D111" s="103"/>
      <c r="E111" s="103"/>
      <c r="F111" s="103"/>
      <c r="G111" s="103"/>
      <c r="H111" s="104"/>
    </row>
    <row r="112" spans="1:8" ht="19" customHeight="1">
      <c r="B112" s="106"/>
      <c r="C112" s="107"/>
      <c r="D112" s="107"/>
      <c r="E112" s="107"/>
      <c r="F112" s="107"/>
      <c r="G112" s="107"/>
      <c r="H112" s="108"/>
    </row>
  </sheetData>
  <mergeCells count="9">
    <mergeCell ref="A5:O5"/>
    <mergeCell ref="A30:C30"/>
    <mergeCell ref="A91:C102"/>
    <mergeCell ref="A50:C50"/>
    <mergeCell ref="A10:C10"/>
    <mergeCell ref="A90:C90"/>
    <mergeCell ref="B104:H104"/>
    <mergeCell ref="B105:H112"/>
    <mergeCell ref="A70:C7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0B981"/>
  </sheetPr>
  <dimension ref="A4:CI47"/>
  <sheetViews>
    <sheetView workbookViewId="0">
      <pane xSplit="3" ySplit="7" topLeftCell="D8" activePane="bottomRight" state="frozen"/>
      <selection pane="topRight"/>
      <selection pane="bottomLeft"/>
      <selection pane="bottomRight"/>
    </sheetView>
  </sheetViews>
  <sheetFormatPr baseColWidth="10" defaultColWidth="8.7265625" defaultRowHeight="14.5"/>
  <cols>
    <col min="1" max="1" width="32" customWidth="1"/>
    <col min="2" max="2" width="12" customWidth="1"/>
    <col min="3" max="3" width="38" customWidth="1"/>
    <col min="4" max="87" width="12" customWidth="1"/>
  </cols>
  <sheetData>
    <row r="4" spans="1:87" ht="21">
      <c r="A4" s="37" t="s">
        <v>509</v>
      </c>
    </row>
    <row r="5" spans="1:87" ht="50" customHeight="1">
      <c r="A5" s="38" t="s">
        <v>296</v>
      </c>
      <c r="B5" s="130" t="str">
        <f>CHOOSE('1_PANEL_CONTROL'!$C$4, "🔴 1: NEGATIVO", "🟡 2: EQUILIBRIO", "🟢 3: POSITIVO")</f>
        <v>🟡 2: EQUILIBRIO</v>
      </c>
      <c r="C5" s="113"/>
      <c r="D5" s="116" t="str">
        <f>CHOOSE('1_PANEL_CONTROL'!$C$4, "[NEGATIVO] PLAN DE INGRESOS MENSUALES. La facturación Premium Care en mes 12 es de " &amp; TEXT('5_DETALLE_INGRESOS'!O26, "#.##0 €") &amp; ", acumulando una facturación consolidada en el primer año de " &amp; TEXT(SUM('5_DETALLE_INGRESOS'!$D$37:$O$37), "#.##0 €") &amp; ".", "[EQUILIBRIO] PLAN DE INGRESOS MENSUALES. En el mes 12, el seguro Shield aporta " &amp; TEXT('5_DETALLE_INGRESOS'!O27, "#.##0 €") &amp; " y el B2B/Afiliados genera " &amp; TEXT('5_DETALLE_INGRESOS'!O36, "#.##0 €") &amp; " adicionales sobre base Premium Care.", "[POSITIVO] PLAN DE INGRESOS MENSUALES. En el mes 12, los ingresos B2B y seguros aportan " &amp; TEXT('5_DETALLE_INGRESOS'!O36, "#.##0 €") &amp; ", elevando la facturación total a " &amp; TEXT(SUM('5_DETALLE_INGRESOS'!$D$37:$O$37), "#.##0 €") &amp; " en Año 1.")</f>
        <v>[EQUILIBRIO] PLAN DE INGRESOS MENSUALES. En el mes 12, el seguro Shield aporta 1.868 € y el B2B/Afiliados genera 8.209 € adicionales sobre base Premium Care.</v>
      </c>
      <c r="E5" s="112"/>
      <c r="F5" s="112"/>
      <c r="G5" s="112"/>
      <c r="H5" s="112"/>
      <c r="I5" s="112"/>
      <c r="J5" s="112"/>
      <c r="K5" s="112"/>
      <c r="L5" s="112"/>
      <c r="M5" s="112"/>
      <c r="N5" s="112"/>
      <c r="O5" s="113"/>
    </row>
    <row r="7" spans="1:87" ht="16">
      <c r="A7" t="s">
        <v>510</v>
      </c>
      <c r="B7" t="s">
        <v>367</v>
      </c>
      <c r="C7" t="s">
        <v>511</v>
      </c>
      <c r="D7" s="29" t="s">
        <v>369</v>
      </c>
      <c r="E7" s="29" t="s">
        <v>370</v>
      </c>
      <c r="F7" s="29" t="s">
        <v>371</v>
      </c>
      <c r="G7" s="29" t="s">
        <v>372</v>
      </c>
      <c r="H7" s="29" t="s">
        <v>373</v>
      </c>
      <c r="I7" s="29" t="s">
        <v>374</v>
      </c>
      <c r="J7" s="29" t="s">
        <v>375</v>
      </c>
      <c r="K7" s="29" t="s">
        <v>376</v>
      </c>
      <c r="L7" s="29" t="s">
        <v>377</v>
      </c>
      <c r="M7" s="29" t="s">
        <v>378</v>
      </c>
      <c r="N7" s="29" t="s">
        <v>379</v>
      </c>
      <c r="O7" s="29" t="s">
        <v>380</v>
      </c>
      <c r="P7" s="29" t="s">
        <v>381</v>
      </c>
      <c r="Q7" s="29" t="s">
        <v>382</v>
      </c>
      <c r="R7" s="29" t="s">
        <v>383</v>
      </c>
      <c r="S7" s="29" t="s">
        <v>384</v>
      </c>
      <c r="T7" s="29" t="s">
        <v>385</v>
      </c>
      <c r="U7" s="29" t="s">
        <v>386</v>
      </c>
      <c r="V7" s="29" t="s">
        <v>387</v>
      </c>
      <c r="W7" s="29" t="s">
        <v>388</v>
      </c>
      <c r="X7" s="29" t="s">
        <v>389</v>
      </c>
      <c r="Y7" s="29" t="s">
        <v>390</v>
      </c>
      <c r="Z7" s="29" t="s">
        <v>391</v>
      </c>
      <c r="AA7" s="29" t="s">
        <v>392</v>
      </c>
      <c r="AB7" s="29" t="s">
        <v>393</v>
      </c>
      <c r="AC7" s="29" t="s">
        <v>394</v>
      </c>
      <c r="AD7" s="29" t="s">
        <v>395</v>
      </c>
      <c r="AE7" s="29" t="s">
        <v>396</v>
      </c>
      <c r="AF7" s="29" t="s">
        <v>397</v>
      </c>
      <c r="AG7" s="29" t="s">
        <v>398</v>
      </c>
      <c r="AH7" s="29" t="s">
        <v>399</v>
      </c>
      <c r="AI7" s="29" t="s">
        <v>400</v>
      </c>
      <c r="AJ7" s="29" t="s">
        <v>401</v>
      </c>
      <c r="AK7" s="29" t="s">
        <v>402</v>
      </c>
      <c r="AL7" s="29" t="s">
        <v>403</v>
      </c>
      <c r="AM7" s="29" t="s">
        <v>404</v>
      </c>
      <c r="AN7" s="29" t="s">
        <v>405</v>
      </c>
      <c r="AO7" s="29" t="s">
        <v>406</v>
      </c>
      <c r="AP7" s="29" t="s">
        <v>407</v>
      </c>
      <c r="AQ7" s="29" t="s">
        <v>408</v>
      </c>
      <c r="AR7" s="29" t="s">
        <v>409</v>
      </c>
      <c r="AS7" s="29" t="s">
        <v>410</v>
      </c>
      <c r="AT7" s="29" t="s">
        <v>411</v>
      </c>
      <c r="AU7" s="29" t="s">
        <v>412</v>
      </c>
      <c r="AV7" s="29" t="s">
        <v>413</v>
      </c>
      <c r="AW7" s="29" t="s">
        <v>414</v>
      </c>
      <c r="AX7" s="29" t="s">
        <v>415</v>
      </c>
      <c r="AY7" s="29" t="s">
        <v>416</v>
      </c>
      <c r="AZ7" s="29" t="s">
        <v>417</v>
      </c>
      <c r="BA7" s="29" t="s">
        <v>418</v>
      </c>
      <c r="BB7" s="29" t="s">
        <v>419</v>
      </c>
      <c r="BC7" s="29" t="s">
        <v>420</v>
      </c>
      <c r="BD7" s="29" t="s">
        <v>421</v>
      </c>
      <c r="BE7" s="29" t="s">
        <v>422</v>
      </c>
      <c r="BF7" s="29" t="s">
        <v>423</v>
      </c>
      <c r="BG7" s="29" t="s">
        <v>424</v>
      </c>
      <c r="BH7" s="29" t="s">
        <v>425</v>
      </c>
      <c r="BI7" s="29" t="s">
        <v>426</v>
      </c>
      <c r="BJ7" s="29" t="s">
        <v>427</v>
      </c>
      <c r="BK7" s="29" t="s">
        <v>428</v>
      </c>
      <c r="BL7" s="29" t="s">
        <v>429</v>
      </c>
      <c r="BM7" s="29" t="s">
        <v>430</v>
      </c>
      <c r="BN7" s="29" t="s">
        <v>431</v>
      </c>
      <c r="BO7" s="29" t="s">
        <v>432</v>
      </c>
      <c r="BP7" s="29" t="s">
        <v>433</v>
      </c>
      <c r="BQ7" s="29" t="s">
        <v>434</v>
      </c>
      <c r="BR7" s="29" t="s">
        <v>435</v>
      </c>
      <c r="BS7" s="29" t="s">
        <v>436</v>
      </c>
      <c r="BT7" s="29" t="s">
        <v>437</v>
      </c>
      <c r="BU7" s="29" t="s">
        <v>438</v>
      </c>
      <c r="BV7" s="29" t="s">
        <v>439</v>
      </c>
      <c r="BW7" s="29" t="s">
        <v>440</v>
      </c>
      <c r="BX7" s="29" t="s">
        <v>441</v>
      </c>
      <c r="BY7" s="29" t="s">
        <v>442</v>
      </c>
      <c r="BZ7" s="29" t="s">
        <v>443</v>
      </c>
      <c r="CA7" s="29" t="s">
        <v>444</v>
      </c>
      <c r="CB7" s="29" t="s">
        <v>445</v>
      </c>
      <c r="CC7" s="29" t="s">
        <v>446</v>
      </c>
      <c r="CD7" s="29" t="s">
        <v>447</v>
      </c>
      <c r="CE7" s="29" t="s">
        <v>448</v>
      </c>
      <c r="CF7" s="29" t="s">
        <v>449</v>
      </c>
      <c r="CG7" s="29" t="s">
        <v>450</v>
      </c>
      <c r="CH7" s="29" t="s">
        <v>451</v>
      </c>
      <c r="CI7" s="29" t="s">
        <v>452</v>
      </c>
    </row>
    <row r="10" spans="1:87" ht="16.5">
      <c r="A10" s="5" t="s">
        <v>512</v>
      </c>
      <c r="B10" s="30" t="s">
        <v>458</v>
      </c>
      <c r="C10" s="17" t="s">
        <v>513</v>
      </c>
      <c r="D10" s="32">
        <f>'4_PROY_DEMANDA'!D72</f>
        <v>2027</v>
      </c>
      <c r="E10" s="32">
        <f>'4_PROY_DEMANDA'!E72</f>
        <v>2189.1600000000003</v>
      </c>
      <c r="F10" s="32">
        <f>'4_PROY_DEMANDA'!F72</f>
        <v>2364.2928000000006</v>
      </c>
      <c r="G10" s="32">
        <f>'4_PROY_DEMANDA'!G72</f>
        <v>2553.4362240000009</v>
      </c>
      <c r="H10" s="32">
        <f>'4_PROY_DEMANDA'!H72</f>
        <v>2757.711121920001</v>
      </c>
      <c r="I10" s="32">
        <f>'4_PROY_DEMANDA'!I72</f>
        <v>2978.3280116736014</v>
      </c>
      <c r="J10" s="32">
        <f>'4_PROY_DEMANDA'!J72</f>
        <v>3216.5942526074896</v>
      </c>
      <c r="K10" s="32">
        <f>'4_PROY_DEMANDA'!K72</f>
        <v>3473.9217928160888</v>
      </c>
      <c r="L10" s="32">
        <f>'4_PROY_DEMANDA'!L72</f>
        <v>3751.8355362413763</v>
      </c>
      <c r="M10" s="32">
        <f>'4_PROY_DEMANDA'!M72</f>
        <v>4051.9823791406866</v>
      </c>
      <c r="N10" s="32">
        <f>'4_PROY_DEMANDA'!N72</f>
        <v>4376.1409694719414</v>
      </c>
      <c r="O10" s="32">
        <f>'4_PROY_DEMANDA'!O72</f>
        <v>4726.2322470296967</v>
      </c>
      <c r="P10" s="32">
        <f>'4_PROY_DEMANDA'!P72</f>
        <v>5104.3308267920729</v>
      </c>
      <c r="Q10" s="32">
        <f>'4_PROY_DEMANDA'!Q72</f>
        <v>5512.6772929354393</v>
      </c>
      <c r="R10" s="32">
        <f>'4_PROY_DEMANDA'!R72</f>
        <v>5953.6914763702744</v>
      </c>
      <c r="S10" s="32">
        <f>'4_PROY_DEMANDA'!S72</f>
        <v>6429.9867944798971</v>
      </c>
      <c r="T10" s="32">
        <f>'4_PROY_DEMANDA'!T72</f>
        <v>6944.3857380382897</v>
      </c>
      <c r="U10" s="32">
        <f>'4_PROY_DEMANDA'!U72</f>
        <v>7499.9365970813533</v>
      </c>
      <c r="V10" s="32">
        <f>'4_PROY_DEMANDA'!V72</f>
        <v>8099.9315248478624</v>
      </c>
      <c r="W10" s="32">
        <f>'4_PROY_DEMANDA'!W72</f>
        <v>8747.9260468356915</v>
      </c>
      <c r="X10" s="32">
        <f>'4_PROY_DEMANDA'!X72</f>
        <v>9447.7601305825483</v>
      </c>
      <c r="Y10" s="32">
        <f>'4_PROY_DEMANDA'!Y72</f>
        <v>10203.580941029153</v>
      </c>
      <c r="Z10" s="32">
        <f>'4_PROY_DEMANDA'!Z72</f>
        <v>11019.867416311487</v>
      </c>
      <c r="AA10" s="32">
        <f>'4_PROY_DEMANDA'!AA72</f>
        <v>11901.456809616406</v>
      </c>
      <c r="AB10" s="32">
        <f>'4_PROY_DEMANDA'!AB72</f>
        <v>12853.573354385719</v>
      </c>
      <c r="AC10" s="32">
        <f>'4_PROY_DEMANDA'!AC72</f>
        <v>13881.859222736577</v>
      </c>
      <c r="AD10" s="32">
        <f>'4_PROY_DEMANDA'!AD72</f>
        <v>14992.407960555503</v>
      </c>
      <c r="AE10" s="32">
        <f>'4_PROY_DEMANDA'!AE72</f>
        <v>16191.800597399944</v>
      </c>
      <c r="AF10" s="32">
        <f>'4_PROY_DEMANDA'!AF72</f>
        <v>17487.14464519194</v>
      </c>
      <c r="AG10" s="32">
        <f>'4_PROY_DEMANDA'!AG72</f>
        <v>18886.116216807295</v>
      </c>
      <c r="AH10" s="32">
        <f>'4_PROY_DEMANDA'!AH72</f>
        <v>20397.005514151879</v>
      </c>
      <c r="AI10" s="32">
        <f>'4_PROY_DEMANDA'!AI72</f>
        <v>22028.76595528403</v>
      </c>
      <c r="AJ10" s="32">
        <f>'4_PROY_DEMANDA'!AJ72</f>
        <v>23791.067231706755</v>
      </c>
      <c r="AK10" s="32">
        <f>'4_PROY_DEMANDA'!AK72</f>
        <v>25694.352610243295</v>
      </c>
      <c r="AL10" s="32">
        <f>'4_PROY_DEMANDA'!AL72</f>
        <v>27749.900819062761</v>
      </c>
      <c r="AM10" s="32">
        <f>'4_PROY_DEMANDA'!AM72</f>
        <v>29969.892884587785</v>
      </c>
      <c r="AN10" s="32">
        <f>'4_PROY_DEMANDA'!AN72</f>
        <v>32367.48431535481</v>
      </c>
      <c r="AO10" s="32">
        <f>'4_PROY_DEMANDA'!AO72</f>
        <v>34956.883060583197</v>
      </c>
      <c r="AP10" s="32">
        <f>'4_PROY_DEMANDA'!AP72</f>
        <v>37753.433705429852</v>
      </c>
      <c r="AQ10" s="32">
        <f>'4_PROY_DEMANDA'!AQ72</f>
        <v>40773.708401864242</v>
      </c>
      <c r="AR10" s="32">
        <f>'4_PROY_DEMANDA'!AR72</f>
        <v>44035.605074013387</v>
      </c>
      <c r="AS10" s="32">
        <f>'4_PROY_DEMANDA'!AS72</f>
        <v>47558.453479934462</v>
      </c>
      <c r="AT10" s="32">
        <f>'4_PROY_DEMANDA'!AT72</f>
        <v>51363.129758329225</v>
      </c>
      <c r="AU10" s="32">
        <f>'4_PROY_DEMANDA'!AU72</f>
        <v>55472.180138995565</v>
      </c>
      <c r="AV10" s="32">
        <f>'4_PROY_DEMANDA'!AV72</f>
        <v>59909.954550115217</v>
      </c>
      <c r="AW10" s="32">
        <f>'4_PROY_DEMANDA'!AW72</f>
        <v>64702.750914124437</v>
      </c>
      <c r="AX10" s="32">
        <f>'4_PROY_DEMANDA'!AX72</f>
        <v>69878.97098725439</v>
      </c>
      <c r="AY10" s="32">
        <f>'4_PROY_DEMANDA'!AY72</f>
        <v>75469.288666234745</v>
      </c>
      <c r="AZ10" s="32">
        <f>'4_PROY_DEMANDA'!AZ72</f>
        <v>81506.831759533525</v>
      </c>
      <c r="BA10" s="32">
        <f>'4_PROY_DEMANDA'!BA72</f>
        <v>88027.378300296215</v>
      </c>
      <c r="BB10" s="32">
        <f>'4_PROY_DEMANDA'!BB72</f>
        <v>95069.568564319925</v>
      </c>
      <c r="BC10" s="32">
        <f>'4_PROY_DEMANDA'!BC72</f>
        <v>102675.13404946553</v>
      </c>
      <c r="BD10" s="32">
        <f>'4_PROY_DEMANDA'!BD72</f>
        <v>110889.14477342278</v>
      </c>
      <c r="BE10" s="32">
        <f>'4_PROY_DEMANDA'!BE72</f>
        <v>119760.27635529662</v>
      </c>
      <c r="BF10" s="32">
        <f>'4_PROY_DEMANDA'!BF72</f>
        <v>129341.09846372037</v>
      </c>
      <c r="BG10" s="32">
        <f>'4_PROY_DEMANDA'!BG72</f>
        <v>139688.38634081799</v>
      </c>
      <c r="BH10" s="32">
        <f>'4_PROY_DEMANDA'!BH72</f>
        <v>150863.45724808343</v>
      </c>
      <c r="BI10" s="32">
        <f>'4_PROY_DEMANDA'!BI72</f>
        <v>162932.53382793011</v>
      </c>
      <c r="BJ10" s="32">
        <f>'4_PROY_DEMANDA'!BJ72</f>
        <v>175967.13653416451</v>
      </c>
      <c r="BK10" s="32">
        <f>'4_PROY_DEMANDA'!BK72</f>
        <v>190044.5074568977</v>
      </c>
      <c r="BL10" s="32">
        <f>'4_PROY_DEMANDA'!BL72</f>
        <v>205248.06805344953</v>
      </c>
      <c r="BM10" s="32">
        <f>'4_PROY_DEMANDA'!BM72</f>
        <v>221667.9134977255</v>
      </c>
      <c r="BN10" s="32">
        <f>'4_PROY_DEMANDA'!BN72</f>
        <v>239401.34657754356</v>
      </c>
      <c r="BO10" s="32">
        <f>'4_PROY_DEMANDA'!BO72</f>
        <v>258553.45430374707</v>
      </c>
      <c r="BP10" s="32">
        <f>'4_PROY_DEMANDA'!BP72</f>
        <v>279237.73064804688</v>
      </c>
      <c r="BQ10" s="32">
        <f>'4_PROY_DEMANDA'!BQ72</f>
        <v>301576.74909989064</v>
      </c>
      <c r="BR10" s="32">
        <f>'4_PROY_DEMANDA'!BR72</f>
        <v>325702.8890278819</v>
      </c>
      <c r="BS10" s="32">
        <f>'4_PROY_DEMANDA'!BS72</f>
        <v>351759.12015011249</v>
      </c>
      <c r="BT10" s="32">
        <f>'4_PROY_DEMANDA'!BT72</f>
        <v>379899.84976212151</v>
      </c>
      <c r="BU10" s="32">
        <f>'4_PROY_DEMANDA'!BU72</f>
        <v>410291.83774309128</v>
      </c>
      <c r="BV10" s="32">
        <f>'4_PROY_DEMANDA'!BV72</f>
        <v>443115.18476253859</v>
      </c>
      <c r="BW10" s="32">
        <f>'4_PROY_DEMANDA'!BW72</f>
        <v>478564.39954354172</v>
      </c>
      <c r="BX10" s="32">
        <f>'4_PROY_DEMANDA'!BX72</f>
        <v>516849.55150702508</v>
      </c>
      <c r="BY10" s="32">
        <f>'4_PROY_DEMANDA'!BY72</f>
        <v>558197.5156275871</v>
      </c>
      <c r="BZ10" s="32">
        <f>'4_PROY_DEMANDA'!BZ72</f>
        <v>602853.3168777941</v>
      </c>
      <c r="CA10" s="32">
        <f>'4_PROY_DEMANDA'!CA72</f>
        <v>651081.58222801762</v>
      </c>
      <c r="CB10" s="32">
        <f>'4_PROY_DEMANDA'!CB72</f>
        <v>703168.10880625912</v>
      </c>
      <c r="CC10" s="32">
        <f>'4_PROY_DEMANDA'!CC72</f>
        <v>759421.55751075991</v>
      </c>
      <c r="CD10" s="32">
        <f>'4_PROY_DEMANDA'!CD72</f>
        <v>820175.28211162076</v>
      </c>
      <c r="CE10" s="32">
        <f>'4_PROY_DEMANDA'!CE72</f>
        <v>885789.30468055047</v>
      </c>
      <c r="CF10" s="32">
        <f>'4_PROY_DEMANDA'!CF72</f>
        <v>956652.44905499462</v>
      </c>
      <c r="CG10" s="32">
        <f>'4_PROY_DEMANDA'!CG72</f>
        <v>1033184.6449793943</v>
      </c>
      <c r="CH10" s="32">
        <f>'4_PROY_DEMANDA'!CH72</f>
        <v>1115839.4165777459</v>
      </c>
      <c r="CI10" s="32">
        <f>'4_PROY_DEMANDA'!CI72</f>
        <v>1205106.5699039656</v>
      </c>
    </row>
    <row r="11" spans="1:87" ht="16.5">
      <c r="A11" s="5" t="s">
        <v>460</v>
      </c>
      <c r="B11" s="30" t="s">
        <v>455</v>
      </c>
      <c r="C11" s="17" t="s">
        <v>514</v>
      </c>
      <c r="D11" s="31">
        <f>'4_PROY_DEMANDA'!D73</f>
        <v>0.02</v>
      </c>
      <c r="E11" s="31">
        <f>'4_PROY_DEMANDA'!E73</f>
        <v>0.02</v>
      </c>
      <c r="F11" s="31">
        <f>'4_PROY_DEMANDA'!F73</f>
        <v>0.02</v>
      </c>
      <c r="G11" s="31">
        <f>'4_PROY_DEMANDA'!G73</f>
        <v>0.02</v>
      </c>
      <c r="H11" s="31">
        <f>'4_PROY_DEMANDA'!H73</f>
        <v>0.02</v>
      </c>
      <c r="I11" s="31">
        <f>'4_PROY_DEMANDA'!I73</f>
        <v>0.02</v>
      </c>
      <c r="J11" s="31">
        <f>'4_PROY_DEMANDA'!J73</f>
        <v>0.02</v>
      </c>
      <c r="K11" s="31">
        <f>'4_PROY_DEMANDA'!K73</f>
        <v>0.02</v>
      </c>
      <c r="L11" s="31">
        <f>'4_PROY_DEMANDA'!L73</f>
        <v>0.02</v>
      </c>
      <c r="M11" s="31">
        <f>'4_PROY_DEMANDA'!M73</f>
        <v>0.02</v>
      </c>
      <c r="N11" s="31">
        <f>'4_PROY_DEMANDA'!N73</f>
        <v>0.02</v>
      </c>
      <c r="O11" s="31">
        <f>'4_PROY_DEMANDA'!O73</f>
        <v>0.02</v>
      </c>
      <c r="P11" s="31">
        <f>'4_PROY_DEMANDA'!P73</f>
        <v>0.02</v>
      </c>
      <c r="Q11" s="31">
        <f>'4_PROY_DEMANDA'!Q73</f>
        <v>0.02</v>
      </c>
      <c r="R11" s="31">
        <f>'4_PROY_DEMANDA'!R73</f>
        <v>0.02</v>
      </c>
      <c r="S11" s="31">
        <f>'4_PROY_DEMANDA'!S73</f>
        <v>0.02</v>
      </c>
      <c r="T11" s="31">
        <f>'4_PROY_DEMANDA'!T73</f>
        <v>0.02</v>
      </c>
      <c r="U11" s="31">
        <f>'4_PROY_DEMANDA'!U73</f>
        <v>0.02</v>
      </c>
      <c r="V11" s="31">
        <f>'4_PROY_DEMANDA'!V73</f>
        <v>0.02</v>
      </c>
      <c r="W11" s="31">
        <f>'4_PROY_DEMANDA'!W73</f>
        <v>0.02</v>
      </c>
      <c r="X11" s="31">
        <f>'4_PROY_DEMANDA'!X73</f>
        <v>0.02</v>
      </c>
      <c r="Y11" s="31">
        <f>'4_PROY_DEMANDA'!Y73</f>
        <v>0.02</v>
      </c>
      <c r="Z11" s="31">
        <f>'4_PROY_DEMANDA'!Z73</f>
        <v>0.02</v>
      </c>
      <c r="AA11" s="31">
        <f>'4_PROY_DEMANDA'!AA73</f>
        <v>0.02</v>
      </c>
      <c r="AB11" s="31">
        <f>'4_PROY_DEMANDA'!AB73</f>
        <v>0.02</v>
      </c>
      <c r="AC11" s="31">
        <f>'4_PROY_DEMANDA'!AC73</f>
        <v>0.02</v>
      </c>
      <c r="AD11" s="31">
        <f>'4_PROY_DEMANDA'!AD73</f>
        <v>0.02</v>
      </c>
      <c r="AE11" s="31">
        <f>'4_PROY_DEMANDA'!AE73</f>
        <v>0.02</v>
      </c>
      <c r="AF11" s="31">
        <f>'4_PROY_DEMANDA'!AF73</f>
        <v>0.02</v>
      </c>
      <c r="AG11" s="31">
        <f>'4_PROY_DEMANDA'!AG73</f>
        <v>0.02</v>
      </c>
      <c r="AH11" s="31">
        <f>'4_PROY_DEMANDA'!AH73</f>
        <v>0.02</v>
      </c>
      <c r="AI11" s="31">
        <f>'4_PROY_DEMANDA'!AI73</f>
        <v>0.02</v>
      </c>
      <c r="AJ11" s="31">
        <f>'4_PROY_DEMANDA'!AJ73</f>
        <v>0.02</v>
      </c>
      <c r="AK11" s="31">
        <f>'4_PROY_DEMANDA'!AK73</f>
        <v>0.02</v>
      </c>
      <c r="AL11" s="31">
        <f>'4_PROY_DEMANDA'!AL73</f>
        <v>0.02</v>
      </c>
      <c r="AM11" s="31">
        <f>'4_PROY_DEMANDA'!AM73</f>
        <v>0.02</v>
      </c>
      <c r="AN11" s="31">
        <f>'4_PROY_DEMANDA'!AN73</f>
        <v>0.02</v>
      </c>
      <c r="AO11" s="31">
        <f>'4_PROY_DEMANDA'!AO73</f>
        <v>0.02</v>
      </c>
      <c r="AP11" s="31">
        <f>'4_PROY_DEMANDA'!AP73</f>
        <v>0.02</v>
      </c>
      <c r="AQ11" s="31">
        <f>'4_PROY_DEMANDA'!AQ73</f>
        <v>0.02</v>
      </c>
      <c r="AR11" s="31">
        <f>'4_PROY_DEMANDA'!AR73</f>
        <v>0.02</v>
      </c>
      <c r="AS11" s="31">
        <f>'4_PROY_DEMANDA'!AS73</f>
        <v>0.02</v>
      </c>
      <c r="AT11" s="31">
        <f>'4_PROY_DEMANDA'!AT73</f>
        <v>0.02</v>
      </c>
      <c r="AU11" s="31">
        <f>'4_PROY_DEMANDA'!AU73</f>
        <v>0.02</v>
      </c>
      <c r="AV11" s="31">
        <f>'4_PROY_DEMANDA'!AV73</f>
        <v>0.02</v>
      </c>
      <c r="AW11" s="31">
        <f>'4_PROY_DEMANDA'!AW73</f>
        <v>0.02</v>
      </c>
      <c r="AX11" s="31">
        <f>'4_PROY_DEMANDA'!AX73</f>
        <v>0.02</v>
      </c>
      <c r="AY11" s="31">
        <f>'4_PROY_DEMANDA'!AY73</f>
        <v>0.02</v>
      </c>
      <c r="AZ11" s="31">
        <f>'4_PROY_DEMANDA'!AZ73</f>
        <v>0.02</v>
      </c>
      <c r="BA11" s="31">
        <f>'4_PROY_DEMANDA'!BA73</f>
        <v>0.02</v>
      </c>
      <c r="BB11" s="31">
        <f>'4_PROY_DEMANDA'!BB73</f>
        <v>0.02</v>
      </c>
      <c r="BC11" s="31">
        <f>'4_PROY_DEMANDA'!BC73</f>
        <v>0.02</v>
      </c>
      <c r="BD11" s="31">
        <f>'4_PROY_DEMANDA'!BD73</f>
        <v>0.02</v>
      </c>
      <c r="BE11" s="31">
        <f>'4_PROY_DEMANDA'!BE73</f>
        <v>0.02</v>
      </c>
      <c r="BF11" s="31">
        <f>'4_PROY_DEMANDA'!BF73</f>
        <v>0.02</v>
      </c>
      <c r="BG11" s="31">
        <f>'4_PROY_DEMANDA'!BG73</f>
        <v>0.02</v>
      </c>
      <c r="BH11" s="31">
        <f>'4_PROY_DEMANDA'!BH73</f>
        <v>0.02</v>
      </c>
      <c r="BI11" s="31">
        <f>'4_PROY_DEMANDA'!BI73</f>
        <v>0.02</v>
      </c>
      <c r="BJ11" s="31">
        <f>'4_PROY_DEMANDA'!BJ73</f>
        <v>0.02</v>
      </c>
      <c r="BK11" s="31">
        <f>'4_PROY_DEMANDA'!BK73</f>
        <v>0.02</v>
      </c>
      <c r="BL11" s="31">
        <f>'4_PROY_DEMANDA'!BL73</f>
        <v>0.02</v>
      </c>
      <c r="BM11" s="31">
        <f>'4_PROY_DEMANDA'!BM73</f>
        <v>0.02</v>
      </c>
      <c r="BN11" s="31">
        <f>'4_PROY_DEMANDA'!BN73</f>
        <v>0.02</v>
      </c>
      <c r="BO11" s="31">
        <f>'4_PROY_DEMANDA'!BO73</f>
        <v>0.02</v>
      </c>
      <c r="BP11" s="31">
        <f>'4_PROY_DEMANDA'!BP73</f>
        <v>0.02</v>
      </c>
      <c r="BQ11" s="31">
        <f>'4_PROY_DEMANDA'!BQ73</f>
        <v>0.02</v>
      </c>
      <c r="BR11" s="31">
        <f>'4_PROY_DEMANDA'!BR73</f>
        <v>0.02</v>
      </c>
      <c r="BS11" s="31">
        <f>'4_PROY_DEMANDA'!BS73</f>
        <v>0.02</v>
      </c>
      <c r="BT11" s="31">
        <f>'4_PROY_DEMANDA'!BT73</f>
        <v>0.02</v>
      </c>
      <c r="BU11" s="31">
        <f>'4_PROY_DEMANDA'!BU73</f>
        <v>0.02</v>
      </c>
      <c r="BV11" s="31">
        <f>'4_PROY_DEMANDA'!BV73</f>
        <v>0.02</v>
      </c>
      <c r="BW11" s="31">
        <f>'4_PROY_DEMANDA'!BW73</f>
        <v>0.02</v>
      </c>
      <c r="BX11" s="31">
        <f>'4_PROY_DEMANDA'!BX73</f>
        <v>0.02</v>
      </c>
      <c r="BY11" s="31">
        <f>'4_PROY_DEMANDA'!BY73</f>
        <v>0.02</v>
      </c>
      <c r="BZ11" s="31">
        <f>'4_PROY_DEMANDA'!BZ73</f>
        <v>0.02</v>
      </c>
      <c r="CA11" s="31">
        <f>'4_PROY_DEMANDA'!CA73</f>
        <v>0.02</v>
      </c>
      <c r="CB11" s="31">
        <f>'4_PROY_DEMANDA'!CB73</f>
        <v>0.02</v>
      </c>
      <c r="CC11" s="31">
        <f>'4_PROY_DEMANDA'!CC73</f>
        <v>0.02</v>
      </c>
      <c r="CD11" s="31">
        <f>'4_PROY_DEMANDA'!CD73</f>
        <v>0.02</v>
      </c>
      <c r="CE11" s="31">
        <f>'4_PROY_DEMANDA'!CE73</f>
        <v>0.02</v>
      </c>
      <c r="CF11" s="31">
        <f>'4_PROY_DEMANDA'!CF73</f>
        <v>0.02</v>
      </c>
      <c r="CG11" s="31">
        <f>'4_PROY_DEMANDA'!CG73</f>
        <v>0.02</v>
      </c>
      <c r="CH11" s="31">
        <f>'4_PROY_DEMANDA'!CH73</f>
        <v>0.02</v>
      </c>
      <c r="CI11" s="31">
        <f>'4_PROY_DEMANDA'!CI73</f>
        <v>0.02</v>
      </c>
    </row>
    <row r="12" spans="1:87" ht="16.5">
      <c r="A12" s="5" t="s">
        <v>462</v>
      </c>
      <c r="B12" s="30" t="s">
        <v>458</v>
      </c>
      <c r="C12" s="17" t="s">
        <v>515</v>
      </c>
      <c r="D12" s="32">
        <f>'4_PROY_DEMANDA'!D74</f>
        <v>41</v>
      </c>
      <c r="E12" s="32">
        <f>'4_PROY_DEMANDA'!E74</f>
        <v>44</v>
      </c>
      <c r="F12" s="32">
        <f>'4_PROY_DEMANDA'!F74</f>
        <v>47</v>
      </c>
      <c r="G12" s="32">
        <f>'4_PROY_DEMANDA'!G74</f>
        <v>51</v>
      </c>
      <c r="H12" s="32">
        <f>'4_PROY_DEMANDA'!H74</f>
        <v>55</v>
      </c>
      <c r="I12" s="32">
        <f>'4_PROY_DEMANDA'!I74</f>
        <v>60</v>
      </c>
      <c r="J12" s="32">
        <f>'4_PROY_DEMANDA'!J74</f>
        <v>64</v>
      </c>
      <c r="K12" s="32">
        <f>'4_PROY_DEMANDA'!K74</f>
        <v>69</v>
      </c>
      <c r="L12" s="32">
        <f>'4_PROY_DEMANDA'!L74</f>
        <v>75</v>
      </c>
      <c r="M12" s="32">
        <f>'4_PROY_DEMANDA'!M74</f>
        <v>81</v>
      </c>
      <c r="N12" s="32">
        <f>'4_PROY_DEMANDA'!N74</f>
        <v>88</v>
      </c>
      <c r="O12" s="32">
        <f>'4_PROY_DEMANDA'!O74</f>
        <v>95</v>
      </c>
      <c r="P12" s="32">
        <f>'4_PROY_DEMANDA'!P74</f>
        <v>102</v>
      </c>
      <c r="Q12" s="32">
        <f>'4_PROY_DEMANDA'!Q74</f>
        <v>110</v>
      </c>
      <c r="R12" s="32">
        <f>'4_PROY_DEMANDA'!R74</f>
        <v>119</v>
      </c>
      <c r="S12" s="32">
        <f>'4_PROY_DEMANDA'!S74</f>
        <v>129</v>
      </c>
      <c r="T12" s="32">
        <f>'4_PROY_DEMANDA'!T74</f>
        <v>139</v>
      </c>
      <c r="U12" s="32">
        <f>'4_PROY_DEMANDA'!U74</f>
        <v>150</v>
      </c>
      <c r="V12" s="32">
        <f>'4_PROY_DEMANDA'!V74</f>
        <v>162</v>
      </c>
      <c r="W12" s="32">
        <f>'4_PROY_DEMANDA'!W74</f>
        <v>175</v>
      </c>
      <c r="X12" s="32">
        <f>'4_PROY_DEMANDA'!X74</f>
        <v>189</v>
      </c>
      <c r="Y12" s="32">
        <f>'4_PROY_DEMANDA'!Y74</f>
        <v>204</v>
      </c>
      <c r="Z12" s="32">
        <f>'4_PROY_DEMANDA'!Z74</f>
        <v>220</v>
      </c>
      <c r="AA12" s="32">
        <f>'4_PROY_DEMANDA'!AA74</f>
        <v>238</v>
      </c>
      <c r="AB12" s="32">
        <f>'4_PROY_DEMANDA'!AB74</f>
        <v>257</v>
      </c>
      <c r="AC12" s="32">
        <f>'4_PROY_DEMANDA'!AC74</f>
        <v>278</v>
      </c>
      <c r="AD12" s="32">
        <f>'4_PROY_DEMANDA'!AD74</f>
        <v>300</v>
      </c>
      <c r="AE12" s="32">
        <f>'4_PROY_DEMANDA'!AE74</f>
        <v>324</v>
      </c>
      <c r="AF12" s="32">
        <f>'4_PROY_DEMANDA'!AF74</f>
        <v>350</v>
      </c>
      <c r="AG12" s="32">
        <f>'4_PROY_DEMANDA'!AG74</f>
        <v>378</v>
      </c>
      <c r="AH12" s="32">
        <f>'4_PROY_DEMANDA'!AH74</f>
        <v>408</v>
      </c>
      <c r="AI12" s="32">
        <f>'4_PROY_DEMANDA'!AI74</f>
        <v>441</v>
      </c>
      <c r="AJ12" s="32">
        <f>'4_PROY_DEMANDA'!AJ74</f>
        <v>476</v>
      </c>
      <c r="AK12" s="32">
        <f>'4_PROY_DEMANDA'!AK74</f>
        <v>514</v>
      </c>
      <c r="AL12" s="32">
        <f>'4_PROY_DEMANDA'!AL74</f>
        <v>555</v>
      </c>
      <c r="AM12" s="32">
        <f>'4_PROY_DEMANDA'!AM74</f>
        <v>599</v>
      </c>
      <c r="AN12" s="32">
        <f>'4_PROY_DEMANDA'!AN74</f>
        <v>647</v>
      </c>
      <c r="AO12" s="32">
        <f>'4_PROY_DEMANDA'!AO74</f>
        <v>699</v>
      </c>
      <c r="AP12" s="32">
        <f>'4_PROY_DEMANDA'!AP74</f>
        <v>755</v>
      </c>
      <c r="AQ12" s="32">
        <f>'4_PROY_DEMANDA'!AQ74</f>
        <v>815</v>
      </c>
      <c r="AR12" s="32">
        <f>'4_PROY_DEMANDA'!AR74</f>
        <v>881</v>
      </c>
      <c r="AS12" s="32">
        <f>'4_PROY_DEMANDA'!AS74</f>
        <v>951</v>
      </c>
      <c r="AT12" s="32">
        <f>'4_PROY_DEMANDA'!AT74</f>
        <v>1027</v>
      </c>
      <c r="AU12" s="32">
        <f>'4_PROY_DEMANDA'!AU74</f>
        <v>1109</v>
      </c>
      <c r="AV12" s="32">
        <f>'4_PROY_DEMANDA'!AV74</f>
        <v>1198</v>
      </c>
      <c r="AW12" s="32">
        <f>'4_PROY_DEMANDA'!AW74</f>
        <v>1294</v>
      </c>
      <c r="AX12" s="32">
        <f>'4_PROY_DEMANDA'!AX74</f>
        <v>1398</v>
      </c>
      <c r="AY12" s="32">
        <f>'4_PROY_DEMANDA'!AY74</f>
        <v>1509</v>
      </c>
      <c r="AZ12" s="32">
        <f>'4_PROY_DEMANDA'!AZ74</f>
        <v>1630</v>
      </c>
      <c r="BA12" s="32">
        <f>'4_PROY_DEMANDA'!BA74</f>
        <v>1761</v>
      </c>
      <c r="BB12" s="32">
        <f>'4_PROY_DEMANDA'!BB74</f>
        <v>1901</v>
      </c>
      <c r="BC12" s="32">
        <f>'4_PROY_DEMANDA'!BC74</f>
        <v>2054</v>
      </c>
      <c r="BD12" s="32">
        <f>'4_PROY_DEMANDA'!BD74</f>
        <v>2218</v>
      </c>
      <c r="BE12" s="32">
        <f>'4_PROY_DEMANDA'!BE74</f>
        <v>2395</v>
      </c>
      <c r="BF12" s="32">
        <f>'4_PROY_DEMANDA'!BF74</f>
        <v>2587</v>
      </c>
      <c r="BG12" s="32">
        <f>'4_PROY_DEMANDA'!BG74</f>
        <v>2794</v>
      </c>
      <c r="BH12" s="32">
        <f>'4_PROY_DEMANDA'!BH74</f>
        <v>3017</v>
      </c>
      <c r="BI12" s="32">
        <f>'4_PROY_DEMANDA'!BI74</f>
        <v>3259</v>
      </c>
      <c r="BJ12" s="32">
        <f>'4_PROY_DEMANDA'!BJ74</f>
        <v>3519</v>
      </c>
      <c r="BK12" s="32">
        <f>'4_PROY_DEMANDA'!BK74</f>
        <v>3801</v>
      </c>
      <c r="BL12" s="32">
        <f>'4_PROY_DEMANDA'!BL74</f>
        <v>4105</v>
      </c>
      <c r="BM12" s="32">
        <f>'4_PROY_DEMANDA'!BM74</f>
        <v>4433</v>
      </c>
      <c r="BN12" s="32">
        <f>'4_PROY_DEMANDA'!BN74</f>
        <v>4788</v>
      </c>
      <c r="BO12" s="32">
        <f>'4_PROY_DEMANDA'!BO74</f>
        <v>5171</v>
      </c>
      <c r="BP12" s="32">
        <f>'4_PROY_DEMANDA'!BP74</f>
        <v>5585</v>
      </c>
      <c r="BQ12" s="32">
        <f>'4_PROY_DEMANDA'!BQ74</f>
        <v>6032</v>
      </c>
      <c r="BR12" s="32">
        <f>'4_PROY_DEMANDA'!BR74</f>
        <v>6514</v>
      </c>
      <c r="BS12" s="32">
        <f>'4_PROY_DEMANDA'!BS74</f>
        <v>7035</v>
      </c>
      <c r="BT12" s="32">
        <f>'4_PROY_DEMANDA'!BT74</f>
        <v>7598</v>
      </c>
      <c r="BU12" s="32">
        <f>'4_PROY_DEMANDA'!BU74</f>
        <v>8206</v>
      </c>
      <c r="BV12" s="32">
        <f>'4_PROY_DEMANDA'!BV74</f>
        <v>8862</v>
      </c>
      <c r="BW12" s="32">
        <f>'4_PROY_DEMANDA'!BW74</f>
        <v>9571</v>
      </c>
      <c r="BX12" s="32">
        <f>'4_PROY_DEMANDA'!BX74</f>
        <v>10337</v>
      </c>
      <c r="BY12" s="32">
        <f>'4_PROY_DEMANDA'!BY74</f>
        <v>11164</v>
      </c>
      <c r="BZ12" s="32">
        <f>'4_PROY_DEMANDA'!BZ74</f>
        <v>12057</v>
      </c>
      <c r="CA12" s="32">
        <f>'4_PROY_DEMANDA'!CA74</f>
        <v>13022</v>
      </c>
      <c r="CB12" s="32">
        <f>'4_PROY_DEMANDA'!CB74</f>
        <v>14063</v>
      </c>
      <c r="CC12" s="32">
        <f>'4_PROY_DEMANDA'!CC74</f>
        <v>15188</v>
      </c>
      <c r="CD12" s="32">
        <f>'4_PROY_DEMANDA'!CD74</f>
        <v>16404</v>
      </c>
      <c r="CE12" s="32">
        <f>'4_PROY_DEMANDA'!CE74</f>
        <v>17716</v>
      </c>
      <c r="CF12" s="32">
        <f>'4_PROY_DEMANDA'!CF74</f>
        <v>19133</v>
      </c>
      <c r="CG12" s="32">
        <f>'4_PROY_DEMANDA'!CG74</f>
        <v>20664</v>
      </c>
      <c r="CH12" s="32">
        <f>'4_PROY_DEMANDA'!CH74</f>
        <v>22317</v>
      </c>
      <c r="CI12" s="32">
        <f>'4_PROY_DEMANDA'!CI74</f>
        <v>24102</v>
      </c>
    </row>
    <row r="13" spans="1:87" ht="16.5">
      <c r="A13" s="5" t="s">
        <v>516</v>
      </c>
      <c r="B13" s="30" t="s">
        <v>465</v>
      </c>
      <c r="C13" s="17" t="s">
        <v>517</v>
      </c>
      <c r="D13" s="33">
        <f>'4_PROY_DEMANDA'!D75</f>
        <v>2955</v>
      </c>
      <c r="E13" s="33">
        <f>'4_PROY_DEMANDA'!E75</f>
        <v>2955</v>
      </c>
      <c r="F13" s="33">
        <f>'4_PROY_DEMANDA'!F75</f>
        <v>2955</v>
      </c>
      <c r="G13" s="33">
        <f>'4_PROY_DEMANDA'!G75</f>
        <v>2955</v>
      </c>
      <c r="H13" s="33">
        <f>'4_PROY_DEMANDA'!H75</f>
        <v>2955</v>
      </c>
      <c r="I13" s="33">
        <f>'4_PROY_DEMANDA'!I75</f>
        <v>2955</v>
      </c>
      <c r="J13" s="33">
        <f>'4_PROY_DEMANDA'!J75</f>
        <v>2955</v>
      </c>
      <c r="K13" s="33">
        <f>'4_PROY_DEMANDA'!K75</f>
        <v>2955</v>
      </c>
      <c r="L13" s="33">
        <f>'4_PROY_DEMANDA'!L75</f>
        <v>2955</v>
      </c>
      <c r="M13" s="33">
        <f>'4_PROY_DEMANDA'!M75</f>
        <v>2955</v>
      </c>
      <c r="N13" s="33">
        <f>'4_PROY_DEMANDA'!N75</f>
        <v>2955</v>
      </c>
      <c r="O13" s="33">
        <f>'4_PROY_DEMANDA'!O75</f>
        <v>2955</v>
      </c>
      <c r="P13" s="33">
        <f>'4_PROY_DEMANDA'!P75</f>
        <v>2955</v>
      </c>
      <c r="Q13" s="33">
        <f>'4_PROY_DEMANDA'!Q75</f>
        <v>2955</v>
      </c>
      <c r="R13" s="33">
        <f>'4_PROY_DEMANDA'!R75</f>
        <v>2955</v>
      </c>
      <c r="S13" s="33">
        <f>'4_PROY_DEMANDA'!S75</f>
        <v>2955</v>
      </c>
      <c r="T13" s="33">
        <f>'4_PROY_DEMANDA'!T75</f>
        <v>2955</v>
      </c>
      <c r="U13" s="33">
        <f>'4_PROY_DEMANDA'!U75</f>
        <v>2955</v>
      </c>
      <c r="V13" s="33">
        <f>'4_PROY_DEMANDA'!V75</f>
        <v>2955</v>
      </c>
      <c r="W13" s="33">
        <f>'4_PROY_DEMANDA'!W75</f>
        <v>2955</v>
      </c>
      <c r="X13" s="33">
        <f>'4_PROY_DEMANDA'!X75</f>
        <v>2955</v>
      </c>
      <c r="Y13" s="33">
        <f>'4_PROY_DEMANDA'!Y75</f>
        <v>2955</v>
      </c>
      <c r="Z13" s="33">
        <f>'4_PROY_DEMANDA'!Z75</f>
        <v>2955</v>
      </c>
      <c r="AA13" s="33">
        <f>'4_PROY_DEMANDA'!AA75</f>
        <v>2955</v>
      </c>
      <c r="AB13" s="33">
        <f>'4_PROY_DEMANDA'!AB75</f>
        <v>2955</v>
      </c>
      <c r="AC13" s="33">
        <f>'4_PROY_DEMANDA'!AC75</f>
        <v>2955</v>
      </c>
      <c r="AD13" s="33">
        <f>'4_PROY_DEMANDA'!AD75</f>
        <v>2955</v>
      </c>
      <c r="AE13" s="33">
        <f>'4_PROY_DEMANDA'!AE75</f>
        <v>2955</v>
      </c>
      <c r="AF13" s="33">
        <f>'4_PROY_DEMANDA'!AF75</f>
        <v>2955</v>
      </c>
      <c r="AG13" s="33">
        <f>'4_PROY_DEMANDA'!AG75</f>
        <v>2955</v>
      </c>
      <c r="AH13" s="33">
        <f>'4_PROY_DEMANDA'!AH75</f>
        <v>2955</v>
      </c>
      <c r="AI13" s="33">
        <f>'4_PROY_DEMANDA'!AI75</f>
        <v>2955</v>
      </c>
      <c r="AJ13" s="33">
        <f>'4_PROY_DEMANDA'!AJ75</f>
        <v>2955</v>
      </c>
      <c r="AK13" s="33">
        <f>'4_PROY_DEMANDA'!AK75</f>
        <v>2955</v>
      </c>
      <c r="AL13" s="33">
        <f>'4_PROY_DEMANDA'!AL75</f>
        <v>2955</v>
      </c>
      <c r="AM13" s="33">
        <f>'4_PROY_DEMANDA'!AM75</f>
        <v>2955</v>
      </c>
      <c r="AN13" s="33">
        <f>'4_PROY_DEMANDA'!AN75</f>
        <v>2955</v>
      </c>
      <c r="AO13" s="33">
        <f>'4_PROY_DEMANDA'!AO75</f>
        <v>2955</v>
      </c>
      <c r="AP13" s="33">
        <f>'4_PROY_DEMANDA'!AP75</f>
        <v>2955</v>
      </c>
      <c r="AQ13" s="33">
        <f>'4_PROY_DEMANDA'!AQ75</f>
        <v>2955</v>
      </c>
      <c r="AR13" s="33">
        <f>'4_PROY_DEMANDA'!AR75</f>
        <v>2955</v>
      </c>
      <c r="AS13" s="33">
        <f>'4_PROY_DEMANDA'!AS75</f>
        <v>2955</v>
      </c>
      <c r="AT13" s="33">
        <f>'4_PROY_DEMANDA'!AT75</f>
        <v>2955</v>
      </c>
      <c r="AU13" s="33">
        <f>'4_PROY_DEMANDA'!AU75</f>
        <v>2955</v>
      </c>
      <c r="AV13" s="33">
        <f>'4_PROY_DEMANDA'!AV75</f>
        <v>2955</v>
      </c>
      <c r="AW13" s="33">
        <f>'4_PROY_DEMANDA'!AW75</f>
        <v>2955</v>
      </c>
      <c r="AX13" s="33">
        <f>'4_PROY_DEMANDA'!AX75</f>
        <v>2955</v>
      </c>
      <c r="AY13" s="33">
        <f>'4_PROY_DEMANDA'!AY75</f>
        <v>2955</v>
      </c>
      <c r="AZ13" s="33">
        <f>'4_PROY_DEMANDA'!AZ75</f>
        <v>2955</v>
      </c>
      <c r="BA13" s="33">
        <f>'4_PROY_DEMANDA'!BA75</f>
        <v>2955</v>
      </c>
      <c r="BB13" s="33">
        <f>'4_PROY_DEMANDA'!BB75</f>
        <v>2955</v>
      </c>
      <c r="BC13" s="33">
        <f>'4_PROY_DEMANDA'!BC75</f>
        <v>2955</v>
      </c>
      <c r="BD13" s="33">
        <f>'4_PROY_DEMANDA'!BD75</f>
        <v>2955</v>
      </c>
      <c r="BE13" s="33">
        <f>'4_PROY_DEMANDA'!BE75</f>
        <v>2955</v>
      </c>
      <c r="BF13" s="33">
        <f>'4_PROY_DEMANDA'!BF75</f>
        <v>2955</v>
      </c>
      <c r="BG13" s="33">
        <f>'4_PROY_DEMANDA'!BG75</f>
        <v>2955</v>
      </c>
      <c r="BH13" s="33">
        <f>'4_PROY_DEMANDA'!BH75</f>
        <v>2955</v>
      </c>
      <c r="BI13" s="33">
        <f>'4_PROY_DEMANDA'!BI75</f>
        <v>2955</v>
      </c>
      <c r="BJ13" s="33">
        <f>'4_PROY_DEMANDA'!BJ75</f>
        <v>2955</v>
      </c>
      <c r="BK13" s="33">
        <f>'4_PROY_DEMANDA'!BK75</f>
        <v>2955</v>
      </c>
      <c r="BL13" s="33">
        <f>'4_PROY_DEMANDA'!BL75</f>
        <v>2955</v>
      </c>
      <c r="BM13" s="33">
        <f>'4_PROY_DEMANDA'!BM75</f>
        <v>2955</v>
      </c>
      <c r="BN13" s="33">
        <f>'4_PROY_DEMANDA'!BN75</f>
        <v>2955</v>
      </c>
      <c r="BO13" s="33">
        <f>'4_PROY_DEMANDA'!BO75</f>
        <v>2955</v>
      </c>
      <c r="BP13" s="33">
        <f>'4_PROY_DEMANDA'!BP75</f>
        <v>2955</v>
      </c>
      <c r="BQ13" s="33">
        <f>'4_PROY_DEMANDA'!BQ75</f>
        <v>2955</v>
      </c>
      <c r="BR13" s="33">
        <f>'4_PROY_DEMANDA'!BR75</f>
        <v>2955</v>
      </c>
      <c r="BS13" s="33">
        <f>'4_PROY_DEMANDA'!BS75</f>
        <v>2955</v>
      </c>
      <c r="BT13" s="33">
        <f>'4_PROY_DEMANDA'!BT75</f>
        <v>2955</v>
      </c>
      <c r="BU13" s="33">
        <f>'4_PROY_DEMANDA'!BU75</f>
        <v>2955</v>
      </c>
      <c r="BV13" s="33">
        <f>'4_PROY_DEMANDA'!BV75</f>
        <v>2955</v>
      </c>
      <c r="BW13" s="33">
        <f>'4_PROY_DEMANDA'!BW75</f>
        <v>2955</v>
      </c>
      <c r="BX13" s="33">
        <f>'4_PROY_DEMANDA'!BX75</f>
        <v>2955</v>
      </c>
      <c r="BY13" s="33">
        <f>'4_PROY_DEMANDA'!BY75</f>
        <v>2955</v>
      </c>
      <c r="BZ13" s="33">
        <f>'4_PROY_DEMANDA'!BZ75</f>
        <v>2955</v>
      </c>
      <c r="CA13" s="33">
        <f>'4_PROY_DEMANDA'!CA75</f>
        <v>2955</v>
      </c>
      <c r="CB13" s="33">
        <f>'4_PROY_DEMANDA'!CB75</f>
        <v>2955</v>
      </c>
      <c r="CC13" s="33">
        <f>'4_PROY_DEMANDA'!CC75</f>
        <v>2955</v>
      </c>
      <c r="CD13" s="33">
        <f>'4_PROY_DEMANDA'!CD75</f>
        <v>2955</v>
      </c>
      <c r="CE13" s="33">
        <f>'4_PROY_DEMANDA'!CE75</f>
        <v>2955</v>
      </c>
      <c r="CF13" s="33">
        <f>'4_PROY_DEMANDA'!CF75</f>
        <v>2955</v>
      </c>
      <c r="CG13" s="33">
        <f>'4_PROY_DEMANDA'!CG75</f>
        <v>2955</v>
      </c>
      <c r="CH13" s="33">
        <f>'4_PROY_DEMANDA'!CH75</f>
        <v>2955</v>
      </c>
      <c r="CI13" s="33">
        <f>'4_PROY_DEMANDA'!CI75</f>
        <v>2955</v>
      </c>
    </row>
    <row r="14" spans="1:87" ht="16.5">
      <c r="A14" s="5" t="s">
        <v>518</v>
      </c>
      <c r="B14" s="30" t="s">
        <v>465</v>
      </c>
      <c r="C14" s="17" t="s">
        <v>519</v>
      </c>
      <c r="D14" s="33">
        <f>'4_PROY_DEMANDA'!D76</f>
        <v>11</v>
      </c>
      <c r="E14" s="33">
        <f>'4_PROY_DEMANDA'!E76</f>
        <v>11</v>
      </c>
      <c r="F14" s="33">
        <f>'4_PROY_DEMANDA'!F76</f>
        <v>11</v>
      </c>
      <c r="G14" s="33">
        <f>'4_PROY_DEMANDA'!G76</f>
        <v>11</v>
      </c>
      <c r="H14" s="33">
        <f>'4_PROY_DEMANDA'!H76</f>
        <v>11</v>
      </c>
      <c r="I14" s="33">
        <f>'4_PROY_DEMANDA'!I76</f>
        <v>11</v>
      </c>
      <c r="J14" s="33">
        <f>'4_PROY_DEMANDA'!J76</f>
        <v>11</v>
      </c>
      <c r="K14" s="33">
        <f>'4_PROY_DEMANDA'!K76</f>
        <v>11</v>
      </c>
      <c r="L14" s="33">
        <f>'4_PROY_DEMANDA'!L76</f>
        <v>11</v>
      </c>
      <c r="M14" s="33">
        <f>'4_PROY_DEMANDA'!M76</f>
        <v>11</v>
      </c>
      <c r="N14" s="33">
        <f>'4_PROY_DEMANDA'!N76</f>
        <v>11</v>
      </c>
      <c r="O14" s="33">
        <f>'4_PROY_DEMANDA'!O76</f>
        <v>11</v>
      </c>
      <c r="P14" s="33">
        <f>'4_PROY_DEMANDA'!P76</f>
        <v>11</v>
      </c>
      <c r="Q14" s="33">
        <f>'4_PROY_DEMANDA'!Q76</f>
        <v>11</v>
      </c>
      <c r="R14" s="33">
        <f>'4_PROY_DEMANDA'!R76</f>
        <v>11</v>
      </c>
      <c r="S14" s="33">
        <f>'4_PROY_DEMANDA'!S76</f>
        <v>11</v>
      </c>
      <c r="T14" s="33">
        <f>'4_PROY_DEMANDA'!T76</f>
        <v>11</v>
      </c>
      <c r="U14" s="33">
        <f>'4_PROY_DEMANDA'!U76</f>
        <v>11</v>
      </c>
      <c r="V14" s="33">
        <f>'4_PROY_DEMANDA'!V76</f>
        <v>11</v>
      </c>
      <c r="W14" s="33">
        <f>'4_PROY_DEMANDA'!W76</f>
        <v>11</v>
      </c>
      <c r="X14" s="33">
        <f>'4_PROY_DEMANDA'!X76</f>
        <v>11</v>
      </c>
      <c r="Y14" s="33">
        <f>'4_PROY_DEMANDA'!Y76</f>
        <v>11</v>
      </c>
      <c r="Z14" s="33">
        <f>'4_PROY_DEMANDA'!Z76</f>
        <v>11</v>
      </c>
      <c r="AA14" s="33">
        <f>'4_PROY_DEMANDA'!AA76</f>
        <v>11</v>
      </c>
      <c r="AB14" s="33">
        <f>'4_PROY_DEMANDA'!AB76</f>
        <v>11</v>
      </c>
      <c r="AC14" s="33">
        <f>'4_PROY_DEMANDA'!AC76</f>
        <v>11</v>
      </c>
      <c r="AD14" s="33">
        <f>'4_PROY_DEMANDA'!AD76</f>
        <v>11</v>
      </c>
      <c r="AE14" s="33">
        <f>'4_PROY_DEMANDA'!AE76</f>
        <v>11</v>
      </c>
      <c r="AF14" s="33">
        <f>'4_PROY_DEMANDA'!AF76</f>
        <v>11</v>
      </c>
      <c r="AG14" s="33">
        <f>'4_PROY_DEMANDA'!AG76</f>
        <v>11</v>
      </c>
      <c r="AH14" s="33">
        <f>'4_PROY_DEMANDA'!AH76</f>
        <v>11</v>
      </c>
      <c r="AI14" s="33">
        <f>'4_PROY_DEMANDA'!AI76</f>
        <v>11</v>
      </c>
      <c r="AJ14" s="33">
        <f>'4_PROY_DEMANDA'!AJ76</f>
        <v>11</v>
      </c>
      <c r="AK14" s="33">
        <f>'4_PROY_DEMANDA'!AK76</f>
        <v>11</v>
      </c>
      <c r="AL14" s="33">
        <f>'4_PROY_DEMANDA'!AL76</f>
        <v>11</v>
      </c>
      <c r="AM14" s="33">
        <f>'4_PROY_DEMANDA'!AM76</f>
        <v>11</v>
      </c>
      <c r="AN14" s="33">
        <f>'4_PROY_DEMANDA'!AN76</f>
        <v>11</v>
      </c>
      <c r="AO14" s="33">
        <f>'4_PROY_DEMANDA'!AO76</f>
        <v>11</v>
      </c>
      <c r="AP14" s="33">
        <f>'4_PROY_DEMANDA'!AP76</f>
        <v>11</v>
      </c>
      <c r="AQ14" s="33">
        <f>'4_PROY_DEMANDA'!AQ76</f>
        <v>11</v>
      </c>
      <c r="AR14" s="33">
        <f>'4_PROY_DEMANDA'!AR76</f>
        <v>11</v>
      </c>
      <c r="AS14" s="33">
        <f>'4_PROY_DEMANDA'!AS76</f>
        <v>11</v>
      </c>
      <c r="AT14" s="33">
        <f>'4_PROY_DEMANDA'!AT76</f>
        <v>11</v>
      </c>
      <c r="AU14" s="33">
        <f>'4_PROY_DEMANDA'!AU76</f>
        <v>11</v>
      </c>
      <c r="AV14" s="33">
        <f>'4_PROY_DEMANDA'!AV76</f>
        <v>11</v>
      </c>
      <c r="AW14" s="33">
        <f>'4_PROY_DEMANDA'!AW76</f>
        <v>11</v>
      </c>
      <c r="AX14" s="33">
        <f>'4_PROY_DEMANDA'!AX76</f>
        <v>11</v>
      </c>
      <c r="AY14" s="33">
        <f>'4_PROY_DEMANDA'!AY76</f>
        <v>11</v>
      </c>
      <c r="AZ14" s="33">
        <f>'4_PROY_DEMANDA'!AZ76</f>
        <v>11</v>
      </c>
      <c r="BA14" s="33">
        <f>'4_PROY_DEMANDA'!BA76</f>
        <v>11</v>
      </c>
      <c r="BB14" s="33">
        <f>'4_PROY_DEMANDA'!BB76</f>
        <v>11</v>
      </c>
      <c r="BC14" s="33">
        <f>'4_PROY_DEMANDA'!BC76</f>
        <v>11</v>
      </c>
      <c r="BD14" s="33">
        <f>'4_PROY_DEMANDA'!BD76</f>
        <v>11</v>
      </c>
      <c r="BE14" s="33">
        <f>'4_PROY_DEMANDA'!BE76</f>
        <v>11</v>
      </c>
      <c r="BF14" s="33">
        <f>'4_PROY_DEMANDA'!BF76</f>
        <v>11</v>
      </c>
      <c r="BG14" s="33">
        <f>'4_PROY_DEMANDA'!BG76</f>
        <v>11</v>
      </c>
      <c r="BH14" s="33">
        <f>'4_PROY_DEMANDA'!BH76</f>
        <v>11</v>
      </c>
      <c r="BI14" s="33">
        <f>'4_PROY_DEMANDA'!BI76</f>
        <v>11</v>
      </c>
      <c r="BJ14" s="33">
        <f>'4_PROY_DEMANDA'!BJ76</f>
        <v>11</v>
      </c>
      <c r="BK14" s="33">
        <f>'4_PROY_DEMANDA'!BK76</f>
        <v>11</v>
      </c>
      <c r="BL14" s="33">
        <f>'4_PROY_DEMANDA'!BL76</f>
        <v>11</v>
      </c>
      <c r="BM14" s="33">
        <f>'4_PROY_DEMANDA'!BM76</f>
        <v>11</v>
      </c>
      <c r="BN14" s="33">
        <f>'4_PROY_DEMANDA'!BN76</f>
        <v>11</v>
      </c>
      <c r="BO14" s="33">
        <f>'4_PROY_DEMANDA'!BO76</f>
        <v>11</v>
      </c>
      <c r="BP14" s="33">
        <f>'4_PROY_DEMANDA'!BP76</f>
        <v>11</v>
      </c>
      <c r="BQ14" s="33">
        <f>'4_PROY_DEMANDA'!BQ76</f>
        <v>11</v>
      </c>
      <c r="BR14" s="33">
        <f>'4_PROY_DEMANDA'!BR76</f>
        <v>11</v>
      </c>
      <c r="BS14" s="33">
        <f>'4_PROY_DEMANDA'!BS76</f>
        <v>11</v>
      </c>
      <c r="BT14" s="33">
        <f>'4_PROY_DEMANDA'!BT76</f>
        <v>11</v>
      </c>
      <c r="BU14" s="33">
        <f>'4_PROY_DEMANDA'!BU76</f>
        <v>11</v>
      </c>
      <c r="BV14" s="33">
        <f>'4_PROY_DEMANDA'!BV76</f>
        <v>11</v>
      </c>
      <c r="BW14" s="33">
        <f>'4_PROY_DEMANDA'!BW76</f>
        <v>11</v>
      </c>
      <c r="BX14" s="33">
        <f>'4_PROY_DEMANDA'!BX76</f>
        <v>11</v>
      </c>
      <c r="BY14" s="33">
        <f>'4_PROY_DEMANDA'!BY76</f>
        <v>11</v>
      </c>
      <c r="BZ14" s="33">
        <f>'4_PROY_DEMANDA'!BZ76</f>
        <v>11</v>
      </c>
      <c r="CA14" s="33">
        <f>'4_PROY_DEMANDA'!CA76</f>
        <v>11</v>
      </c>
      <c r="CB14" s="33">
        <f>'4_PROY_DEMANDA'!CB76</f>
        <v>11</v>
      </c>
      <c r="CC14" s="33">
        <f>'4_PROY_DEMANDA'!CC76</f>
        <v>11</v>
      </c>
      <c r="CD14" s="33">
        <f>'4_PROY_DEMANDA'!CD76</f>
        <v>11</v>
      </c>
      <c r="CE14" s="33">
        <f>'4_PROY_DEMANDA'!CE76</f>
        <v>11</v>
      </c>
      <c r="CF14" s="33">
        <f>'4_PROY_DEMANDA'!CF76</f>
        <v>11</v>
      </c>
      <c r="CG14" s="33">
        <f>'4_PROY_DEMANDA'!CG76</f>
        <v>11</v>
      </c>
      <c r="CH14" s="33">
        <f>'4_PROY_DEMANDA'!CH76</f>
        <v>11</v>
      </c>
      <c r="CI14" s="33">
        <f>'4_PROY_DEMANDA'!CI76</f>
        <v>11</v>
      </c>
    </row>
    <row r="15" spans="1:87" ht="16.5">
      <c r="A15" s="5" t="s">
        <v>471</v>
      </c>
      <c r="B15" s="30" t="s">
        <v>458</v>
      </c>
      <c r="C15" s="17" t="s">
        <v>520</v>
      </c>
      <c r="D15" s="32">
        <f>'4_PROY_DEMANDA'!D78</f>
        <v>5</v>
      </c>
      <c r="E15" s="32">
        <f>'4_PROY_DEMANDA'!E78</f>
        <v>5</v>
      </c>
      <c r="F15" s="32">
        <f>'4_PROY_DEMANDA'!F78</f>
        <v>5</v>
      </c>
      <c r="G15" s="32">
        <f>'4_PROY_DEMANDA'!G78</f>
        <v>5</v>
      </c>
      <c r="H15" s="32">
        <f>'4_PROY_DEMANDA'!H78</f>
        <v>5</v>
      </c>
      <c r="I15" s="32">
        <f>'4_PROY_DEMANDA'!I78</f>
        <v>5</v>
      </c>
      <c r="J15" s="32">
        <f>'4_PROY_DEMANDA'!J78</f>
        <v>5</v>
      </c>
      <c r="K15" s="32">
        <f>'4_PROY_DEMANDA'!K78</f>
        <v>5</v>
      </c>
      <c r="L15" s="32">
        <f>'4_PROY_DEMANDA'!L78</f>
        <v>5</v>
      </c>
      <c r="M15" s="32">
        <f>'4_PROY_DEMANDA'!M78</f>
        <v>5</v>
      </c>
      <c r="N15" s="32">
        <f>'4_PROY_DEMANDA'!N78</f>
        <v>5</v>
      </c>
      <c r="O15" s="32">
        <f>'4_PROY_DEMANDA'!O78</f>
        <v>5</v>
      </c>
      <c r="P15" s="32">
        <f>'4_PROY_DEMANDA'!P78</f>
        <v>5</v>
      </c>
      <c r="Q15" s="32">
        <f>'4_PROY_DEMANDA'!Q78</f>
        <v>5</v>
      </c>
      <c r="R15" s="32">
        <f>'4_PROY_DEMANDA'!R78</f>
        <v>5</v>
      </c>
      <c r="S15" s="32">
        <f>'4_PROY_DEMANDA'!S78</f>
        <v>5</v>
      </c>
      <c r="T15" s="32">
        <f>'4_PROY_DEMANDA'!T78</f>
        <v>5</v>
      </c>
      <c r="U15" s="32">
        <f>'4_PROY_DEMANDA'!U78</f>
        <v>5</v>
      </c>
      <c r="V15" s="32">
        <f>'4_PROY_DEMANDA'!V78</f>
        <v>5</v>
      </c>
      <c r="W15" s="32">
        <f>'4_PROY_DEMANDA'!W78</f>
        <v>5</v>
      </c>
      <c r="X15" s="32">
        <f>'4_PROY_DEMANDA'!X78</f>
        <v>5</v>
      </c>
      <c r="Y15" s="32">
        <f>'4_PROY_DEMANDA'!Y78</f>
        <v>5</v>
      </c>
      <c r="Z15" s="32">
        <f>'4_PROY_DEMANDA'!Z78</f>
        <v>5</v>
      </c>
      <c r="AA15" s="32">
        <f>'4_PROY_DEMANDA'!AA78</f>
        <v>5</v>
      </c>
      <c r="AB15" s="32">
        <f>'4_PROY_DEMANDA'!AB78</f>
        <v>5</v>
      </c>
      <c r="AC15" s="32">
        <f>'4_PROY_DEMANDA'!AC78</f>
        <v>5</v>
      </c>
      <c r="AD15" s="32">
        <f>'4_PROY_DEMANDA'!AD78</f>
        <v>5</v>
      </c>
      <c r="AE15" s="32">
        <f>'4_PROY_DEMANDA'!AE78</f>
        <v>5</v>
      </c>
      <c r="AF15" s="32">
        <f>'4_PROY_DEMANDA'!AF78</f>
        <v>5</v>
      </c>
      <c r="AG15" s="32">
        <f>'4_PROY_DEMANDA'!AG78</f>
        <v>5</v>
      </c>
      <c r="AH15" s="32">
        <f>'4_PROY_DEMANDA'!AH78</f>
        <v>5</v>
      </c>
      <c r="AI15" s="32">
        <f>'4_PROY_DEMANDA'!AI78</f>
        <v>5</v>
      </c>
      <c r="AJ15" s="32">
        <f>'4_PROY_DEMANDA'!AJ78</f>
        <v>5</v>
      </c>
      <c r="AK15" s="32">
        <f>'4_PROY_DEMANDA'!AK78</f>
        <v>5</v>
      </c>
      <c r="AL15" s="32">
        <f>'4_PROY_DEMANDA'!AL78</f>
        <v>5</v>
      </c>
      <c r="AM15" s="32">
        <f>'4_PROY_DEMANDA'!AM78</f>
        <v>5</v>
      </c>
      <c r="AN15" s="32">
        <f>'4_PROY_DEMANDA'!AN78</f>
        <v>5</v>
      </c>
      <c r="AO15" s="32">
        <f>'4_PROY_DEMANDA'!AO78</f>
        <v>5</v>
      </c>
      <c r="AP15" s="32">
        <f>'4_PROY_DEMANDA'!AP78</f>
        <v>5</v>
      </c>
      <c r="AQ15" s="32">
        <f>'4_PROY_DEMANDA'!AQ78</f>
        <v>5</v>
      </c>
      <c r="AR15" s="32">
        <f>'4_PROY_DEMANDA'!AR78</f>
        <v>5</v>
      </c>
      <c r="AS15" s="32">
        <f>'4_PROY_DEMANDA'!AS78</f>
        <v>5</v>
      </c>
      <c r="AT15" s="32">
        <f>'4_PROY_DEMANDA'!AT78</f>
        <v>5</v>
      </c>
      <c r="AU15" s="32">
        <f>'4_PROY_DEMANDA'!AU78</f>
        <v>5</v>
      </c>
      <c r="AV15" s="32">
        <f>'4_PROY_DEMANDA'!AV78</f>
        <v>5</v>
      </c>
      <c r="AW15" s="32">
        <f>'4_PROY_DEMANDA'!AW78</f>
        <v>5</v>
      </c>
      <c r="AX15" s="32">
        <f>'4_PROY_DEMANDA'!AX78</f>
        <v>5</v>
      </c>
      <c r="AY15" s="32">
        <f>'4_PROY_DEMANDA'!AY78</f>
        <v>5</v>
      </c>
      <c r="AZ15" s="32">
        <f>'4_PROY_DEMANDA'!AZ78</f>
        <v>5</v>
      </c>
      <c r="BA15" s="32">
        <f>'4_PROY_DEMANDA'!BA78</f>
        <v>5</v>
      </c>
      <c r="BB15" s="32">
        <f>'4_PROY_DEMANDA'!BB78</f>
        <v>5</v>
      </c>
      <c r="BC15" s="32">
        <f>'4_PROY_DEMANDA'!BC78</f>
        <v>5</v>
      </c>
      <c r="BD15" s="32">
        <f>'4_PROY_DEMANDA'!BD78</f>
        <v>5</v>
      </c>
      <c r="BE15" s="32">
        <f>'4_PROY_DEMANDA'!BE78</f>
        <v>5</v>
      </c>
      <c r="BF15" s="32">
        <f>'4_PROY_DEMANDA'!BF78</f>
        <v>5</v>
      </c>
      <c r="BG15" s="32">
        <f>'4_PROY_DEMANDA'!BG78</f>
        <v>5</v>
      </c>
      <c r="BH15" s="32">
        <f>'4_PROY_DEMANDA'!BH78</f>
        <v>5</v>
      </c>
      <c r="BI15" s="32">
        <f>'4_PROY_DEMANDA'!BI78</f>
        <v>5</v>
      </c>
      <c r="BJ15" s="32">
        <f>'4_PROY_DEMANDA'!BJ78</f>
        <v>5</v>
      </c>
      <c r="BK15" s="32">
        <f>'4_PROY_DEMANDA'!BK78</f>
        <v>5</v>
      </c>
      <c r="BL15" s="32">
        <f>'4_PROY_DEMANDA'!BL78</f>
        <v>5</v>
      </c>
      <c r="BM15" s="32">
        <f>'4_PROY_DEMANDA'!BM78</f>
        <v>5</v>
      </c>
      <c r="BN15" s="32">
        <f>'4_PROY_DEMANDA'!BN78</f>
        <v>5</v>
      </c>
      <c r="BO15" s="32">
        <f>'4_PROY_DEMANDA'!BO78</f>
        <v>5</v>
      </c>
      <c r="BP15" s="32">
        <f>'4_PROY_DEMANDA'!BP78</f>
        <v>5</v>
      </c>
      <c r="BQ15" s="32">
        <f>'4_PROY_DEMANDA'!BQ78</f>
        <v>5</v>
      </c>
      <c r="BR15" s="32">
        <f>'4_PROY_DEMANDA'!BR78</f>
        <v>5</v>
      </c>
      <c r="BS15" s="32">
        <f>'4_PROY_DEMANDA'!BS78</f>
        <v>5</v>
      </c>
      <c r="BT15" s="32">
        <f>'4_PROY_DEMANDA'!BT78</f>
        <v>5</v>
      </c>
      <c r="BU15" s="32">
        <f>'4_PROY_DEMANDA'!BU78</f>
        <v>5</v>
      </c>
      <c r="BV15" s="32">
        <f>'4_PROY_DEMANDA'!BV78</f>
        <v>5</v>
      </c>
      <c r="BW15" s="32">
        <f>'4_PROY_DEMANDA'!BW78</f>
        <v>5</v>
      </c>
      <c r="BX15" s="32">
        <f>'4_PROY_DEMANDA'!BX78</f>
        <v>5</v>
      </c>
      <c r="BY15" s="32">
        <f>'4_PROY_DEMANDA'!BY78</f>
        <v>5</v>
      </c>
      <c r="BZ15" s="32">
        <f>'4_PROY_DEMANDA'!BZ78</f>
        <v>5</v>
      </c>
      <c r="CA15" s="32">
        <f>'4_PROY_DEMANDA'!CA78</f>
        <v>5</v>
      </c>
      <c r="CB15" s="32">
        <f>'4_PROY_DEMANDA'!CB78</f>
        <v>5</v>
      </c>
      <c r="CC15" s="32">
        <f>'4_PROY_DEMANDA'!CC78</f>
        <v>5</v>
      </c>
      <c r="CD15" s="32">
        <f>'4_PROY_DEMANDA'!CD78</f>
        <v>5</v>
      </c>
      <c r="CE15" s="32">
        <f>'4_PROY_DEMANDA'!CE78</f>
        <v>5</v>
      </c>
      <c r="CF15" s="32">
        <f>'4_PROY_DEMANDA'!CF78</f>
        <v>5</v>
      </c>
      <c r="CG15" s="32">
        <f>'4_PROY_DEMANDA'!CG78</f>
        <v>5</v>
      </c>
      <c r="CH15" s="32">
        <f>'4_PROY_DEMANDA'!CH78</f>
        <v>5</v>
      </c>
      <c r="CI15" s="32">
        <f>'4_PROY_DEMANDA'!CI78</f>
        <v>5</v>
      </c>
    </row>
    <row r="16" spans="1:87" ht="16.5">
      <c r="A16" s="5" t="s">
        <v>473</v>
      </c>
      <c r="B16" s="30" t="s">
        <v>458</v>
      </c>
      <c r="C16" s="17" t="s">
        <v>521</v>
      </c>
      <c r="D16" s="32">
        <f>'4_PROY_DEMANDA'!D79</f>
        <v>46</v>
      </c>
      <c r="E16" s="32">
        <f>'4_PROY_DEMANDA'!E79</f>
        <v>49</v>
      </c>
      <c r="F16" s="32">
        <f>'4_PROY_DEMANDA'!F79</f>
        <v>52</v>
      </c>
      <c r="G16" s="32">
        <f>'4_PROY_DEMANDA'!G79</f>
        <v>56</v>
      </c>
      <c r="H16" s="32">
        <f>'4_PROY_DEMANDA'!H79</f>
        <v>60</v>
      </c>
      <c r="I16" s="32">
        <f>'4_PROY_DEMANDA'!I79</f>
        <v>65</v>
      </c>
      <c r="J16" s="32">
        <f>'4_PROY_DEMANDA'!J79</f>
        <v>69</v>
      </c>
      <c r="K16" s="32">
        <f>'4_PROY_DEMANDA'!K79</f>
        <v>74</v>
      </c>
      <c r="L16" s="32">
        <f>'4_PROY_DEMANDA'!L79</f>
        <v>80</v>
      </c>
      <c r="M16" s="32">
        <f>'4_PROY_DEMANDA'!M79</f>
        <v>86</v>
      </c>
      <c r="N16" s="32">
        <f>'4_PROY_DEMANDA'!N79</f>
        <v>93</v>
      </c>
      <c r="O16" s="32">
        <f>'4_PROY_DEMANDA'!O79</f>
        <v>100</v>
      </c>
      <c r="P16" s="32">
        <f>'4_PROY_DEMANDA'!P79</f>
        <v>107</v>
      </c>
      <c r="Q16" s="32">
        <f>'4_PROY_DEMANDA'!Q79</f>
        <v>115</v>
      </c>
      <c r="R16" s="32">
        <f>'4_PROY_DEMANDA'!R79</f>
        <v>124</v>
      </c>
      <c r="S16" s="32">
        <f>'4_PROY_DEMANDA'!S79</f>
        <v>134</v>
      </c>
      <c r="T16" s="32">
        <f>'4_PROY_DEMANDA'!T79</f>
        <v>144</v>
      </c>
      <c r="U16" s="32">
        <f>'4_PROY_DEMANDA'!U79</f>
        <v>155</v>
      </c>
      <c r="V16" s="32">
        <f>'4_PROY_DEMANDA'!V79</f>
        <v>167</v>
      </c>
      <c r="W16" s="32">
        <f>'4_PROY_DEMANDA'!W79</f>
        <v>180</v>
      </c>
      <c r="X16" s="32">
        <f>'4_PROY_DEMANDA'!X79</f>
        <v>194</v>
      </c>
      <c r="Y16" s="32">
        <f>'4_PROY_DEMANDA'!Y79</f>
        <v>209</v>
      </c>
      <c r="Z16" s="32">
        <f>'4_PROY_DEMANDA'!Z79</f>
        <v>225</v>
      </c>
      <c r="AA16" s="32">
        <f>'4_PROY_DEMANDA'!AA79</f>
        <v>243</v>
      </c>
      <c r="AB16" s="32">
        <f>'4_PROY_DEMANDA'!AB79</f>
        <v>262</v>
      </c>
      <c r="AC16" s="32">
        <f>'4_PROY_DEMANDA'!AC79</f>
        <v>283</v>
      </c>
      <c r="AD16" s="32">
        <f>'4_PROY_DEMANDA'!AD79</f>
        <v>305</v>
      </c>
      <c r="AE16" s="32">
        <f>'4_PROY_DEMANDA'!AE79</f>
        <v>329</v>
      </c>
      <c r="AF16" s="32">
        <f>'4_PROY_DEMANDA'!AF79</f>
        <v>355</v>
      </c>
      <c r="AG16" s="32">
        <f>'4_PROY_DEMANDA'!AG79</f>
        <v>383</v>
      </c>
      <c r="AH16" s="32">
        <f>'4_PROY_DEMANDA'!AH79</f>
        <v>413</v>
      </c>
      <c r="AI16" s="32">
        <f>'4_PROY_DEMANDA'!AI79</f>
        <v>446</v>
      </c>
      <c r="AJ16" s="32">
        <f>'4_PROY_DEMANDA'!AJ79</f>
        <v>481</v>
      </c>
      <c r="AK16" s="32">
        <f>'4_PROY_DEMANDA'!AK79</f>
        <v>519</v>
      </c>
      <c r="AL16" s="32">
        <f>'4_PROY_DEMANDA'!AL79</f>
        <v>560</v>
      </c>
      <c r="AM16" s="32">
        <f>'4_PROY_DEMANDA'!AM79</f>
        <v>604</v>
      </c>
      <c r="AN16" s="32">
        <f>'4_PROY_DEMANDA'!AN79</f>
        <v>652</v>
      </c>
      <c r="AO16" s="32">
        <f>'4_PROY_DEMANDA'!AO79</f>
        <v>704</v>
      </c>
      <c r="AP16" s="32">
        <f>'4_PROY_DEMANDA'!AP79</f>
        <v>760</v>
      </c>
      <c r="AQ16" s="32">
        <f>'4_PROY_DEMANDA'!AQ79</f>
        <v>820</v>
      </c>
      <c r="AR16" s="32">
        <f>'4_PROY_DEMANDA'!AR79</f>
        <v>886</v>
      </c>
      <c r="AS16" s="32">
        <f>'4_PROY_DEMANDA'!AS79</f>
        <v>956</v>
      </c>
      <c r="AT16" s="32">
        <f>'4_PROY_DEMANDA'!AT79</f>
        <v>1032</v>
      </c>
      <c r="AU16" s="32">
        <f>'4_PROY_DEMANDA'!AU79</f>
        <v>1114</v>
      </c>
      <c r="AV16" s="32">
        <f>'4_PROY_DEMANDA'!AV79</f>
        <v>1203</v>
      </c>
      <c r="AW16" s="32">
        <f>'4_PROY_DEMANDA'!AW79</f>
        <v>1299</v>
      </c>
      <c r="AX16" s="32">
        <f>'4_PROY_DEMANDA'!AX79</f>
        <v>1403</v>
      </c>
      <c r="AY16" s="32">
        <f>'4_PROY_DEMANDA'!AY79</f>
        <v>1514</v>
      </c>
      <c r="AZ16" s="32">
        <f>'4_PROY_DEMANDA'!AZ79</f>
        <v>1635</v>
      </c>
      <c r="BA16" s="32">
        <f>'4_PROY_DEMANDA'!BA79</f>
        <v>1766</v>
      </c>
      <c r="BB16" s="32">
        <f>'4_PROY_DEMANDA'!BB79</f>
        <v>1906</v>
      </c>
      <c r="BC16" s="32">
        <f>'4_PROY_DEMANDA'!BC79</f>
        <v>2059</v>
      </c>
      <c r="BD16" s="32">
        <f>'4_PROY_DEMANDA'!BD79</f>
        <v>2223</v>
      </c>
      <c r="BE16" s="32">
        <f>'4_PROY_DEMANDA'!BE79</f>
        <v>2400</v>
      </c>
      <c r="BF16" s="32">
        <f>'4_PROY_DEMANDA'!BF79</f>
        <v>2592</v>
      </c>
      <c r="BG16" s="32">
        <f>'4_PROY_DEMANDA'!BG79</f>
        <v>2799</v>
      </c>
      <c r="BH16" s="32">
        <f>'4_PROY_DEMANDA'!BH79</f>
        <v>3022</v>
      </c>
      <c r="BI16" s="32">
        <f>'4_PROY_DEMANDA'!BI79</f>
        <v>3264</v>
      </c>
      <c r="BJ16" s="32">
        <f>'4_PROY_DEMANDA'!BJ79</f>
        <v>3524</v>
      </c>
      <c r="BK16" s="32">
        <f>'4_PROY_DEMANDA'!BK79</f>
        <v>3806</v>
      </c>
      <c r="BL16" s="32">
        <f>'4_PROY_DEMANDA'!BL79</f>
        <v>4110</v>
      </c>
      <c r="BM16" s="32">
        <f>'4_PROY_DEMANDA'!BM79</f>
        <v>4438</v>
      </c>
      <c r="BN16" s="32">
        <f>'4_PROY_DEMANDA'!BN79</f>
        <v>4793</v>
      </c>
      <c r="BO16" s="32">
        <f>'4_PROY_DEMANDA'!BO79</f>
        <v>5176</v>
      </c>
      <c r="BP16" s="32">
        <f>'4_PROY_DEMANDA'!BP79</f>
        <v>5590</v>
      </c>
      <c r="BQ16" s="32">
        <f>'4_PROY_DEMANDA'!BQ79</f>
        <v>6037</v>
      </c>
      <c r="BR16" s="32">
        <f>'4_PROY_DEMANDA'!BR79</f>
        <v>6519</v>
      </c>
      <c r="BS16" s="32">
        <f>'4_PROY_DEMANDA'!BS79</f>
        <v>7040</v>
      </c>
      <c r="BT16" s="32">
        <f>'4_PROY_DEMANDA'!BT79</f>
        <v>7603</v>
      </c>
      <c r="BU16" s="32">
        <f>'4_PROY_DEMANDA'!BU79</f>
        <v>8211</v>
      </c>
      <c r="BV16" s="32">
        <f>'4_PROY_DEMANDA'!BV79</f>
        <v>8867</v>
      </c>
      <c r="BW16" s="32">
        <f>'4_PROY_DEMANDA'!BW79</f>
        <v>9576</v>
      </c>
      <c r="BX16" s="32">
        <f>'4_PROY_DEMANDA'!BX79</f>
        <v>10342</v>
      </c>
      <c r="BY16" s="32">
        <f>'4_PROY_DEMANDA'!BY79</f>
        <v>11169</v>
      </c>
      <c r="BZ16" s="32">
        <f>'4_PROY_DEMANDA'!BZ79</f>
        <v>12062</v>
      </c>
      <c r="CA16" s="32">
        <f>'4_PROY_DEMANDA'!CA79</f>
        <v>13027</v>
      </c>
      <c r="CB16" s="32">
        <f>'4_PROY_DEMANDA'!CB79</f>
        <v>14068</v>
      </c>
      <c r="CC16" s="32">
        <f>'4_PROY_DEMANDA'!CC79</f>
        <v>15193</v>
      </c>
      <c r="CD16" s="32">
        <f>'4_PROY_DEMANDA'!CD79</f>
        <v>16409</v>
      </c>
      <c r="CE16" s="32">
        <f>'4_PROY_DEMANDA'!CE79</f>
        <v>17721</v>
      </c>
      <c r="CF16" s="32">
        <f>'4_PROY_DEMANDA'!CF79</f>
        <v>19138</v>
      </c>
      <c r="CG16" s="32">
        <f>'4_PROY_DEMANDA'!CG79</f>
        <v>20669</v>
      </c>
      <c r="CH16" s="32">
        <f>'4_PROY_DEMANDA'!CH79</f>
        <v>22322</v>
      </c>
      <c r="CI16" s="32">
        <f>'4_PROY_DEMANDA'!CI79</f>
        <v>24107</v>
      </c>
    </row>
    <row r="17" spans="1:87" ht="16.5">
      <c r="A17" s="5" t="s">
        <v>522</v>
      </c>
      <c r="B17" s="30" t="s">
        <v>455</v>
      </c>
      <c r="C17" s="17" t="s">
        <v>523</v>
      </c>
      <c r="D17" s="31">
        <f>'4_PROY_DEMANDA'!D80</f>
        <v>4.8000000000000001E-2</v>
      </c>
      <c r="E17" s="31">
        <f>'4_PROY_DEMANDA'!E80</f>
        <v>4.8000000000000001E-2</v>
      </c>
      <c r="F17" s="31">
        <f>'4_PROY_DEMANDA'!F80</f>
        <v>4.8000000000000001E-2</v>
      </c>
      <c r="G17" s="31">
        <f>'4_PROY_DEMANDA'!G80</f>
        <v>4.8000000000000001E-2</v>
      </c>
      <c r="H17" s="31">
        <f>'4_PROY_DEMANDA'!H80</f>
        <v>4.8000000000000001E-2</v>
      </c>
      <c r="I17" s="31">
        <f>'4_PROY_DEMANDA'!I80</f>
        <v>4.8000000000000001E-2</v>
      </c>
      <c r="J17" s="31">
        <f>'4_PROY_DEMANDA'!J80</f>
        <v>4.8000000000000001E-2</v>
      </c>
      <c r="K17" s="31">
        <f>'4_PROY_DEMANDA'!K80</f>
        <v>4.8000000000000001E-2</v>
      </c>
      <c r="L17" s="31">
        <f>'4_PROY_DEMANDA'!L80</f>
        <v>4.8000000000000001E-2</v>
      </c>
      <c r="M17" s="31">
        <f>'4_PROY_DEMANDA'!M80</f>
        <v>4.8000000000000001E-2</v>
      </c>
      <c r="N17" s="31">
        <f>'4_PROY_DEMANDA'!N80</f>
        <v>4.8000000000000001E-2</v>
      </c>
      <c r="O17" s="31">
        <f>'4_PROY_DEMANDA'!O80</f>
        <v>4.8000000000000001E-2</v>
      </c>
      <c r="P17" s="31">
        <f>'4_PROY_DEMANDA'!P80</f>
        <v>4.8000000000000001E-2</v>
      </c>
      <c r="Q17" s="31">
        <f>'4_PROY_DEMANDA'!Q80</f>
        <v>4.8000000000000001E-2</v>
      </c>
      <c r="R17" s="31">
        <f>'4_PROY_DEMANDA'!R80</f>
        <v>4.8000000000000001E-2</v>
      </c>
      <c r="S17" s="31">
        <f>'4_PROY_DEMANDA'!S80</f>
        <v>4.8000000000000001E-2</v>
      </c>
      <c r="T17" s="31">
        <f>'4_PROY_DEMANDA'!T80</f>
        <v>4.8000000000000001E-2</v>
      </c>
      <c r="U17" s="31">
        <f>'4_PROY_DEMANDA'!U80</f>
        <v>4.8000000000000001E-2</v>
      </c>
      <c r="V17" s="31">
        <f>'4_PROY_DEMANDA'!V80</f>
        <v>4.8000000000000001E-2</v>
      </c>
      <c r="W17" s="31">
        <f>'4_PROY_DEMANDA'!W80</f>
        <v>4.8000000000000001E-2</v>
      </c>
      <c r="X17" s="31">
        <f>'4_PROY_DEMANDA'!X80</f>
        <v>4.8000000000000001E-2</v>
      </c>
      <c r="Y17" s="31">
        <f>'4_PROY_DEMANDA'!Y80</f>
        <v>4.8000000000000001E-2</v>
      </c>
      <c r="Z17" s="31">
        <f>'4_PROY_DEMANDA'!Z80</f>
        <v>4.8000000000000001E-2</v>
      </c>
      <c r="AA17" s="31">
        <f>'4_PROY_DEMANDA'!AA80</f>
        <v>4.8000000000000001E-2</v>
      </c>
      <c r="AB17" s="31">
        <f>'4_PROY_DEMANDA'!AB80</f>
        <v>4.8000000000000001E-2</v>
      </c>
      <c r="AC17" s="31">
        <f>'4_PROY_DEMANDA'!AC80</f>
        <v>4.8000000000000001E-2</v>
      </c>
      <c r="AD17" s="31">
        <f>'4_PROY_DEMANDA'!AD80</f>
        <v>4.8000000000000001E-2</v>
      </c>
      <c r="AE17" s="31">
        <f>'4_PROY_DEMANDA'!AE80</f>
        <v>4.8000000000000001E-2</v>
      </c>
      <c r="AF17" s="31">
        <f>'4_PROY_DEMANDA'!AF80</f>
        <v>4.8000000000000001E-2</v>
      </c>
      <c r="AG17" s="31">
        <f>'4_PROY_DEMANDA'!AG80</f>
        <v>4.8000000000000001E-2</v>
      </c>
      <c r="AH17" s="31">
        <f>'4_PROY_DEMANDA'!AH80</f>
        <v>4.8000000000000001E-2</v>
      </c>
      <c r="AI17" s="31">
        <f>'4_PROY_DEMANDA'!AI80</f>
        <v>4.8000000000000001E-2</v>
      </c>
      <c r="AJ17" s="31">
        <f>'4_PROY_DEMANDA'!AJ80</f>
        <v>4.8000000000000001E-2</v>
      </c>
      <c r="AK17" s="31">
        <f>'4_PROY_DEMANDA'!AK80</f>
        <v>4.8000000000000001E-2</v>
      </c>
      <c r="AL17" s="31">
        <f>'4_PROY_DEMANDA'!AL80</f>
        <v>4.8000000000000001E-2</v>
      </c>
      <c r="AM17" s="31">
        <f>'4_PROY_DEMANDA'!AM80</f>
        <v>4.8000000000000001E-2</v>
      </c>
      <c r="AN17" s="31">
        <f>'4_PROY_DEMANDA'!AN80</f>
        <v>4.8000000000000001E-2</v>
      </c>
      <c r="AO17" s="31">
        <f>'4_PROY_DEMANDA'!AO80</f>
        <v>4.8000000000000001E-2</v>
      </c>
      <c r="AP17" s="31">
        <f>'4_PROY_DEMANDA'!AP80</f>
        <v>4.8000000000000001E-2</v>
      </c>
      <c r="AQ17" s="31">
        <f>'4_PROY_DEMANDA'!AQ80</f>
        <v>4.8000000000000001E-2</v>
      </c>
      <c r="AR17" s="31">
        <f>'4_PROY_DEMANDA'!AR80</f>
        <v>4.8000000000000001E-2</v>
      </c>
      <c r="AS17" s="31">
        <f>'4_PROY_DEMANDA'!AS80</f>
        <v>4.8000000000000001E-2</v>
      </c>
      <c r="AT17" s="31">
        <f>'4_PROY_DEMANDA'!AT80</f>
        <v>4.8000000000000001E-2</v>
      </c>
      <c r="AU17" s="31">
        <f>'4_PROY_DEMANDA'!AU80</f>
        <v>4.8000000000000001E-2</v>
      </c>
      <c r="AV17" s="31">
        <f>'4_PROY_DEMANDA'!AV80</f>
        <v>4.8000000000000001E-2</v>
      </c>
      <c r="AW17" s="31">
        <f>'4_PROY_DEMANDA'!AW80</f>
        <v>4.8000000000000001E-2</v>
      </c>
      <c r="AX17" s="31">
        <f>'4_PROY_DEMANDA'!AX80</f>
        <v>4.8000000000000001E-2</v>
      </c>
      <c r="AY17" s="31">
        <f>'4_PROY_DEMANDA'!AY80</f>
        <v>4.8000000000000001E-2</v>
      </c>
      <c r="AZ17" s="31">
        <f>'4_PROY_DEMANDA'!AZ80</f>
        <v>4.8000000000000001E-2</v>
      </c>
      <c r="BA17" s="31">
        <f>'4_PROY_DEMANDA'!BA80</f>
        <v>4.8000000000000001E-2</v>
      </c>
      <c r="BB17" s="31">
        <f>'4_PROY_DEMANDA'!BB80</f>
        <v>4.8000000000000001E-2</v>
      </c>
      <c r="BC17" s="31">
        <f>'4_PROY_DEMANDA'!BC80</f>
        <v>4.8000000000000001E-2</v>
      </c>
      <c r="BD17" s="31">
        <f>'4_PROY_DEMANDA'!BD80</f>
        <v>4.8000000000000001E-2</v>
      </c>
      <c r="BE17" s="31">
        <f>'4_PROY_DEMANDA'!BE80</f>
        <v>4.8000000000000001E-2</v>
      </c>
      <c r="BF17" s="31">
        <f>'4_PROY_DEMANDA'!BF80</f>
        <v>4.8000000000000001E-2</v>
      </c>
      <c r="BG17" s="31">
        <f>'4_PROY_DEMANDA'!BG80</f>
        <v>4.8000000000000001E-2</v>
      </c>
      <c r="BH17" s="31">
        <f>'4_PROY_DEMANDA'!BH80</f>
        <v>4.8000000000000001E-2</v>
      </c>
      <c r="BI17" s="31">
        <f>'4_PROY_DEMANDA'!BI80</f>
        <v>4.8000000000000001E-2</v>
      </c>
      <c r="BJ17" s="31">
        <f>'4_PROY_DEMANDA'!BJ80</f>
        <v>4.8000000000000001E-2</v>
      </c>
      <c r="BK17" s="31">
        <f>'4_PROY_DEMANDA'!BK80</f>
        <v>4.8000000000000001E-2</v>
      </c>
      <c r="BL17" s="31">
        <f>'4_PROY_DEMANDA'!BL80</f>
        <v>4.8000000000000001E-2</v>
      </c>
      <c r="BM17" s="31">
        <f>'4_PROY_DEMANDA'!BM80</f>
        <v>4.8000000000000001E-2</v>
      </c>
      <c r="BN17" s="31">
        <f>'4_PROY_DEMANDA'!BN80</f>
        <v>4.8000000000000001E-2</v>
      </c>
      <c r="BO17" s="31">
        <f>'4_PROY_DEMANDA'!BO80</f>
        <v>4.8000000000000001E-2</v>
      </c>
      <c r="BP17" s="31">
        <f>'4_PROY_DEMANDA'!BP80</f>
        <v>4.8000000000000001E-2</v>
      </c>
      <c r="BQ17" s="31">
        <f>'4_PROY_DEMANDA'!BQ80</f>
        <v>4.8000000000000001E-2</v>
      </c>
      <c r="BR17" s="31">
        <f>'4_PROY_DEMANDA'!BR80</f>
        <v>4.8000000000000001E-2</v>
      </c>
      <c r="BS17" s="31">
        <f>'4_PROY_DEMANDA'!BS80</f>
        <v>4.8000000000000001E-2</v>
      </c>
      <c r="BT17" s="31">
        <f>'4_PROY_DEMANDA'!BT80</f>
        <v>4.8000000000000001E-2</v>
      </c>
      <c r="BU17" s="31">
        <f>'4_PROY_DEMANDA'!BU80</f>
        <v>4.8000000000000001E-2</v>
      </c>
      <c r="BV17" s="31">
        <f>'4_PROY_DEMANDA'!BV80</f>
        <v>4.8000000000000001E-2</v>
      </c>
      <c r="BW17" s="31">
        <f>'4_PROY_DEMANDA'!BW80</f>
        <v>4.8000000000000001E-2</v>
      </c>
      <c r="BX17" s="31">
        <f>'4_PROY_DEMANDA'!BX80</f>
        <v>4.8000000000000001E-2</v>
      </c>
      <c r="BY17" s="31">
        <f>'4_PROY_DEMANDA'!BY80</f>
        <v>4.8000000000000001E-2</v>
      </c>
      <c r="BZ17" s="31">
        <f>'4_PROY_DEMANDA'!BZ80</f>
        <v>4.8000000000000001E-2</v>
      </c>
      <c r="CA17" s="31">
        <f>'4_PROY_DEMANDA'!CA80</f>
        <v>4.8000000000000001E-2</v>
      </c>
      <c r="CB17" s="31">
        <f>'4_PROY_DEMANDA'!CB80</f>
        <v>4.8000000000000001E-2</v>
      </c>
      <c r="CC17" s="31">
        <f>'4_PROY_DEMANDA'!CC80</f>
        <v>4.8000000000000001E-2</v>
      </c>
      <c r="CD17" s="31">
        <f>'4_PROY_DEMANDA'!CD80</f>
        <v>4.8000000000000001E-2</v>
      </c>
      <c r="CE17" s="31">
        <f>'4_PROY_DEMANDA'!CE80</f>
        <v>4.8000000000000001E-2</v>
      </c>
      <c r="CF17" s="31">
        <f>'4_PROY_DEMANDA'!CF80</f>
        <v>4.8000000000000001E-2</v>
      </c>
      <c r="CG17" s="31">
        <f>'4_PROY_DEMANDA'!CG80</f>
        <v>4.8000000000000001E-2</v>
      </c>
      <c r="CH17" s="31">
        <f>'4_PROY_DEMANDA'!CH80</f>
        <v>4.8000000000000001E-2</v>
      </c>
      <c r="CI17" s="31">
        <f>'4_PROY_DEMANDA'!CI80</f>
        <v>4.8000000000000001E-2</v>
      </c>
    </row>
    <row r="18" spans="1:87" ht="16.5">
      <c r="A18" s="5" t="s">
        <v>477</v>
      </c>
      <c r="B18" s="30" t="s">
        <v>458</v>
      </c>
      <c r="C18" s="17" t="s">
        <v>524</v>
      </c>
      <c r="D18" s="32">
        <f>'4_PROY_DEMANDA'!D81</f>
        <v>46</v>
      </c>
      <c r="E18" s="32">
        <f>'4_PROY_DEMANDA'!E81</f>
        <v>93</v>
      </c>
      <c r="F18" s="32">
        <f>'4_PROY_DEMANDA'!F81</f>
        <v>141</v>
      </c>
      <c r="G18" s="32">
        <f>'4_PROY_DEMANDA'!G81</f>
        <v>190</v>
      </c>
      <c r="H18" s="32">
        <f>'4_PROY_DEMANDA'!H81</f>
        <v>241</v>
      </c>
      <c r="I18" s="32">
        <f>'4_PROY_DEMANDA'!I81</f>
        <v>294</v>
      </c>
      <c r="J18" s="32">
        <f>'4_PROY_DEMANDA'!J81</f>
        <v>349</v>
      </c>
      <c r="K18" s="32">
        <f>'4_PROY_DEMANDA'!K81</f>
        <v>406</v>
      </c>
      <c r="L18" s="32">
        <f>'4_PROY_DEMANDA'!L81</f>
        <v>467</v>
      </c>
      <c r="M18" s="32">
        <f>'4_PROY_DEMANDA'!M81</f>
        <v>531</v>
      </c>
      <c r="N18" s="32">
        <f>'4_PROY_DEMANDA'!N81</f>
        <v>599</v>
      </c>
      <c r="O18" s="32">
        <f>'4_PROY_DEMANDA'!O81</f>
        <v>670</v>
      </c>
      <c r="P18" s="32">
        <f>'4_PROY_DEMANDA'!P81</f>
        <v>745</v>
      </c>
      <c r="Q18" s="32">
        <f>'4_PROY_DEMANDA'!Q81</f>
        <v>824</v>
      </c>
      <c r="R18" s="32">
        <f>'4_PROY_DEMANDA'!R81</f>
        <v>908</v>
      </c>
      <c r="S18" s="32">
        <f>'4_PROY_DEMANDA'!S81</f>
        <v>998</v>
      </c>
      <c r="T18" s="32">
        <f>'4_PROY_DEMANDA'!T81</f>
        <v>1094</v>
      </c>
      <c r="U18" s="32">
        <f>'4_PROY_DEMANDA'!U81</f>
        <v>1196</v>
      </c>
      <c r="V18" s="32">
        <f>'4_PROY_DEMANDA'!V81</f>
        <v>1306</v>
      </c>
      <c r="W18" s="32">
        <f>'4_PROY_DEMANDA'!W81</f>
        <v>1423</v>
      </c>
      <c r="X18" s="32">
        <f>'4_PROY_DEMANDA'!X81</f>
        <v>1549</v>
      </c>
      <c r="Y18" s="32">
        <f>'4_PROY_DEMANDA'!Y81</f>
        <v>1684</v>
      </c>
      <c r="Z18" s="32">
        <f>'4_PROY_DEMANDA'!Z81</f>
        <v>1828</v>
      </c>
      <c r="AA18" s="32">
        <f>'4_PROY_DEMANDA'!AA81</f>
        <v>1983</v>
      </c>
      <c r="AB18" s="32">
        <f>'4_PROY_DEMANDA'!AB81</f>
        <v>2150</v>
      </c>
      <c r="AC18" s="32">
        <f>'4_PROY_DEMANDA'!AC81</f>
        <v>2330</v>
      </c>
      <c r="AD18" s="32">
        <f>'4_PROY_DEMANDA'!AD81</f>
        <v>2523</v>
      </c>
      <c r="AE18" s="32">
        <f>'4_PROY_DEMANDA'!AE81</f>
        <v>2731</v>
      </c>
      <c r="AF18" s="32">
        <f>'4_PROY_DEMANDA'!AF81</f>
        <v>2955</v>
      </c>
      <c r="AG18" s="32">
        <f>'4_PROY_DEMANDA'!AG81</f>
        <v>3196</v>
      </c>
      <c r="AH18" s="32">
        <f>'4_PROY_DEMANDA'!AH81</f>
        <v>3456</v>
      </c>
      <c r="AI18" s="32">
        <f>'4_PROY_DEMANDA'!AI81</f>
        <v>3736</v>
      </c>
      <c r="AJ18" s="32">
        <f>'4_PROY_DEMANDA'!AJ81</f>
        <v>4038</v>
      </c>
      <c r="AK18" s="32">
        <f>'4_PROY_DEMANDA'!AK81</f>
        <v>4363</v>
      </c>
      <c r="AL18" s="32">
        <f>'4_PROY_DEMANDA'!AL81</f>
        <v>4714</v>
      </c>
      <c r="AM18" s="32">
        <f>'4_PROY_DEMANDA'!AM81</f>
        <v>5092</v>
      </c>
      <c r="AN18" s="32">
        <f>'4_PROY_DEMANDA'!AN81</f>
        <v>5500</v>
      </c>
      <c r="AO18" s="32">
        <f>'4_PROY_DEMANDA'!AO81</f>
        <v>5940</v>
      </c>
      <c r="AP18" s="32">
        <f>'4_PROY_DEMANDA'!AP81</f>
        <v>6415</v>
      </c>
      <c r="AQ18" s="32">
        <f>'4_PROY_DEMANDA'!AQ81</f>
        <v>6927</v>
      </c>
      <c r="AR18" s="32">
        <f>'4_PROY_DEMANDA'!AR81</f>
        <v>7481</v>
      </c>
      <c r="AS18" s="32">
        <f>'4_PROY_DEMANDA'!AS81</f>
        <v>8078</v>
      </c>
      <c r="AT18" s="32">
        <f>'4_PROY_DEMANDA'!AT81</f>
        <v>8722</v>
      </c>
      <c r="AU18" s="32">
        <f>'4_PROY_DEMANDA'!AU81</f>
        <v>9417</v>
      </c>
      <c r="AV18" s="32">
        <f>'4_PROY_DEMANDA'!AV81</f>
        <v>10168</v>
      </c>
      <c r="AW18" s="32">
        <f>'4_PROY_DEMANDA'!AW81</f>
        <v>10979</v>
      </c>
      <c r="AX18" s="32">
        <f>'4_PROY_DEMANDA'!AX81</f>
        <v>11855</v>
      </c>
      <c r="AY18" s="32">
        <f>'4_PROY_DEMANDA'!AY81</f>
        <v>12800</v>
      </c>
      <c r="AZ18" s="32">
        <f>'4_PROY_DEMANDA'!AZ81</f>
        <v>13821</v>
      </c>
      <c r="BA18" s="32">
        <f>'4_PROY_DEMANDA'!BA81</f>
        <v>14924</v>
      </c>
      <c r="BB18" s="32">
        <f>'4_PROY_DEMANDA'!BB81</f>
        <v>16114</v>
      </c>
      <c r="BC18" s="32">
        <f>'4_PROY_DEMANDA'!BC81</f>
        <v>17400</v>
      </c>
      <c r="BD18" s="32">
        <f>'4_PROY_DEMANDA'!BD81</f>
        <v>18788</v>
      </c>
      <c r="BE18" s="32">
        <f>'4_PROY_DEMANDA'!BE81</f>
        <v>20286</v>
      </c>
      <c r="BF18" s="32">
        <f>'4_PROY_DEMANDA'!BF81</f>
        <v>21904</v>
      </c>
      <c r="BG18" s="32">
        <f>'4_PROY_DEMANDA'!BG81</f>
        <v>23652</v>
      </c>
      <c r="BH18" s="32">
        <f>'4_PROY_DEMANDA'!BH81</f>
        <v>25539</v>
      </c>
      <c r="BI18" s="32">
        <f>'4_PROY_DEMANDA'!BI81</f>
        <v>27577</v>
      </c>
      <c r="BJ18" s="32">
        <f>'4_PROY_DEMANDA'!BJ81</f>
        <v>29777</v>
      </c>
      <c r="BK18" s="32">
        <f>'4_PROY_DEMANDA'!BK81</f>
        <v>32154</v>
      </c>
      <c r="BL18" s="32">
        <f>'4_PROY_DEMANDA'!BL81</f>
        <v>34721</v>
      </c>
      <c r="BM18" s="32">
        <f>'4_PROY_DEMANDA'!BM81</f>
        <v>37492</v>
      </c>
      <c r="BN18" s="32">
        <f>'4_PROY_DEMANDA'!BN81</f>
        <v>40485</v>
      </c>
      <c r="BO18" s="32">
        <f>'4_PROY_DEMANDA'!BO81</f>
        <v>43718</v>
      </c>
      <c r="BP18" s="32">
        <f>'4_PROY_DEMANDA'!BP81</f>
        <v>47210</v>
      </c>
      <c r="BQ18" s="32">
        <f>'4_PROY_DEMANDA'!BQ81</f>
        <v>50981</v>
      </c>
      <c r="BR18" s="32">
        <f>'4_PROY_DEMANDA'!BR81</f>
        <v>55053</v>
      </c>
      <c r="BS18" s="32">
        <f>'4_PROY_DEMANDA'!BS81</f>
        <v>59450</v>
      </c>
      <c r="BT18" s="32">
        <f>'4_PROY_DEMANDA'!BT81</f>
        <v>64199</v>
      </c>
      <c r="BU18" s="32">
        <f>'4_PROY_DEMANDA'!BU81</f>
        <v>69328</v>
      </c>
      <c r="BV18" s="32">
        <f>'4_PROY_DEMANDA'!BV81</f>
        <v>74867</v>
      </c>
      <c r="BW18" s="32">
        <f>'4_PROY_DEMANDA'!BW81</f>
        <v>80849</v>
      </c>
      <c r="BX18" s="32">
        <f>'4_PROY_DEMANDA'!BX81</f>
        <v>87310</v>
      </c>
      <c r="BY18" s="32">
        <f>'4_PROY_DEMANDA'!BY81</f>
        <v>94288</v>
      </c>
      <c r="BZ18" s="32">
        <f>'4_PROY_DEMANDA'!BZ81</f>
        <v>101824</v>
      </c>
      <c r="CA18" s="32">
        <f>'4_PROY_DEMANDA'!CA81</f>
        <v>109963</v>
      </c>
      <c r="CB18" s="32">
        <f>'4_PROY_DEMANDA'!CB81</f>
        <v>118753</v>
      </c>
      <c r="CC18" s="32">
        <f>'4_PROY_DEMANDA'!CC81</f>
        <v>128246</v>
      </c>
      <c r="CD18" s="32">
        <f>'4_PROY_DEMANDA'!CD81</f>
        <v>138499</v>
      </c>
      <c r="CE18" s="32">
        <f>'4_PROY_DEMANDA'!CE81</f>
        <v>149572</v>
      </c>
      <c r="CF18" s="32">
        <f>'4_PROY_DEMANDA'!CF81</f>
        <v>161531</v>
      </c>
      <c r="CG18" s="32">
        <f>'4_PROY_DEMANDA'!CG81</f>
        <v>174447</v>
      </c>
      <c r="CH18" s="32">
        <f>'4_PROY_DEMANDA'!CH81</f>
        <v>188396</v>
      </c>
      <c r="CI18" s="32">
        <f>'4_PROY_DEMANDA'!CI81</f>
        <v>203460</v>
      </c>
    </row>
    <row r="19" spans="1:87" ht="16.5">
      <c r="A19" s="5" t="s">
        <v>525</v>
      </c>
      <c r="B19" s="30" t="s">
        <v>458</v>
      </c>
      <c r="C19" s="17" t="s">
        <v>526</v>
      </c>
      <c r="D19" s="32">
        <f>'4_PROY_DEMANDA'!D83</f>
        <v>14</v>
      </c>
      <c r="E19" s="32">
        <f>'4_PROY_DEMANDA'!E83</f>
        <v>28</v>
      </c>
      <c r="F19" s="32">
        <f>'4_PROY_DEMANDA'!F83</f>
        <v>42</v>
      </c>
      <c r="G19" s="32">
        <f>'4_PROY_DEMANDA'!G83</f>
        <v>57</v>
      </c>
      <c r="H19" s="32">
        <f>'4_PROY_DEMANDA'!H83</f>
        <v>72</v>
      </c>
      <c r="I19" s="32">
        <f>'4_PROY_DEMANDA'!I83</f>
        <v>88</v>
      </c>
      <c r="J19" s="32">
        <f>'4_PROY_DEMANDA'!J83</f>
        <v>105</v>
      </c>
      <c r="K19" s="32">
        <f>'4_PROY_DEMANDA'!K83</f>
        <v>122</v>
      </c>
      <c r="L19" s="32">
        <f>'4_PROY_DEMANDA'!L83</f>
        <v>140</v>
      </c>
      <c r="M19" s="32">
        <f>'4_PROY_DEMANDA'!M83</f>
        <v>159</v>
      </c>
      <c r="N19" s="32">
        <f>'4_PROY_DEMANDA'!N83</f>
        <v>180</v>
      </c>
      <c r="O19" s="32">
        <f>'4_PROY_DEMANDA'!O83</f>
        <v>201</v>
      </c>
      <c r="P19" s="32">
        <f>'4_PROY_DEMANDA'!P83</f>
        <v>224</v>
      </c>
      <c r="Q19" s="32">
        <f>'4_PROY_DEMANDA'!Q83</f>
        <v>247</v>
      </c>
      <c r="R19" s="32">
        <f>'4_PROY_DEMANDA'!R83</f>
        <v>272</v>
      </c>
      <c r="S19" s="32">
        <f>'4_PROY_DEMANDA'!S83</f>
        <v>299</v>
      </c>
      <c r="T19" s="32">
        <f>'4_PROY_DEMANDA'!T83</f>
        <v>328</v>
      </c>
      <c r="U19" s="32">
        <f>'4_PROY_DEMANDA'!U83</f>
        <v>359</v>
      </c>
      <c r="V19" s="32">
        <f>'4_PROY_DEMANDA'!V83</f>
        <v>392</v>
      </c>
      <c r="W19" s="32">
        <f>'4_PROY_DEMANDA'!W83</f>
        <v>427</v>
      </c>
      <c r="X19" s="32">
        <f>'4_PROY_DEMANDA'!X83</f>
        <v>465</v>
      </c>
      <c r="Y19" s="32">
        <f>'4_PROY_DEMANDA'!Y83</f>
        <v>505</v>
      </c>
      <c r="Z19" s="32">
        <f>'4_PROY_DEMANDA'!Z83</f>
        <v>548</v>
      </c>
      <c r="AA19" s="32">
        <f>'4_PROY_DEMANDA'!AA83</f>
        <v>595</v>
      </c>
      <c r="AB19" s="32">
        <f>'4_PROY_DEMANDA'!AB83</f>
        <v>645</v>
      </c>
      <c r="AC19" s="32">
        <f>'4_PROY_DEMANDA'!AC83</f>
        <v>699</v>
      </c>
      <c r="AD19" s="32">
        <f>'4_PROY_DEMANDA'!AD83</f>
        <v>757</v>
      </c>
      <c r="AE19" s="32">
        <f>'4_PROY_DEMANDA'!AE83</f>
        <v>819</v>
      </c>
      <c r="AF19" s="32">
        <f>'4_PROY_DEMANDA'!AF83</f>
        <v>887</v>
      </c>
      <c r="AG19" s="32">
        <f>'4_PROY_DEMANDA'!AG83</f>
        <v>959</v>
      </c>
      <c r="AH19" s="32">
        <f>'4_PROY_DEMANDA'!AH83</f>
        <v>1037</v>
      </c>
      <c r="AI19" s="32">
        <f>'4_PROY_DEMANDA'!AI83</f>
        <v>1121</v>
      </c>
      <c r="AJ19" s="32">
        <f>'4_PROY_DEMANDA'!AJ83</f>
        <v>1211</v>
      </c>
      <c r="AK19" s="32">
        <f>'4_PROY_DEMANDA'!AK83</f>
        <v>1309</v>
      </c>
      <c r="AL19" s="32">
        <f>'4_PROY_DEMANDA'!AL83</f>
        <v>1414</v>
      </c>
      <c r="AM19" s="32">
        <f>'4_PROY_DEMANDA'!AM83</f>
        <v>1528</v>
      </c>
      <c r="AN19" s="32">
        <f>'4_PROY_DEMANDA'!AN83</f>
        <v>1650</v>
      </c>
      <c r="AO19" s="32">
        <f>'4_PROY_DEMANDA'!AO83</f>
        <v>1782</v>
      </c>
      <c r="AP19" s="32">
        <f>'4_PROY_DEMANDA'!AP83</f>
        <v>1925</v>
      </c>
      <c r="AQ19" s="32">
        <f>'4_PROY_DEMANDA'!AQ83</f>
        <v>2078</v>
      </c>
      <c r="AR19" s="32">
        <f>'4_PROY_DEMANDA'!AR83</f>
        <v>2244</v>
      </c>
      <c r="AS19" s="32">
        <f>'4_PROY_DEMANDA'!AS83</f>
        <v>2423</v>
      </c>
      <c r="AT19" s="32">
        <f>'4_PROY_DEMANDA'!AT83</f>
        <v>2617</v>
      </c>
      <c r="AU19" s="32">
        <f>'4_PROY_DEMANDA'!AU83</f>
        <v>2825</v>
      </c>
      <c r="AV19" s="32">
        <f>'4_PROY_DEMANDA'!AV83</f>
        <v>3050</v>
      </c>
      <c r="AW19" s="32">
        <f>'4_PROY_DEMANDA'!AW83</f>
        <v>3294</v>
      </c>
      <c r="AX19" s="32">
        <f>'4_PROY_DEMANDA'!AX83</f>
        <v>3557</v>
      </c>
      <c r="AY19" s="32">
        <f>'4_PROY_DEMANDA'!AY83</f>
        <v>3840</v>
      </c>
      <c r="AZ19" s="32">
        <f>'4_PROY_DEMANDA'!AZ83</f>
        <v>4146</v>
      </c>
      <c r="BA19" s="32">
        <f>'4_PROY_DEMANDA'!BA83</f>
        <v>4477</v>
      </c>
      <c r="BB19" s="32">
        <f>'4_PROY_DEMANDA'!BB83</f>
        <v>4834</v>
      </c>
      <c r="BC19" s="32">
        <f>'4_PROY_DEMANDA'!BC83</f>
        <v>5220</v>
      </c>
      <c r="BD19" s="32">
        <f>'4_PROY_DEMANDA'!BD83</f>
        <v>5636</v>
      </c>
      <c r="BE19" s="32">
        <f>'4_PROY_DEMANDA'!BE83</f>
        <v>6086</v>
      </c>
      <c r="BF19" s="32">
        <f>'4_PROY_DEMANDA'!BF83</f>
        <v>6571</v>
      </c>
      <c r="BG19" s="32">
        <f>'4_PROY_DEMANDA'!BG83</f>
        <v>7096</v>
      </c>
      <c r="BH19" s="32">
        <f>'4_PROY_DEMANDA'!BH83</f>
        <v>7662</v>
      </c>
      <c r="BI19" s="32">
        <f>'4_PROY_DEMANDA'!BI83</f>
        <v>8273</v>
      </c>
      <c r="BJ19" s="32">
        <f>'4_PROY_DEMANDA'!BJ83</f>
        <v>8933</v>
      </c>
      <c r="BK19" s="32">
        <f>'4_PROY_DEMANDA'!BK83</f>
        <v>9646</v>
      </c>
      <c r="BL19" s="32">
        <f>'4_PROY_DEMANDA'!BL83</f>
        <v>10416</v>
      </c>
      <c r="BM19" s="32">
        <f>'4_PROY_DEMANDA'!BM83</f>
        <v>11248</v>
      </c>
      <c r="BN19" s="32">
        <f>'4_PROY_DEMANDA'!BN83</f>
        <v>12146</v>
      </c>
      <c r="BO19" s="32">
        <f>'4_PROY_DEMANDA'!BO83</f>
        <v>13115</v>
      </c>
      <c r="BP19" s="32">
        <f>'4_PROY_DEMANDA'!BP83</f>
        <v>14163</v>
      </c>
      <c r="BQ19" s="32">
        <f>'4_PROY_DEMANDA'!BQ83</f>
        <v>15294</v>
      </c>
      <c r="BR19" s="32">
        <f>'4_PROY_DEMANDA'!BR83</f>
        <v>16516</v>
      </c>
      <c r="BS19" s="32">
        <f>'4_PROY_DEMANDA'!BS83</f>
        <v>17835</v>
      </c>
      <c r="BT19" s="32">
        <f>'4_PROY_DEMANDA'!BT83</f>
        <v>19260</v>
      </c>
      <c r="BU19" s="32">
        <f>'4_PROY_DEMANDA'!BU83</f>
        <v>20798</v>
      </c>
      <c r="BV19" s="32">
        <f>'4_PROY_DEMANDA'!BV83</f>
        <v>22460</v>
      </c>
      <c r="BW19" s="32">
        <f>'4_PROY_DEMANDA'!BW83</f>
        <v>24255</v>
      </c>
      <c r="BX19" s="32">
        <f>'4_PROY_DEMANDA'!BX83</f>
        <v>26193</v>
      </c>
      <c r="BY19" s="32">
        <f>'4_PROY_DEMANDA'!BY83</f>
        <v>28286</v>
      </c>
      <c r="BZ19" s="32">
        <f>'4_PROY_DEMANDA'!BZ83</f>
        <v>30547</v>
      </c>
      <c r="CA19" s="32">
        <f>'4_PROY_DEMANDA'!CA83</f>
        <v>32989</v>
      </c>
      <c r="CB19" s="32">
        <f>'4_PROY_DEMANDA'!CB83</f>
        <v>35626</v>
      </c>
      <c r="CC19" s="32">
        <f>'4_PROY_DEMANDA'!CC83</f>
        <v>38474</v>
      </c>
      <c r="CD19" s="32">
        <f>'4_PROY_DEMANDA'!CD83</f>
        <v>41550</v>
      </c>
      <c r="CE19" s="32">
        <f>'4_PROY_DEMANDA'!CE83</f>
        <v>44872</v>
      </c>
      <c r="CF19" s="32">
        <f>'4_PROY_DEMANDA'!CF83</f>
        <v>48459</v>
      </c>
      <c r="CG19" s="32">
        <f>'4_PROY_DEMANDA'!CG83</f>
        <v>52334</v>
      </c>
      <c r="CH19" s="32">
        <f>'4_PROY_DEMANDA'!CH83</f>
        <v>56519</v>
      </c>
      <c r="CI19" s="32">
        <f>'4_PROY_DEMANDA'!CI83</f>
        <v>61038</v>
      </c>
    </row>
    <row r="20" spans="1:87" ht="16.5">
      <c r="A20" s="5" t="s">
        <v>483</v>
      </c>
      <c r="B20" s="30" t="s">
        <v>458</v>
      </c>
      <c r="C20" s="17" t="s">
        <v>527</v>
      </c>
      <c r="D20" s="32">
        <f>'4_PROY_DEMANDA'!D84</f>
        <v>46</v>
      </c>
      <c r="E20" s="32">
        <f>'4_PROY_DEMANDA'!E84</f>
        <v>49</v>
      </c>
      <c r="F20" s="32">
        <f>'4_PROY_DEMANDA'!F84</f>
        <v>52</v>
      </c>
      <c r="G20" s="32">
        <f>'4_PROY_DEMANDA'!G84</f>
        <v>56</v>
      </c>
      <c r="H20" s="32">
        <f>'4_PROY_DEMANDA'!H84</f>
        <v>60</v>
      </c>
      <c r="I20" s="32">
        <f>'4_PROY_DEMANDA'!I84</f>
        <v>65</v>
      </c>
      <c r="J20" s="32">
        <f>'4_PROY_DEMANDA'!J84</f>
        <v>69</v>
      </c>
      <c r="K20" s="32">
        <f>'4_PROY_DEMANDA'!K84</f>
        <v>74</v>
      </c>
      <c r="L20" s="32">
        <f>'4_PROY_DEMANDA'!L84</f>
        <v>80</v>
      </c>
      <c r="M20" s="32">
        <f>'4_PROY_DEMANDA'!M84</f>
        <v>86</v>
      </c>
      <c r="N20" s="32">
        <f>'4_PROY_DEMANDA'!N84</f>
        <v>93</v>
      </c>
      <c r="O20" s="32">
        <f>'4_PROY_DEMANDA'!O84</f>
        <v>100</v>
      </c>
      <c r="P20" s="32">
        <f>'4_PROY_DEMANDA'!P84</f>
        <v>107</v>
      </c>
      <c r="Q20" s="32">
        <f>'4_PROY_DEMANDA'!Q84</f>
        <v>115</v>
      </c>
      <c r="R20" s="32">
        <f>'4_PROY_DEMANDA'!R84</f>
        <v>124</v>
      </c>
      <c r="S20" s="32">
        <f>'4_PROY_DEMANDA'!S84</f>
        <v>134</v>
      </c>
      <c r="T20" s="32">
        <f>'4_PROY_DEMANDA'!T84</f>
        <v>144</v>
      </c>
      <c r="U20" s="32">
        <f>'4_PROY_DEMANDA'!U84</f>
        <v>155</v>
      </c>
      <c r="V20" s="32">
        <f>'4_PROY_DEMANDA'!V84</f>
        <v>167</v>
      </c>
      <c r="W20" s="32">
        <f>'4_PROY_DEMANDA'!W84</f>
        <v>180</v>
      </c>
      <c r="X20" s="32">
        <f>'4_PROY_DEMANDA'!X84</f>
        <v>194</v>
      </c>
      <c r="Y20" s="32">
        <f>'4_PROY_DEMANDA'!Y84</f>
        <v>209</v>
      </c>
      <c r="Z20" s="32">
        <f>'4_PROY_DEMANDA'!Z84</f>
        <v>225</v>
      </c>
      <c r="AA20" s="32">
        <f>'4_PROY_DEMANDA'!AA84</f>
        <v>243</v>
      </c>
      <c r="AB20" s="32">
        <f>'4_PROY_DEMANDA'!AB84</f>
        <v>262</v>
      </c>
      <c r="AC20" s="32">
        <f>'4_PROY_DEMANDA'!AC84</f>
        <v>283</v>
      </c>
      <c r="AD20" s="32">
        <f>'4_PROY_DEMANDA'!AD84</f>
        <v>305</v>
      </c>
      <c r="AE20" s="32">
        <f>'4_PROY_DEMANDA'!AE84</f>
        <v>329</v>
      </c>
      <c r="AF20" s="32">
        <f>'4_PROY_DEMANDA'!AF84</f>
        <v>355</v>
      </c>
      <c r="AG20" s="32">
        <f>'4_PROY_DEMANDA'!AG84</f>
        <v>383</v>
      </c>
      <c r="AH20" s="32">
        <f>'4_PROY_DEMANDA'!AH84</f>
        <v>413</v>
      </c>
      <c r="AI20" s="32">
        <f>'4_PROY_DEMANDA'!AI84</f>
        <v>446</v>
      </c>
      <c r="AJ20" s="32">
        <f>'4_PROY_DEMANDA'!AJ84</f>
        <v>481</v>
      </c>
      <c r="AK20" s="32">
        <f>'4_PROY_DEMANDA'!AK84</f>
        <v>519</v>
      </c>
      <c r="AL20" s="32">
        <f>'4_PROY_DEMANDA'!AL84</f>
        <v>560</v>
      </c>
      <c r="AM20" s="32">
        <f>'4_PROY_DEMANDA'!AM84</f>
        <v>604</v>
      </c>
      <c r="AN20" s="32">
        <f>'4_PROY_DEMANDA'!AN84</f>
        <v>652</v>
      </c>
      <c r="AO20" s="32">
        <f>'4_PROY_DEMANDA'!AO84</f>
        <v>704</v>
      </c>
      <c r="AP20" s="32">
        <f>'4_PROY_DEMANDA'!AP84</f>
        <v>760</v>
      </c>
      <c r="AQ20" s="32">
        <f>'4_PROY_DEMANDA'!AQ84</f>
        <v>820</v>
      </c>
      <c r="AR20" s="32">
        <f>'4_PROY_DEMANDA'!AR84</f>
        <v>886</v>
      </c>
      <c r="AS20" s="32">
        <f>'4_PROY_DEMANDA'!AS84</f>
        <v>956</v>
      </c>
      <c r="AT20" s="32">
        <f>'4_PROY_DEMANDA'!AT84</f>
        <v>1032</v>
      </c>
      <c r="AU20" s="32">
        <f>'4_PROY_DEMANDA'!AU84</f>
        <v>1114</v>
      </c>
      <c r="AV20" s="32">
        <f>'4_PROY_DEMANDA'!AV84</f>
        <v>1203</v>
      </c>
      <c r="AW20" s="32">
        <f>'4_PROY_DEMANDA'!AW84</f>
        <v>1299</v>
      </c>
      <c r="AX20" s="32">
        <f>'4_PROY_DEMANDA'!AX84</f>
        <v>1403</v>
      </c>
      <c r="AY20" s="32">
        <f>'4_PROY_DEMANDA'!AY84</f>
        <v>1514</v>
      </c>
      <c r="AZ20" s="32">
        <f>'4_PROY_DEMANDA'!AZ84</f>
        <v>1635</v>
      </c>
      <c r="BA20" s="32">
        <f>'4_PROY_DEMANDA'!BA84</f>
        <v>1766</v>
      </c>
      <c r="BB20" s="32">
        <f>'4_PROY_DEMANDA'!BB84</f>
        <v>1906</v>
      </c>
      <c r="BC20" s="32">
        <f>'4_PROY_DEMANDA'!BC84</f>
        <v>2059</v>
      </c>
      <c r="BD20" s="32">
        <f>'4_PROY_DEMANDA'!BD84</f>
        <v>2223</v>
      </c>
      <c r="BE20" s="32">
        <f>'4_PROY_DEMANDA'!BE84</f>
        <v>2400</v>
      </c>
      <c r="BF20" s="32">
        <f>'4_PROY_DEMANDA'!BF84</f>
        <v>2592</v>
      </c>
      <c r="BG20" s="32">
        <f>'4_PROY_DEMANDA'!BG84</f>
        <v>2799</v>
      </c>
      <c r="BH20" s="32">
        <f>'4_PROY_DEMANDA'!BH84</f>
        <v>3022</v>
      </c>
      <c r="BI20" s="32">
        <f>'4_PROY_DEMANDA'!BI84</f>
        <v>3264</v>
      </c>
      <c r="BJ20" s="32">
        <f>'4_PROY_DEMANDA'!BJ84</f>
        <v>3524</v>
      </c>
      <c r="BK20" s="32">
        <f>'4_PROY_DEMANDA'!BK84</f>
        <v>3806</v>
      </c>
      <c r="BL20" s="32">
        <f>'4_PROY_DEMANDA'!BL84</f>
        <v>4110</v>
      </c>
      <c r="BM20" s="32">
        <f>'4_PROY_DEMANDA'!BM84</f>
        <v>4438</v>
      </c>
      <c r="BN20" s="32">
        <f>'4_PROY_DEMANDA'!BN84</f>
        <v>4793</v>
      </c>
      <c r="BO20" s="32">
        <f>'4_PROY_DEMANDA'!BO84</f>
        <v>5176</v>
      </c>
      <c r="BP20" s="32">
        <f>'4_PROY_DEMANDA'!BP84</f>
        <v>5590</v>
      </c>
      <c r="BQ20" s="32">
        <f>'4_PROY_DEMANDA'!BQ84</f>
        <v>6037</v>
      </c>
      <c r="BR20" s="32">
        <f>'4_PROY_DEMANDA'!BR84</f>
        <v>6519</v>
      </c>
      <c r="BS20" s="32">
        <f>'4_PROY_DEMANDA'!BS84</f>
        <v>7040</v>
      </c>
      <c r="BT20" s="32">
        <f>'4_PROY_DEMANDA'!BT84</f>
        <v>7603</v>
      </c>
      <c r="BU20" s="32">
        <f>'4_PROY_DEMANDA'!BU84</f>
        <v>8211</v>
      </c>
      <c r="BV20" s="32">
        <f>'4_PROY_DEMANDA'!BV84</f>
        <v>8867</v>
      </c>
      <c r="BW20" s="32">
        <f>'4_PROY_DEMANDA'!BW84</f>
        <v>9576</v>
      </c>
      <c r="BX20" s="32">
        <f>'4_PROY_DEMANDA'!BX84</f>
        <v>10342</v>
      </c>
      <c r="BY20" s="32">
        <f>'4_PROY_DEMANDA'!BY84</f>
        <v>11169</v>
      </c>
      <c r="BZ20" s="32">
        <f>'4_PROY_DEMANDA'!BZ84</f>
        <v>12062</v>
      </c>
      <c r="CA20" s="32">
        <f>'4_PROY_DEMANDA'!CA84</f>
        <v>13027</v>
      </c>
      <c r="CB20" s="32">
        <f>'4_PROY_DEMANDA'!CB84</f>
        <v>14068</v>
      </c>
      <c r="CC20" s="32">
        <f>'4_PROY_DEMANDA'!CC84</f>
        <v>15193</v>
      </c>
      <c r="CD20" s="32">
        <f>'4_PROY_DEMANDA'!CD84</f>
        <v>16409</v>
      </c>
      <c r="CE20" s="32">
        <f>'4_PROY_DEMANDA'!CE84</f>
        <v>17721</v>
      </c>
      <c r="CF20" s="32">
        <f>'4_PROY_DEMANDA'!CF84</f>
        <v>19138</v>
      </c>
      <c r="CG20" s="32">
        <f>'4_PROY_DEMANDA'!CG84</f>
        <v>20669</v>
      </c>
      <c r="CH20" s="32">
        <f>'4_PROY_DEMANDA'!CH84</f>
        <v>22322</v>
      </c>
      <c r="CI20" s="32">
        <f>'4_PROY_DEMANDA'!CI84</f>
        <v>24107</v>
      </c>
    </row>
    <row r="21" spans="1:87" ht="16.5">
      <c r="A21" s="5" t="s">
        <v>528</v>
      </c>
      <c r="B21" s="30" t="s">
        <v>458</v>
      </c>
      <c r="C21" s="17" t="s">
        <v>529</v>
      </c>
      <c r="D21" s="32">
        <f>'4_PROY_DEMANDA'!D86</f>
        <v>2</v>
      </c>
      <c r="E21" s="32">
        <f>'4_PROY_DEMANDA'!E86</f>
        <v>4</v>
      </c>
      <c r="F21" s="32">
        <f>'4_PROY_DEMANDA'!F86</f>
        <v>6</v>
      </c>
      <c r="G21" s="32">
        <f>'4_PROY_DEMANDA'!G86</f>
        <v>9</v>
      </c>
      <c r="H21" s="32">
        <f>'4_PROY_DEMANDA'!H86</f>
        <v>11</v>
      </c>
      <c r="I21" s="32">
        <f>'4_PROY_DEMANDA'!I86</f>
        <v>13</v>
      </c>
      <c r="J21" s="32">
        <f>'4_PROY_DEMANDA'!J86</f>
        <v>16</v>
      </c>
      <c r="K21" s="32">
        <f>'4_PROY_DEMANDA'!K86</f>
        <v>18</v>
      </c>
      <c r="L21" s="32">
        <f>'4_PROY_DEMANDA'!L86</f>
        <v>21</v>
      </c>
      <c r="M21" s="32">
        <f>'4_PROY_DEMANDA'!M86</f>
        <v>24</v>
      </c>
      <c r="N21" s="32">
        <f>'4_PROY_DEMANDA'!N86</f>
        <v>27</v>
      </c>
      <c r="O21" s="32">
        <f>'4_PROY_DEMANDA'!O86</f>
        <v>30</v>
      </c>
      <c r="P21" s="32">
        <f>'4_PROY_DEMANDA'!P86</f>
        <v>34</v>
      </c>
      <c r="Q21" s="32">
        <f>'4_PROY_DEMANDA'!Q86</f>
        <v>37</v>
      </c>
      <c r="R21" s="32">
        <f>'4_PROY_DEMANDA'!R86</f>
        <v>41</v>
      </c>
      <c r="S21" s="32">
        <f>'4_PROY_DEMANDA'!S86</f>
        <v>45</v>
      </c>
      <c r="T21" s="32">
        <f>'4_PROY_DEMANDA'!T86</f>
        <v>49</v>
      </c>
      <c r="U21" s="32">
        <f>'4_PROY_DEMANDA'!U86</f>
        <v>54</v>
      </c>
      <c r="V21" s="32">
        <f>'4_PROY_DEMANDA'!V86</f>
        <v>59</v>
      </c>
      <c r="W21" s="32">
        <f>'4_PROY_DEMANDA'!W86</f>
        <v>64</v>
      </c>
      <c r="X21" s="32">
        <f>'4_PROY_DEMANDA'!X86</f>
        <v>70</v>
      </c>
      <c r="Y21" s="32">
        <f>'4_PROY_DEMANDA'!Y86</f>
        <v>76</v>
      </c>
      <c r="Z21" s="32">
        <f>'4_PROY_DEMANDA'!Z86</f>
        <v>82</v>
      </c>
      <c r="AA21" s="32">
        <f>'4_PROY_DEMANDA'!AA86</f>
        <v>89</v>
      </c>
      <c r="AB21" s="32">
        <f>'4_PROY_DEMANDA'!AB86</f>
        <v>97</v>
      </c>
      <c r="AC21" s="32">
        <f>'4_PROY_DEMANDA'!AC86</f>
        <v>105</v>
      </c>
      <c r="AD21" s="32">
        <f>'4_PROY_DEMANDA'!AD86</f>
        <v>114</v>
      </c>
      <c r="AE21" s="32">
        <f>'4_PROY_DEMANDA'!AE86</f>
        <v>123</v>
      </c>
      <c r="AF21" s="32">
        <f>'4_PROY_DEMANDA'!AF86</f>
        <v>133</v>
      </c>
      <c r="AG21" s="32">
        <f>'4_PROY_DEMANDA'!AG86</f>
        <v>144</v>
      </c>
      <c r="AH21" s="32">
        <f>'4_PROY_DEMANDA'!AH86</f>
        <v>156</v>
      </c>
      <c r="AI21" s="32">
        <f>'4_PROY_DEMANDA'!AI86</f>
        <v>168</v>
      </c>
      <c r="AJ21" s="32">
        <f>'4_PROY_DEMANDA'!AJ86</f>
        <v>182</v>
      </c>
      <c r="AK21" s="32">
        <f>'4_PROY_DEMANDA'!AK86</f>
        <v>196</v>
      </c>
      <c r="AL21" s="32">
        <f>'4_PROY_DEMANDA'!AL86</f>
        <v>212</v>
      </c>
      <c r="AM21" s="32">
        <f>'4_PROY_DEMANDA'!AM86</f>
        <v>229</v>
      </c>
      <c r="AN21" s="32">
        <f>'4_PROY_DEMANDA'!AN86</f>
        <v>248</v>
      </c>
      <c r="AO21" s="32">
        <f>'4_PROY_DEMANDA'!AO86</f>
        <v>267</v>
      </c>
      <c r="AP21" s="32">
        <f>'4_PROY_DEMANDA'!AP86</f>
        <v>289</v>
      </c>
      <c r="AQ21" s="32">
        <f>'4_PROY_DEMANDA'!AQ86</f>
        <v>312</v>
      </c>
      <c r="AR21" s="32">
        <f>'4_PROY_DEMANDA'!AR86</f>
        <v>337</v>
      </c>
      <c r="AS21" s="32">
        <f>'4_PROY_DEMANDA'!AS86</f>
        <v>364</v>
      </c>
      <c r="AT21" s="32">
        <f>'4_PROY_DEMANDA'!AT86</f>
        <v>392</v>
      </c>
      <c r="AU21" s="32">
        <f>'4_PROY_DEMANDA'!AU86</f>
        <v>424</v>
      </c>
      <c r="AV21" s="32">
        <f>'4_PROY_DEMANDA'!AV86</f>
        <v>458</v>
      </c>
      <c r="AW21" s="32">
        <f>'4_PROY_DEMANDA'!AW86</f>
        <v>494</v>
      </c>
      <c r="AX21" s="32">
        <f>'4_PROY_DEMANDA'!AX86</f>
        <v>533</v>
      </c>
      <c r="AY21" s="32">
        <f>'4_PROY_DEMANDA'!AY86</f>
        <v>576</v>
      </c>
      <c r="AZ21" s="32">
        <f>'4_PROY_DEMANDA'!AZ86</f>
        <v>622</v>
      </c>
      <c r="BA21" s="32">
        <f>'4_PROY_DEMANDA'!BA86</f>
        <v>672</v>
      </c>
      <c r="BB21" s="32">
        <f>'4_PROY_DEMANDA'!BB86</f>
        <v>725</v>
      </c>
      <c r="BC21" s="32">
        <f>'4_PROY_DEMANDA'!BC86</f>
        <v>783</v>
      </c>
      <c r="BD21" s="32">
        <f>'4_PROY_DEMANDA'!BD86</f>
        <v>845</v>
      </c>
      <c r="BE21" s="32">
        <f>'4_PROY_DEMANDA'!BE86</f>
        <v>913</v>
      </c>
      <c r="BF21" s="32">
        <f>'4_PROY_DEMANDA'!BF86</f>
        <v>986</v>
      </c>
      <c r="BG21" s="32">
        <f>'4_PROY_DEMANDA'!BG86</f>
        <v>1064</v>
      </c>
      <c r="BH21" s="32">
        <f>'4_PROY_DEMANDA'!BH86</f>
        <v>1149</v>
      </c>
      <c r="BI21" s="32">
        <f>'4_PROY_DEMANDA'!BI86</f>
        <v>1241</v>
      </c>
      <c r="BJ21" s="32">
        <f>'4_PROY_DEMANDA'!BJ86</f>
        <v>1340</v>
      </c>
      <c r="BK21" s="32">
        <f>'4_PROY_DEMANDA'!BK86</f>
        <v>1447</v>
      </c>
      <c r="BL21" s="32">
        <f>'4_PROY_DEMANDA'!BL86</f>
        <v>1562</v>
      </c>
      <c r="BM21" s="32">
        <f>'4_PROY_DEMANDA'!BM86</f>
        <v>1687</v>
      </c>
      <c r="BN21" s="32">
        <f>'4_PROY_DEMANDA'!BN86</f>
        <v>1822</v>
      </c>
      <c r="BO21" s="32">
        <f>'4_PROY_DEMANDA'!BO86</f>
        <v>1967</v>
      </c>
      <c r="BP21" s="32">
        <f>'4_PROY_DEMANDA'!BP86</f>
        <v>2124</v>
      </c>
      <c r="BQ21" s="32">
        <f>'4_PROY_DEMANDA'!BQ86</f>
        <v>2294</v>
      </c>
      <c r="BR21" s="32">
        <f>'4_PROY_DEMANDA'!BR86</f>
        <v>2477</v>
      </c>
      <c r="BS21" s="32">
        <f>'4_PROY_DEMANDA'!BS86</f>
        <v>2675</v>
      </c>
      <c r="BT21" s="32">
        <f>'4_PROY_DEMANDA'!BT86</f>
        <v>2889</v>
      </c>
      <c r="BU21" s="32">
        <f>'4_PROY_DEMANDA'!BU86</f>
        <v>3120</v>
      </c>
      <c r="BV21" s="32">
        <f>'4_PROY_DEMANDA'!BV86</f>
        <v>3369</v>
      </c>
      <c r="BW21" s="32">
        <f>'4_PROY_DEMANDA'!BW86</f>
        <v>3638</v>
      </c>
      <c r="BX21" s="32">
        <f>'4_PROY_DEMANDA'!BX86</f>
        <v>3929</v>
      </c>
      <c r="BY21" s="32">
        <f>'4_PROY_DEMANDA'!BY86</f>
        <v>4243</v>
      </c>
      <c r="BZ21" s="32">
        <f>'4_PROY_DEMANDA'!BZ86</f>
        <v>4582</v>
      </c>
      <c r="CA21" s="32">
        <f>'4_PROY_DEMANDA'!CA86</f>
        <v>4948</v>
      </c>
      <c r="CB21" s="32">
        <f>'4_PROY_DEMANDA'!CB86</f>
        <v>5344</v>
      </c>
      <c r="CC21" s="32">
        <f>'4_PROY_DEMANDA'!CC86</f>
        <v>5771</v>
      </c>
      <c r="CD21" s="32">
        <f>'4_PROY_DEMANDA'!CD86</f>
        <v>6232</v>
      </c>
      <c r="CE21" s="32">
        <f>'4_PROY_DEMANDA'!CE86</f>
        <v>6731</v>
      </c>
      <c r="CF21" s="32">
        <f>'4_PROY_DEMANDA'!CF86</f>
        <v>7269</v>
      </c>
      <c r="CG21" s="32">
        <f>'4_PROY_DEMANDA'!CG86</f>
        <v>7850</v>
      </c>
      <c r="CH21" s="32">
        <f>'4_PROY_DEMANDA'!CH86</f>
        <v>8478</v>
      </c>
      <c r="CI21" s="32">
        <f>'4_PROY_DEMANDA'!CI86</f>
        <v>9156</v>
      </c>
    </row>
    <row r="22" spans="1:87" ht="16.5">
      <c r="A22" s="5" t="s">
        <v>530</v>
      </c>
      <c r="B22" s="30" t="s">
        <v>458</v>
      </c>
      <c r="C22" s="17" t="s">
        <v>531</v>
      </c>
      <c r="D22" s="32">
        <f>'4_PROY_DEMANDA'!D88</f>
        <v>9</v>
      </c>
      <c r="E22" s="32">
        <f>'4_PROY_DEMANDA'!E88</f>
        <v>19</v>
      </c>
      <c r="F22" s="32">
        <f>'4_PROY_DEMANDA'!F88</f>
        <v>28</v>
      </c>
      <c r="G22" s="32">
        <f>'4_PROY_DEMANDA'!G88</f>
        <v>38</v>
      </c>
      <c r="H22" s="32">
        <f>'4_PROY_DEMANDA'!H88</f>
        <v>48</v>
      </c>
      <c r="I22" s="32">
        <f>'4_PROY_DEMANDA'!I88</f>
        <v>59</v>
      </c>
      <c r="J22" s="32">
        <f>'4_PROY_DEMANDA'!J88</f>
        <v>70</v>
      </c>
      <c r="K22" s="32">
        <f>'4_PROY_DEMANDA'!K88</f>
        <v>81</v>
      </c>
      <c r="L22" s="32">
        <f>'4_PROY_DEMANDA'!L88</f>
        <v>93</v>
      </c>
      <c r="M22" s="32">
        <f>'4_PROY_DEMANDA'!M88</f>
        <v>106</v>
      </c>
      <c r="N22" s="32">
        <f>'4_PROY_DEMANDA'!N88</f>
        <v>120</v>
      </c>
      <c r="O22" s="32">
        <f>'4_PROY_DEMANDA'!O88</f>
        <v>134</v>
      </c>
      <c r="P22" s="32">
        <f>'4_PROY_DEMANDA'!P88</f>
        <v>149</v>
      </c>
      <c r="Q22" s="32">
        <f>'4_PROY_DEMANDA'!Q88</f>
        <v>165</v>
      </c>
      <c r="R22" s="32">
        <f>'4_PROY_DEMANDA'!R88</f>
        <v>182</v>
      </c>
      <c r="S22" s="32">
        <f>'4_PROY_DEMANDA'!S88</f>
        <v>200</v>
      </c>
      <c r="T22" s="32">
        <f>'4_PROY_DEMANDA'!T88</f>
        <v>219</v>
      </c>
      <c r="U22" s="32">
        <f>'4_PROY_DEMANDA'!U88</f>
        <v>239</v>
      </c>
      <c r="V22" s="32">
        <f>'4_PROY_DEMANDA'!V88</f>
        <v>261</v>
      </c>
      <c r="W22" s="32">
        <f>'4_PROY_DEMANDA'!W88</f>
        <v>285</v>
      </c>
      <c r="X22" s="32">
        <f>'4_PROY_DEMANDA'!X88</f>
        <v>310</v>
      </c>
      <c r="Y22" s="32">
        <f>'4_PROY_DEMANDA'!Y88</f>
        <v>337</v>
      </c>
      <c r="Z22" s="32">
        <f>'4_PROY_DEMANDA'!Z88</f>
        <v>366</v>
      </c>
      <c r="AA22" s="32">
        <f>'4_PROY_DEMANDA'!AA88</f>
        <v>397</v>
      </c>
      <c r="AB22" s="32">
        <f>'4_PROY_DEMANDA'!AB88</f>
        <v>430</v>
      </c>
      <c r="AC22" s="32">
        <f>'4_PROY_DEMANDA'!AC88</f>
        <v>466</v>
      </c>
      <c r="AD22" s="32">
        <f>'4_PROY_DEMANDA'!AD88</f>
        <v>505</v>
      </c>
      <c r="AE22" s="32">
        <f>'4_PROY_DEMANDA'!AE88</f>
        <v>546</v>
      </c>
      <c r="AF22" s="32">
        <f>'4_PROY_DEMANDA'!AF88</f>
        <v>591</v>
      </c>
      <c r="AG22" s="32">
        <f>'4_PROY_DEMANDA'!AG88</f>
        <v>639</v>
      </c>
      <c r="AH22" s="32">
        <f>'4_PROY_DEMANDA'!AH88</f>
        <v>691</v>
      </c>
      <c r="AI22" s="32">
        <f>'4_PROY_DEMANDA'!AI88</f>
        <v>747</v>
      </c>
      <c r="AJ22" s="32">
        <f>'4_PROY_DEMANDA'!AJ88</f>
        <v>808</v>
      </c>
      <c r="AK22" s="32">
        <f>'4_PROY_DEMANDA'!AK88</f>
        <v>873</v>
      </c>
      <c r="AL22" s="32">
        <f>'4_PROY_DEMANDA'!AL88</f>
        <v>943</v>
      </c>
      <c r="AM22" s="32">
        <f>'4_PROY_DEMANDA'!AM88</f>
        <v>1018</v>
      </c>
      <c r="AN22" s="32">
        <f>'4_PROY_DEMANDA'!AN88</f>
        <v>1100</v>
      </c>
      <c r="AO22" s="32">
        <f>'4_PROY_DEMANDA'!AO88</f>
        <v>1188</v>
      </c>
      <c r="AP22" s="32">
        <f>'4_PROY_DEMANDA'!AP88</f>
        <v>1283</v>
      </c>
      <c r="AQ22" s="32">
        <f>'4_PROY_DEMANDA'!AQ88</f>
        <v>1385</v>
      </c>
      <c r="AR22" s="32">
        <f>'4_PROY_DEMANDA'!AR88</f>
        <v>1496</v>
      </c>
      <c r="AS22" s="32">
        <f>'4_PROY_DEMANDA'!AS88</f>
        <v>1616</v>
      </c>
      <c r="AT22" s="32">
        <f>'4_PROY_DEMANDA'!AT88</f>
        <v>1744</v>
      </c>
      <c r="AU22" s="32">
        <f>'4_PROY_DEMANDA'!AU88</f>
        <v>1883</v>
      </c>
      <c r="AV22" s="32">
        <f>'4_PROY_DEMANDA'!AV88</f>
        <v>2034</v>
      </c>
      <c r="AW22" s="32">
        <f>'4_PROY_DEMANDA'!AW88</f>
        <v>2196</v>
      </c>
      <c r="AX22" s="32">
        <f>'4_PROY_DEMANDA'!AX88</f>
        <v>2371</v>
      </c>
      <c r="AY22" s="32">
        <f>'4_PROY_DEMANDA'!AY88</f>
        <v>2560</v>
      </c>
      <c r="AZ22" s="32">
        <f>'4_PROY_DEMANDA'!AZ88</f>
        <v>2764</v>
      </c>
      <c r="BA22" s="32">
        <f>'4_PROY_DEMANDA'!BA88</f>
        <v>2985</v>
      </c>
      <c r="BB22" s="32">
        <f>'4_PROY_DEMANDA'!BB88</f>
        <v>3223</v>
      </c>
      <c r="BC22" s="32">
        <f>'4_PROY_DEMANDA'!BC88</f>
        <v>3480</v>
      </c>
      <c r="BD22" s="32">
        <f>'4_PROY_DEMANDA'!BD88</f>
        <v>3758</v>
      </c>
      <c r="BE22" s="32">
        <f>'4_PROY_DEMANDA'!BE88</f>
        <v>4057</v>
      </c>
      <c r="BF22" s="32">
        <f>'4_PROY_DEMANDA'!BF88</f>
        <v>4381</v>
      </c>
      <c r="BG22" s="32">
        <f>'4_PROY_DEMANDA'!BG88</f>
        <v>4730</v>
      </c>
      <c r="BH22" s="32">
        <f>'4_PROY_DEMANDA'!BH88</f>
        <v>5108</v>
      </c>
      <c r="BI22" s="32">
        <f>'4_PROY_DEMANDA'!BI88</f>
        <v>5515</v>
      </c>
      <c r="BJ22" s="32">
        <f>'4_PROY_DEMANDA'!BJ88</f>
        <v>5955</v>
      </c>
      <c r="BK22" s="32">
        <f>'4_PROY_DEMANDA'!BK88</f>
        <v>6431</v>
      </c>
      <c r="BL22" s="32">
        <f>'4_PROY_DEMANDA'!BL88</f>
        <v>6944</v>
      </c>
      <c r="BM22" s="32">
        <f>'4_PROY_DEMANDA'!BM88</f>
        <v>7498</v>
      </c>
      <c r="BN22" s="32">
        <f>'4_PROY_DEMANDA'!BN88</f>
        <v>8097</v>
      </c>
      <c r="BO22" s="32">
        <f>'4_PROY_DEMANDA'!BO88</f>
        <v>8744</v>
      </c>
      <c r="BP22" s="32">
        <f>'4_PROY_DEMANDA'!BP88</f>
        <v>9442</v>
      </c>
      <c r="BQ22" s="32">
        <f>'4_PROY_DEMANDA'!BQ88</f>
        <v>10196</v>
      </c>
      <c r="BR22" s="32">
        <f>'4_PROY_DEMANDA'!BR88</f>
        <v>11011</v>
      </c>
      <c r="BS22" s="32">
        <f>'4_PROY_DEMANDA'!BS88</f>
        <v>11890</v>
      </c>
      <c r="BT22" s="32">
        <f>'4_PROY_DEMANDA'!BT88</f>
        <v>12840</v>
      </c>
      <c r="BU22" s="32">
        <f>'4_PROY_DEMANDA'!BU88</f>
        <v>13866</v>
      </c>
      <c r="BV22" s="32">
        <f>'4_PROY_DEMANDA'!BV88</f>
        <v>14973</v>
      </c>
      <c r="BW22" s="32">
        <f>'4_PROY_DEMANDA'!BW88</f>
        <v>16170</v>
      </c>
      <c r="BX22" s="32">
        <f>'4_PROY_DEMANDA'!BX88</f>
        <v>17462</v>
      </c>
      <c r="BY22" s="32">
        <f>'4_PROY_DEMANDA'!BY88</f>
        <v>18858</v>
      </c>
      <c r="BZ22" s="32">
        <f>'4_PROY_DEMANDA'!BZ88</f>
        <v>20365</v>
      </c>
      <c r="CA22" s="32">
        <f>'4_PROY_DEMANDA'!CA88</f>
        <v>21993</v>
      </c>
      <c r="CB22" s="32">
        <f>'4_PROY_DEMANDA'!CB88</f>
        <v>23751</v>
      </c>
      <c r="CC22" s="32">
        <f>'4_PROY_DEMANDA'!CC88</f>
        <v>25649</v>
      </c>
      <c r="CD22" s="32">
        <f>'4_PROY_DEMANDA'!CD88</f>
        <v>27700</v>
      </c>
      <c r="CE22" s="32">
        <f>'4_PROY_DEMANDA'!CE88</f>
        <v>29914</v>
      </c>
      <c r="CF22" s="32">
        <f>'4_PROY_DEMANDA'!CF88</f>
        <v>32306</v>
      </c>
      <c r="CG22" s="32">
        <f>'4_PROY_DEMANDA'!CG88</f>
        <v>34889</v>
      </c>
      <c r="CH22" s="32">
        <f>'4_PROY_DEMANDA'!CH88</f>
        <v>37679</v>
      </c>
      <c r="CI22" s="32">
        <f>'4_PROY_DEMANDA'!CI88</f>
        <v>40692</v>
      </c>
    </row>
    <row r="24" spans="1:87" ht="16.5">
      <c r="A24" s="39" t="s">
        <v>532</v>
      </c>
    </row>
    <row r="26" spans="1:87" ht="16.5">
      <c r="A26" s="6" t="s">
        <v>533</v>
      </c>
      <c r="B26" s="30" t="s">
        <v>465</v>
      </c>
      <c r="C26" s="17" t="s">
        <v>534</v>
      </c>
      <c r="D26" s="33">
        <f>D18*(1-'1_PANEL_CONTROL'!$C$138)*'1_PANEL_CONTROL'!$C$15 + D18*'1_PANEL_CONTROL'!$C$138*'1_PANEL_CONTROL'!$C$15*(1-'1_PANEL_CONTROL'!$C$139)</f>
        <v>1317.8999999999999</v>
      </c>
      <c r="E26" s="33">
        <f>E18*(1-'1_PANEL_CONTROL'!$C$138)*'1_PANEL_CONTROL'!$C$15 + E18*'1_PANEL_CONTROL'!$C$138*'1_PANEL_CONTROL'!$C$15*(1-'1_PANEL_CONTROL'!$C$139)</f>
        <v>2664.45</v>
      </c>
      <c r="F26" s="33">
        <f>F18*(1-'1_PANEL_CONTROL'!$C$138)*'1_PANEL_CONTROL'!$C$15 + F18*'1_PANEL_CONTROL'!$C$138*'1_PANEL_CONTROL'!$C$15*(1-'1_PANEL_CONTROL'!$C$139)</f>
        <v>4039.6499999999996</v>
      </c>
      <c r="G26" s="33">
        <f>G18*(1-'1_PANEL_CONTROL'!$C$138)*'1_PANEL_CONTROL'!$C$15 + G18*'1_PANEL_CONTROL'!$C$138*'1_PANEL_CONTROL'!$C$15*(1-'1_PANEL_CONTROL'!$C$139)</f>
        <v>5443.5</v>
      </c>
      <c r="H26" s="33">
        <f>H18*(1-'1_PANEL_CONTROL'!$C$138)*'1_PANEL_CONTROL'!$C$15 + H18*'1_PANEL_CONTROL'!$C$138*'1_PANEL_CONTROL'!$C$15*(1-'1_PANEL_CONTROL'!$C$139)</f>
        <v>6904.65</v>
      </c>
      <c r="I26" s="33">
        <f>I18*(1-'1_PANEL_CONTROL'!$C$138)*'1_PANEL_CONTROL'!$C$15 + I18*'1_PANEL_CONTROL'!$C$138*'1_PANEL_CONTROL'!$C$15*(1-'1_PANEL_CONTROL'!$C$139)</f>
        <v>8423.0999999999985</v>
      </c>
      <c r="J26" s="33">
        <f>J18*(1-'1_PANEL_CONTROL'!$C$138)*'1_PANEL_CONTROL'!$C$15 + J18*'1_PANEL_CONTROL'!$C$138*'1_PANEL_CONTROL'!$C$15*(1-'1_PANEL_CONTROL'!$C$139)</f>
        <v>9998.8499999999985</v>
      </c>
      <c r="K26" s="33">
        <f>K18*(1-'1_PANEL_CONTROL'!$C$138)*'1_PANEL_CONTROL'!$C$15 + K18*'1_PANEL_CONTROL'!$C$138*'1_PANEL_CONTROL'!$C$15*(1-'1_PANEL_CONTROL'!$C$139)</f>
        <v>11631.9</v>
      </c>
      <c r="L26" s="33">
        <f>L18*(1-'1_PANEL_CONTROL'!$C$138)*'1_PANEL_CONTROL'!$C$15 + L18*'1_PANEL_CONTROL'!$C$138*'1_PANEL_CONTROL'!$C$15*(1-'1_PANEL_CONTROL'!$C$139)</f>
        <v>13379.55</v>
      </c>
      <c r="M26" s="33">
        <f>M18*(1-'1_PANEL_CONTROL'!$C$138)*'1_PANEL_CONTROL'!$C$15 + M18*'1_PANEL_CONTROL'!$C$138*'1_PANEL_CONTROL'!$C$15*(1-'1_PANEL_CONTROL'!$C$139)</f>
        <v>15213.15</v>
      </c>
      <c r="N26" s="33">
        <f>N18*(1-'1_PANEL_CONTROL'!$C$138)*'1_PANEL_CONTROL'!$C$15 + N18*'1_PANEL_CONTROL'!$C$138*'1_PANEL_CONTROL'!$C$15*(1-'1_PANEL_CONTROL'!$C$139)</f>
        <v>17161.349999999999</v>
      </c>
      <c r="O26" s="33">
        <f>O18*(1-'1_PANEL_CONTROL'!$C$138)*'1_PANEL_CONTROL'!$C$15 + O18*'1_PANEL_CONTROL'!$C$138*'1_PANEL_CONTROL'!$C$15*(1-'1_PANEL_CONTROL'!$C$139)</f>
        <v>19195.5</v>
      </c>
      <c r="P26" s="33">
        <f>P18*(1-'1_PANEL_CONTROL'!$C$138)*'1_PANEL_CONTROL'!$C$15 + P18*'1_PANEL_CONTROL'!$C$138*'1_PANEL_CONTROL'!$C$15*(1-'1_PANEL_CONTROL'!$C$139)</f>
        <v>21344.25</v>
      </c>
      <c r="Q26" s="33">
        <f>Q18*(1-'1_PANEL_CONTROL'!$C$138)*'1_PANEL_CONTROL'!$C$15 + Q18*'1_PANEL_CONTROL'!$C$138*'1_PANEL_CONTROL'!$C$15*(1-'1_PANEL_CONTROL'!$C$139)</f>
        <v>23607.599999999999</v>
      </c>
      <c r="R26" s="33">
        <f>R18*(1-'1_PANEL_CONTROL'!$C$138)*'1_PANEL_CONTROL'!$C$15 + R18*'1_PANEL_CONTROL'!$C$138*'1_PANEL_CONTROL'!$C$15*(1-'1_PANEL_CONTROL'!$C$139)</f>
        <v>26014.199999999997</v>
      </c>
      <c r="S26" s="33">
        <f>S18*(1-'1_PANEL_CONTROL'!$C$138)*'1_PANEL_CONTROL'!$C$15 + S18*'1_PANEL_CONTROL'!$C$138*'1_PANEL_CONTROL'!$C$15*(1-'1_PANEL_CONTROL'!$C$139)</f>
        <v>28592.699999999997</v>
      </c>
      <c r="T26" s="33">
        <f>T18*(1-'1_PANEL_CONTROL'!$C$138)*'1_PANEL_CONTROL'!$C$15 + T18*'1_PANEL_CONTROL'!$C$138*'1_PANEL_CONTROL'!$C$15*(1-'1_PANEL_CONTROL'!$C$139)</f>
        <v>31343.1</v>
      </c>
      <c r="U26" s="33">
        <f>U18*(1-'1_PANEL_CONTROL'!$C$138)*'1_PANEL_CONTROL'!$C$15 + U18*'1_PANEL_CONTROL'!$C$138*'1_PANEL_CONTROL'!$C$15*(1-'1_PANEL_CONTROL'!$C$139)</f>
        <v>34265.399999999994</v>
      </c>
      <c r="V26" s="33">
        <f>V18*(1-'1_PANEL_CONTROL'!$C$138)*'1_PANEL_CONTROL'!$C$15 + V18*'1_PANEL_CONTROL'!$C$138*'1_PANEL_CONTROL'!$C$15*(1-'1_PANEL_CONTROL'!$C$139)</f>
        <v>37416.899999999994</v>
      </c>
      <c r="W26" s="33">
        <f>W18*(1-'1_PANEL_CONTROL'!$C$138)*'1_PANEL_CONTROL'!$C$15 + W18*'1_PANEL_CONTROL'!$C$138*'1_PANEL_CONTROL'!$C$15*(1-'1_PANEL_CONTROL'!$C$139)</f>
        <v>40768.949999999997</v>
      </c>
      <c r="X26" s="33">
        <f>X18*(1-'1_PANEL_CONTROL'!$C$138)*'1_PANEL_CONTROL'!$C$15 + X18*'1_PANEL_CONTROL'!$C$138*'1_PANEL_CONTROL'!$C$15*(1-'1_PANEL_CONTROL'!$C$139)</f>
        <v>44378.85</v>
      </c>
      <c r="Y26" s="33">
        <f>Y18*(1-'1_PANEL_CONTROL'!$C$138)*'1_PANEL_CONTROL'!$C$15 + Y18*'1_PANEL_CONTROL'!$C$138*'1_PANEL_CONTROL'!$C$15*(1-'1_PANEL_CONTROL'!$C$139)</f>
        <v>48246.6</v>
      </c>
      <c r="Z26" s="33">
        <f>Z18*(1-'1_PANEL_CONTROL'!$C$138)*'1_PANEL_CONTROL'!$C$15 + Z18*'1_PANEL_CONTROL'!$C$138*'1_PANEL_CONTROL'!$C$15*(1-'1_PANEL_CONTROL'!$C$139)</f>
        <v>52372.2</v>
      </c>
      <c r="AA26" s="33">
        <f>AA18*(1-'1_PANEL_CONTROL'!$C$138)*'1_PANEL_CONTROL'!$C$15 + AA18*'1_PANEL_CONTROL'!$C$138*'1_PANEL_CONTROL'!$C$15*(1-'1_PANEL_CONTROL'!$C$139)</f>
        <v>56812.95</v>
      </c>
      <c r="AB26" s="33">
        <f>AB18*(1-'1_PANEL_CONTROL'!$C$138)*'1_PANEL_CONTROL'!$C$15 + AB18*'1_PANEL_CONTROL'!$C$138*'1_PANEL_CONTROL'!$C$15*(1-'1_PANEL_CONTROL'!$C$139)</f>
        <v>61597.5</v>
      </c>
      <c r="AC26" s="33">
        <f>AC18*(1-'1_PANEL_CONTROL'!$C$138)*'1_PANEL_CONTROL'!$C$15 + AC18*'1_PANEL_CONTROL'!$C$138*'1_PANEL_CONTROL'!$C$15*(1-'1_PANEL_CONTROL'!$C$139)</f>
        <v>66754.5</v>
      </c>
      <c r="AD26" s="33">
        <f>AD18*(1-'1_PANEL_CONTROL'!$C$138)*'1_PANEL_CONTROL'!$C$15 + AD18*'1_PANEL_CONTROL'!$C$138*'1_PANEL_CONTROL'!$C$15*(1-'1_PANEL_CONTROL'!$C$139)</f>
        <v>72283.95</v>
      </c>
      <c r="AE26" s="33">
        <f>AE18*(1-'1_PANEL_CONTROL'!$C$138)*'1_PANEL_CONTROL'!$C$15 + AE18*'1_PANEL_CONTROL'!$C$138*'1_PANEL_CONTROL'!$C$15*(1-'1_PANEL_CONTROL'!$C$139)</f>
        <v>78243.149999999994</v>
      </c>
      <c r="AF26" s="33">
        <f>AF18*(1-'1_PANEL_CONTROL'!$C$138)*'1_PANEL_CONTROL'!$C$15 + AF18*'1_PANEL_CONTROL'!$C$138*'1_PANEL_CONTROL'!$C$15*(1-'1_PANEL_CONTROL'!$C$139)</f>
        <v>84660.75</v>
      </c>
      <c r="AG26" s="33">
        <f>AG18*(1-'1_PANEL_CONTROL'!$C$138)*'1_PANEL_CONTROL'!$C$15 + AG18*'1_PANEL_CONTROL'!$C$138*'1_PANEL_CONTROL'!$C$15*(1-'1_PANEL_CONTROL'!$C$139)</f>
        <v>91565.4</v>
      </c>
      <c r="AH26" s="33">
        <f>AH18*(1-'1_PANEL_CONTROL'!$C$138)*'1_PANEL_CONTROL'!$C$15 + AH18*'1_PANEL_CONTROL'!$C$138*'1_PANEL_CONTROL'!$C$15*(1-'1_PANEL_CONTROL'!$C$139)</f>
        <v>99014.399999999994</v>
      </c>
      <c r="AI26" s="33">
        <f>AI18*(1-'1_PANEL_CONTROL'!$C$138)*'1_PANEL_CONTROL'!$C$15 + AI18*'1_PANEL_CONTROL'!$C$138*'1_PANEL_CONTROL'!$C$15*(1-'1_PANEL_CONTROL'!$C$139)</f>
        <v>107036.4</v>
      </c>
      <c r="AJ26" s="33">
        <f>AJ18*(1-'1_PANEL_CONTROL'!$C$138)*'1_PANEL_CONTROL'!$C$15 + AJ18*'1_PANEL_CONTROL'!$C$138*'1_PANEL_CONTROL'!$C$15*(1-'1_PANEL_CONTROL'!$C$139)</f>
        <v>115688.7</v>
      </c>
      <c r="AK26" s="33">
        <f>AK18*(1-'1_PANEL_CONTROL'!$C$138)*'1_PANEL_CONTROL'!$C$15 + AK18*'1_PANEL_CONTROL'!$C$138*'1_PANEL_CONTROL'!$C$15*(1-'1_PANEL_CONTROL'!$C$139)</f>
        <v>124999.94999999998</v>
      </c>
      <c r="AL26" s="33">
        <f>AL18*(1-'1_PANEL_CONTROL'!$C$138)*'1_PANEL_CONTROL'!$C$15 + AL18*'1_PANEL_CONTROL'!$C$138*'1_PANEL_CONTROL'!$C$15*(1-'1_PANEL_CONTROL'!$C$139)</f>
        <v>135056.09999999998</v>
      </c>
      <c r="AM26" s="33">
        <f>AM18*(1-'1_PANEL_CONTROL'!$C$138)*'1_PANEL_CONTROL'!$C$15 + AM18*'1_PANEL_CONTROL'!$C$138*'1_PANEL_CONTROL'!$C$15*(1-'1_PANEL_CONTROL'!$C$139)</f>
        <v>145885.79999999999</v>
      </c>
      <c r="AN26" s="33">
        <f>AN18*(1-'1_PANEL_CONTROL'!$C$138)*'1_PANEL_CONTROL'!$C$15 + AN18*'1_PANEL_CONTROL'!$C$138*'1_PANEL_CONTROL'!$C$15*(1-'1_PANEL_CONTROL'!$C$139)</f>
        <v>157575</v>
      </c>
      <c r="AO26" s="33">
        <f>AO18*(1-'1_PANEL_CONTROL'!$C$138)*'1_PANEL_CONTROL'!$C$15 + AO18*'1_PANEL_CONTROL'!$C$138*'1_PANEL_CONTROL'!$C$15*(1-'1_PANEL_CONTROL'!$C$139)</f>
        <v>170181</v>
      </c>
      <c r="AP26" s="33">
        <f>AP18*(1-'1_PANEL_CONTROL'!$C$138)*'1_PANEL_CONTROL'!$C$15 + AP18*'1_PANEL_CONTROL'!$C$138*'1_PANEL_CONTROL'!$C$15*(1-'1_PANEL_CONTROL'!$C$139)</f>
        <v>183789.75</v>
      </c>
      <c r="AQ26" s="33">
        <f>AQ18*(1-'1_PANEL_CONTROL'!$C$138)*'1_PANEL_CONTROL'!$C$15 + AQ18*'1_PANEL_CONTROL'!$C$138*'1_PANEL_CONTROL'!$C$15*(1-'1_PANEL_CONTROL'!$C$139)</f>
        <v>198458.55</v>
      </c>
      <c r="AR26" s="33">
        <f>AR18*(1-'1_PANEL_CONTROL'!$C$138)*'1_PANEL_CONTROL'!$C$15 + AR18*'1_PANEL_CONTROL'!$C$138*'1_PANEL_CONTROL'!$C$15*(1-'1_PANEL_CONTROL'!$C$139)</f>
        <v>214330.65</v>
      </c>
      <c r="AS26" s="33">
        <f>AS18*(1-'1_PANEL_CONTROL'!$C$138)*'1_PANEL_CONTROL'!$C$15 + AS18*'1_PANEL_CONTROL'!$C$138*'1_PANEL_CONTROL'!$C$15*(1-'1_PANEL_CONTROL'!$C$139)</f>
        <v>231434.69999999995</v>
      </c>
      <c r="AT26" s="33">
        <f>AT18*(1-'1_PANEL_CONTROL'!$C$138)*'1_PANEL_CONTROL'!$C$15 + AT18*'1_PANEL_CONTROL'!$C$138*'1_PANEL_CONTROL'!$C$15*(1-'1_PANEL_CONTROL'!$C$139)</f>
        <v>249885.3</v>
      </c>
      <c r="AU26" s="33">
        <f>AU18*(1-'1_PANEL_CONTROL'!$C$138)*'1_PANEL_CONTROL'!$C$15 + AU18*'1_PANEL_CONTROL'!$C$138*'1_PANEL_CONTROL'!$C$15*(1-'1_PANEL_CONTROL'!$C$139)</f>
        <v>269797.05</v>
      </c>
      <c r="AV26" s="33">
        <f>AV18*(1-'1_PANEL_CONTROL'!$C$138)*'1_PANEL_CONTROL'!$C$15 + AV18*'1_PANEL_CONTROL'!$C$138*'1_PANEL_CONTROL'!$C$15*(1-'1_PANEL_CONTROL'!$C$139)</f>
        <v>291313.19999999995</v>
      </c>
      <c r="AW26" s="33">
        <f>AW18*(1-'1_PANEL_CONTROL'!$C$138)*'1_PANEL_CONTROL'!$C$15 + AW18*'1_PANEL_CONTROL'!$C$138*'1_PANEL_CONTROL'!$C$15*(1-'1_PANEL_CONTROL'!$C$139)</f>
        <v>314548.34999999998</v>
      </c>
      <c r="AX26" s="33">
        <f>AX18*(1-'1_PANEL_CONTROL'!$C$138)*'1_PANEL_CONTROL'!$C$15 + AX18*'1_PANEL_CONTROL'!$C$138*'1_PANEL_CONTROL'!$C$15*(1-'1_PANEL_CONTROL'!$C$139)</f>
        <v>339645.75</v>
      </c>
      <c r="AY26" s="33">
        <f>AY18*(1-'1_PANEL_CONTROL'!$C$138)*'1_PANEL_CONTROL'!$C$15 + AY18*'1_PANEL_CONTROL'!$C$138*'1_PANEL_CONTROL'!$C$15*(1-'1_PANEL_CONTROL'!$C$139)</f>
        <v>366720</v>
      </c>
      <c r="AZ26" s="33">
        <f>AZ18*(1-'1_PANEL_CONTROL'!$C$138)*'1_PANEL_CONTROL'!$C$15 + AZ18*'1_PANEL_CONTROL'!$C$138*'1_PANEL_CONTROL'!$C$15*(1-'1_PANEL_CONTROL'!$C$139)</f>
        <v>395971.64999999991</v>
      </c>
      <c r="BA26" s="33">
        <f>BA18*(1-'1_PANEL_CONTROL'!$C$138)*'1_PANEL_CONTROL'!$C$15 + BA18*'1_PANEL_CONTROL'!$C$138*'1_PANEL_CONTROL'!$C$15*(1-'1_PANEL_CONTROL'!$C$139)</f>
        <v>427572.6</v>
      </c>
      <c r="BB26" s="33">
        <f>BB18*(1-'1_PANEL_CONTROL'!$C$138)*'1_PANEL_CONTROL'!$C$15 + BB18*'1_PANEL_CONTROL'!$C$138*'1_PANEL_CONTROL'!$C$15*(1-'1_PANEL_CONTROL'!$C$139)</f>
        <v>461666.1</v>
      </c>
      <c r="BC26" s="33">
        <f>BC18*(1-'1_PANEL_CONTROL'!$C$138)*'1_PANEL_CONTROL'!$C$15 + BC18*'1_PANEL_CONTROL'!$C$138*'1_PANEL_CONTROL'!$C$15*(1-'1_PANEL_CONTROL'!$C$139)</f>
        <v>498510</v>
      </c>
      <c r="BD26" s="33">
        <f>BD18*(1-'1_PANEL_CONTROL'!$C$138)*'1_PANEL_CONTROL'!$C$15 + BD18*'1_PANEL_CONTROL'!$C$138*'1_PANEL_CONTROL'!$C$15*(1-'1_PANEL_CONTROL'!$C$139)</f>
        <v>538276.19999999995</v>
      </c>
      <c r="BE26" s="33">
        <f>BE18*(1-'1_PANEL_CONTROL'!$C$138)*'1_PANEL_CONTROL'!$C$15 + BE18*'1_PANEL_CONTROL'!$C$138*'1_PANEL_CONTROL'!$C$15*(1-'1_PANEL_CONTROL'!$C$139)</f>
        <v>581193.89999999991</v>
      </c>
      <c r="BF26" s="33">
        <f>BF18*(1-'1_PANEL_CONTROL'!$C$138)*'1_PANEL_CONTROL'!$C$15 + BF18*'1_PANEL_CONTROL'!$C$138*'1_PANEL_CONTROL'!$C$15*(1-'1_PANEL_CONTROL'!$C$139)</f>
        <v>627549.6</v>
      </c>
      <c r="BG26" s="33">
        <f>BG18*(1-'1_PANEL_CONTROL'!$C$138)*'1_PANEL_CONTROL'!$C$15 + BG18*'1_PANEL_CONTROL'!$C$138*'1_PANEL_CONTROL'!$C$15*(1-'1_PANEL_CONTROL'!$C$139)</f>
        <v>677629.79999999993</v>
      </c>
      <c r="BH26" s="33">
        <f>BH18*(1-'1_PANEL_CONTROL'!$C$138)*'1_PANEL_CONTROL'!$C$15 + BH18*'1_PANEL_CONTROL'!$C$138*'1_PANEL_CONTROL'!$C$15*(1-'1_PANEL_CONTROL'!$C$139)</f>
        <v>731692.35</v>
      </c>
      <c r="BI26" s="33">
        <f>BI18*(1-'1_PANEL_CONTROL'!$C$138)*'1_PANEL_CONTROL'!$C$15 + BI18*'1_PANEL_CONTROL'!$C$138*'1_PANEL_CONTROL'!$C$15*(1-'1_PANEL_CONTROL'!$C$139)</f>
        <v>790081.04999999981</v>
      </c>
      <c r="BJ26" s="33">
        <f>BJ18*(1-'1_PANEL_CONTROL'!$C$138)*'1_PANEL_CONTROL'!$C$15 + BJ18*'1_PANEL_CONTROL'!$C$138*'1_PANEL_CONTROL'!$C$15*(1-'1_PANEL_CONTROL'!$C$139)</f>
        <v>853111.04999999981</v>
      </c>
      <c r="BK26" s="33">
        <f>BK18*(1-'1_PANEL_CONTROL'!$C$138)*'1_PANEL_CONTROL'!$C$15 + BK18*'1_PANEL_CONTROL'!$C$138*'1_PANEL_CONTROL'!$C$15*(1-'1_PANEL_CONTROL'!$C$139)</f>
        <v>921212.1</v>
      </c>
      <c r="BL26" s="33">
        <f>BL18*(1-'1_PANEL_CONTROL'!$C$138)*'1_PANEL_CONTROL'!$C$15 + BL18*'1_PANEL_CONTROL'!$C$138*'1_PANEL_CONTROL'!$C$15*(1-'1_PANEL_CONTROL'!$C$139)</f>
        <v>994756.64999999991</v>
      </c>
      <c r="BM26" s="33">
        <f>BM18*(1-'1_PANEL_CONTROL'!$C$138)*'1_PANEL_CONTROL'!$C$15 + BM18*'1_PANEL_CONTROL'!$C$138*'1_PANEL_CONTROL'!$C$15*(1-'1_PANEL_CONTROL'!$C$139)</f>
        <v>1074145.7999999998</v>
      </c>
      <c r="BN26" s="33">
        <f>BN18*(1-'1_PANEL_CONTROL'!$C$138)*'1_PANEL_CONTROL'!$C$15 + BN18*'1_PANEL_CONTROL'!$C$138*'1_PANEL_CONTROL'!$C$15*(1-'1_PANEL_CONTROL'!$C$139)</f>
        <v>1159895.25</v>
      </c>
      <c r="BO26" s="33">
        <f>BO18*(1-'1_PANEL_CONTROL'!$C$138)*'1_PANEL_CONTROL'!$C$15 + BO18*'1_PANEL_CONTROL'!$C$138*'1_PANEL_CONTROL'!$C$15*(1-'1_PANEL_CONTROL'!$C$139)</f>
        <v>1252520.7</v>
      </c>
      <c r="BP26" s="33">
        <f>BP18*(1-'1_PANEL_CONTROL'!$C$138)*'1_PANEL_CONTROL'!$C$15 + BP18*'1_PANEL_CONTROL'!$C$138*'1_PANEL_CONTROL'!$C$15*(1-'1_PANEL_CONTROL'!$C$139)</f>
        <v>1352566.5</v>
      </c>
      <c r="BQ26" s="33">
        <f>BQ18*(1-'1_PANEL_CONTROL'!$C$138)*'1_PANEL_CONTROL'!$C$15 + BQ18*'1_PANEL_CONTROL'!$C$138*'1_PANEL_CONTROL'!$C$15*(1-'1_PANEL_CONTROL'!$C$139)</f>
        <v>1460605.65</v>
      </c>
      <c r="BR26" s="33">
        <f>BR18*(1-'1_PANEL_CONTROL'!$C$138)*'1_PANEL_CONTROL'!$C$15 + BR18*'1_PANEL_CONTROL'!$C$138*'1_PANEL_CONTROL'!$C$15*(1-'1_PANEL_CONTROL'!$C$139)</f>
        <v>1577268.45</v>
      </c>
      <c r="BS26" s="33">
        <f>BS18*(1-'1_PANEL_CONTROL'!$C$138)*'1_PANEL_CONTROL'!$C$15 + BS18*'1_PANEL_CONTROL'!$C$138*'1_PANEL_CONTROL'!$C$15*(1-'1_PANEL_CONTROL'!$C$139)</f>
        <v>1703242.5</v>
      </c>
      <c r="BT26" s="33">
        <f>BT18*(1-'1_PANEL_CONTROL'!$C$138)*'1_PANEL_CONTROL'!$C$15 + BT18*'1_PANEL_CONTROL'!$C$138*'1_PANEL_CONTROL'!$C$15*(1-'1_PANEL_CONTROL'!$C$139)</f>
        <v>1839301.3499999996</v>
      </c>
      <c r="BU26" s="33">
        <f>BU18*(1-'1_PANEL_CONTROL'!$C$138)*'1_PANEL_CONTROL'!$C$15 + BU18*'1_PANEL_CONTROL'!$C$138*'1_PANEL_CONTROL'!$C$15*(1-'1_PANEL_CONTROL'!$C$139)</f>
        <v>1986247.1999999997</v>
      </c>
      <c r="BV26" s="33">
        <f>BV18*(1-'1_PANEL_CONTROL'!$C$138)*'1_PANEL_CONTROL'!$C$15 + BV18*'1_PANEL_CONTROL'!$C$138*'1_PANEL_CONTROL'!$C$15*(1-'1_PANEL_CONTROL'!$C$139)</f>
        <v>2144939.5499999998</v>
      </c>
      <c r="BW26" s="33">
        <f>BW18*(1-'1_PANEL_CONTROL'!$C$138)*'1_PANEL_CONTROL'!$C$15 + BW18*'1_PANEL_CONTROL'!$C$138*'1_PANEL_CONTROL'!$C$15*(1-'1_PANEL_CONTROL'!$C$139)</f>
        <v>2316323.8499999996</v>
      </c>
      <c r="BX26" s="33">
        <f>BX18*(1-'1_PANEL_CONTROL'!$C$138)*'1_PANEL_CONTROL'!$C$15 + BX18*'1_PANEL_CONTROL'!$C$138*'1_PANEL_CONTROL'!$C$15*(1-'1_PANEL_CONTROL'!$C$139)</f>
        <v>2501431.5</v>
      </c>
      <c r="BY26" s="33">
        <f>BY18*(1-'1_PANEL_CONTROL'!$C$138)*'1_PANEL_CONTROL'!$C$15 + BY18*'1_PANEL_CONTROL'!$C$138*'1_PANEL_CONTROL'!$C$15*(1-'1_PANEL_CONTROL'!$C$139)</f>
        <v>2701351.1999999997</v>
      </c>
      <c r="BZ26" s="33">
        <f>BZ18*(1-'1_PANEL_CONTROL'!$C$138)*'1_PANEL_CONTROL'!$C$15 + BZ18*'1_PANEL_CONTROL'!$C$138*'1_PANEL_CONTROL'!$C$15*(1-'1_PANEL_CONTROL'!$C$139)</f>
        <v>2917257.5999999996</v>
      </c>
      <c r="CA26" s="33">
        <f>CA18*(1-'1_PANEL_CONTROL'!$C$138)*'1_PANEL_CONTROL'!$C$15 + CA18*'1_PANEL_CONTROL'!$C$138*'1_PANEL_CONTROL'!$C$15*(1-'1_PANEL_CONTROL'!$C$139)</f>
        <v>3150439.9499999993</v>
      </c>
      <c r="CB26" s="33">
        <f>CB18*(1-'1_PANEL_CONTROL'!$C$138)*'1_PANEL_CONTROL'!$C$15 + CB18*'1_PANEL_CONTROL'!$C$138*'1_PANEL_CONTROL'!$C$15*(1-'1_PANEL_CONTROL'!$C$139)</f>
        <v>3402273.4499999993</v>
      </c>
      <c r="CC26" s="33">
        <f>CC18*(1-'1_PANEL_CONTROL'!$C$138)*'1_PANEL_CONTROL'!$C$15 + CC18*'1_PANEL_CONTROL'!$C$138*'1_PANEL_CONTROL'!$C$15*(1-'1_PANEL_CONTROL'!$C$139)</f>
        <v>3674247.9</v>
      </c>
      <c r="CD26" s="33">
        <f>CD18*(1-'1_PANEL_CONTROL'!$C$138)*'1_PANEL_CONTROL'!$C$15 + CD18*'1_PANEL_CONTROL'!$C$138*'1_PANEL_CONTROL'!$C$15*(1-'1_PANEL_CONTROL'!$C$139)</f>
        <v>3967996.3499999996</v>
      </c>
      <c r="CE26" s="33">
        <f>CE18*(1-'1_PANEL_CONTROL'!$C$138)*'1_PANEL_CONTROL'!$C$15 + CE18*'1_PANEL_CONTROL'!$C$138*'1_PANEL_CONTROL'!$C$15*(1-'1_PANEL_CONTROL'!$C$139)</f>
        <v>4285237.8</v>
      </c>
      <c r="CF26" s="33">
        <f>CF18*(1-'1_PANEL_CONTROL'!$C$138)*'1_PANEL_CONTROL'!$C$15 + CF18*'1_PANEL_CONTROL'!$C$138*'1_PANEL_CONTROL'!$C$15*(1-'1_PANEL_CONTROL'!$C$139)</f>
        <v>4627863.1499999994</v>
      </c>
      <c r="CG26" s="33">
        <f>CG18*(1-'1_PANEL_CONTROL'!$C$138)*'1_PANEL_CONTROL'!$C$15 + CG18*'1_PANEL_CONTROL'!$C$138*'1_PANEL_CONTROL'!$C$15*(1-'1_PANEL_CONTROL'!$C$139)</f>
        <v>4997906.55</v>
      </c>
      <c r="CH26" s="33">
        <f>CH18*(1-'1_PANEL_CONTROL'!$C$138)*'1_PANEL_CONTROL'!$C$15 + CH18*'1_PANEL_CONTROL'!$C$138*'1_PANEL_CONTROL'!$C$15*(1-'1_PANEL_CONTROL'!$C$139)</f>
        <v>5397545.3999999994</v>
      </c>
      <c r="CI26" s="33">
        <f>CI18*(1-'1_PANEL_CONTROL'!$C$138)*'1_PANEL_CONTROL'!$C$15 + CI18*'1_PANEL_CONTROL'!$C$138*'1_PANEL_CONTROL'!$C$15*(1-'1_PANEL_CONTROL'!$C$139)</f>
        <v>5829129</v>
      </c>
    </row>
    <row r="27" spans="1:87" ht="16.5">
      <c r="A27" s="6" t="s">
        <v>535</v>
      </c>
      <c r="B27" s="30" t="s">
        <v>465</v>
      </c>
      <c r="C27" s="17" t="s">
        <v>536</v>
      </c>
      <c r="D27" s="33">
        <f>D19*'1_PANEL_CONTROL'!$C$128+D16*CHOOSE('1_PANEL_CONTROL'!$C$4, '1_PANEL_CONTROL'!$C$118, '1_PANEL_CONTROL'!$C$119, '1_PANEL_CONTROL'!$C$120)*CHOOSE('1_PANEL_CONTROL'!$C$4, '1_PANEL_CONTROL'!$C$121, '1_PANEL_CONTROL'!$C$122, '1_PANEL_CONTROL'!$C$123)+D16*CHOOSE('1_PANEL_CONTROL'!$C$4, '1_PANEL_CONTROL'!$C$118, '1_PANEL_CONTROL'!$C$119, '1_PANEL_CONTROL'!$C$120)*CHOOSE('1_PANEL_CONTROL'!$C$4, '1_PANEL_CONTROL'!$C$124, '1_PANEL_CONTROL'!$C$125, '1_PANEL_CONTROL'!$C$126)*'1_PANEL_CONTROL'!$C$127</f>
        <v>466.75</v>
      </c>
      <c r="E27" s="33">
        <f>E19*'1_PANEL_CONTROL'!$C$128+E16*CHOOSE('1_PANEL_CONTROL'!$C$4, '1_PANEL_CONTROL'!$C$118, '1_PANEL_CONTROL'!$C$119, '1_PANEL_CONTROL'!$C$120)*CHOOSE('1_PANEL_CONTROL'!$C$4, '1_PANEL_CONTROL'!$C$121, '1_PANEL_CONTROL'!$C$122, '1_PANEL_CONTROL'!$C$123)+E16*CHOOSE('1_PANEL_CONTROL'!$C$4, '1_PANEL_CONTROL'!$C$118, '1_PANEL_CONTROL'!$C$119, '1_PANEL_CONTROL'!$C$120)*CHOOSE('1_PANEL_CONTROL'!$C$4, '1_PANEL_CONTROL'!$C$124, '1_PANEL_CONTROL'!$C$125, '1_PANEL_CONTROL'!$C$126)*'1_PANEL_CONTROL'!$C$127</f>
        <v>562.625</v>
      </c>
      <c r="F27" s="33">
        <f>F19*'1_PANEL_CONTROL'!$C$128+F16*CHOOSE('1_PANEL_CONTROL'!$C$4, '1_PANEL_CONTROL'!$C$118, '1_PANEL_CONTROL'!$C$119, '1_PANEL_CONTROL'!$C$120)*CHOOSE('1_PANEL_CONTROL'!$C$4, '1_PANEL_CONTROL'!$C$121, '1_PANEL_CONTROL'!$C$122, '1_PANEL_CONTROL'!$C$123)+F16*CHOOSE('1_PANEL_CONTROL'!$C$4, '1_PANEL_CONTROL'!$C$118, '1_PANEL_CONTROL'!$C$119, '1_PANEL_CONTROL'!$C$120)*CHOOSE('1_PANEL_CONTROL'!$C$4, '1_PANEL_CONTROL'!$C$124, '1_PANEL_CONTROL'!$C$125, '1_PANEL_CONTROL'!$C$126)*'1_PANEL_CONTROL'!$C$127</f>
        <v>658.5</v>
      </c>
      <c r="G27" s="33">
        <f>G19*'1_PANEL_CONTROL'!$C$128+G16*CHOOSE('1_PANEL_CONTROL'!$C$4, '1_PANEL_CONTROL'!$C$118, '1_PANEL_CONTROL'!$C$119, '1_PANEL_CONTROL'!$C$120)*CHOOSE('1_PANEL_CONTROL'!$C$4, '1_PANEL_CONTROL'!$C$121, '1_PANEL_CONTROL'!$C$122, '1_PANEL_CONTROL'!$C$123)+G16*CHOOSE('1_PANEL_CONTROL'!$C$4, '1_PANEL_CONTROL'!$C$118, '1_PANEL_CONTROL'!$C$119, '1_PANEL_CONTROL'!$C$120)*CHOOSE('1_PANEL_CONTROL'!$C$4, '1_PANEL_CONTROL'!$C$124, '1_PANEL_CONTROL'!$C$125, '1_PANEL_CONTROL'!$C$126)*'1_PANEL_CONTROL'!$C$127</f>
        <v>768</v>
      </c>
      <c r="H27" s="33">
        <f>H19*'1_PANEL_CONTROL'!$C$128+H16*CHOOSE('1_PANEL_CONTROL'!$C$4, '1_PANEL_CONTROL'!$C$118, '1_PANEL_CONTROL'!$C$119, '1_PANEL_CONTROL'!$C$120)*CHOOSE('1_PANEL_CONTROL'!$C$4, '1_PANEL_CONTROL'!$C$121, '1_PANEL_CONTROL'!$C$122, '1_PANEL_CONTROL'!$C$123)+H16*CHOOSE('1_PANEL_CONTROL'!$C$4, '1_PANEL_CONTROL'!$C$118, '1_PANEL_CONTROL'!$C$119, '1_PANEL_CONTROL'!$C$120)*CHOOSE('1_PANEL_CONTROL'!$C$4, '1_PANEL_CONTROL'!$C$124, '1_PANEL_CONTROL'!$C$125, '1_PANEL_CONTROL'!$C$126)*'1_PANEL_CONTROL'!$C$127</f>
        <v>877.5</v>
      </c>
      <c r="I27" s="33">
        <f>I19*'1_PANEL_CONTROL'!$C$128+I16*CHOOSE('1_PANEL_CONTROL'!$C$4, '1_PANEL_CONTROL'!$C$118, '1_PANEL_CONTROL'!$C$119, '1_PANEL_CONTROL'!$C$120)*CHOOSE('1_PANEL_CONTROL'!$C$4, '1_PANEL_CONTROL'!$C$121, '1_PANEL_CONTROL'!$C$122, '1_PANEL_CONTROL'!$C$123)+I16*CHOOSE('1_PANEL_CONTROL'!$C$4, '1_PANEL_CONTROL'!$C$118, '1_PANEL_CONTROL'!$C$119, '1_PANEL_CONTROL'!$C$120)*CHOOSE('1_PANEL_CONTROL'!$C$4, '1_PANEL_CONTROL'!$C$124, '1_PANEL_CONTROL'!$C$125, '1_PANEL_CONTROL'!$C$126)*'1_PANEL_CONTROL'!$C$127</f>
        <v>1000.625</v>
      </c>
      <c r="J27" s="33">
        <f>J19*'1_PANEL_CONTROL'!$C$128+J16*CHOOSE('1_PANEL_CONTROL'!$C$4, '1_PANEL_CONTROL'!$C$118, '1_PANEL_CONTROL'!$C$119, '1_PANEL_CONTROL'!$C$120)*CHOOSE('1_PANEL_CONTROL'!$C$4, '1_PANEL_CONTROL'!$C$121, '1_PANEL_CONTROL'!$C$122, '1_PANEL_CONTROL'!$C$123)+J16*CHOOSE('1_PANEL_CONTROL'!$C$4, '1_PANEL_CONTROL'!$C$118, '1_PANEL_CONTROL'!$C$119, '1_PANEL_CONTROL'!$C$120)*CHOOSE('1_PANEL_CONTROL'!$C$4, '1_PANEL_CONTROL'!$C$124, '1_PANEL_CONTROL'!$C$125, '1_PANEL_CONTROL'!$C$126)*'1_PANEL_CONTROL'!$C$127</f>
        <v>1120.125</v>
      </c>
      <c r="K27" s="33">
        <f>K19*'1_PANEL_CONTROL'!$C$128+K16*CHOOSE('1_PANEL_CONTROL'!$C$4, '1_PANEL_CONTROL'!$C$118, '1_PANEL_CONTROL'!$C$119, '1_PANEL_CONTROL'!$C$120)*CHOOSE('1_PANEL_CONTROL'!$C$4, '1_PANEL_CONTROL'!$C$121, '1_PANEL_CONTROL'!$C$122, '1_PANEL_CONTROL'!$C$123)+K16*CHOOSE('1_PANEL_CONTROL'!$C$4, '1_PANEL_CONTROL'!$C$118, '1_PANEL_CONTROL'!$C$119, '1_PANEL_CONTROL'!$C$120)*CHOOSE('1_PANEL_CONTROL'!$C$4, '1_PANEL_CONTROL'!$C$124, '1_PANEL_CONTROL'!$C$125, '1_PANEL_CONTROL'!$C$126)*'1_PANEL_CONTROL'!$C$127</f>
        <v>1248.25</v>
      </c>
      <c r="L27" s="33">
        <f>L19*'1_PANEL_CONTROL'!$C$128+L16*CHOOSE('1_PANEL_CONTROL'!$C$4, '1_PANEL_CONTROL'!$C$118, '1_PANEL_CONTROL'!$C$119, '1_PANEL_CONTROL'!$C$120)*CHOOSE('1_PANEL_CONTROL'!$C$4, '1_PANEL_CONTROL'!$C$121, '1_PANEL_CONTROL'!$C$122, '1_PANEL_CONTROL'!$C$123)+L16*CHOOSE('1_PANEL_CONTROL'!$C$4, '1_PANEL_CONTROL'!$C$118, '1_PANEL_CONTROL'!$C$119, '1_PANEL_CONTROL'!$C$120)*CHOOSE('1_PANEL_CONTROL'!$C$4, '1_PANEL_CONTROL'!$C$124, '1_PANEL_CONTROL'!$C$125, '1_PANEL_CONTROL'!$C$126)*'1_PANEL_CONTROL'!$C$127</f>
        <v>1390</v>
      </c>
      <c r="M27" s="33">
        <f>M19*'1_PANEL_CONTROL'!$C$128+M16*CHOOSE('1_PANEL_CONTROL'!$C$4, '1_PANEL_CONTROL'!$C$118, '1_PANEL_CONTROL'!$C$119, '1_PANEL_CONTROL'!$C$120)*CHOOSE('1_PANEL_CONTROL'!$C$4, '1_PANEL_CONTROL'!$C$121, '1_PANEL_CONTROL'!$C$122, '1_PANEL_CONTROL'!$C$123)+M16*CHOOSE('1_PANEL_CONTROL'!$C$4, '1_PANEL_CONTROL'!$C$118, '1_PANEL_CONTROL'!$C$119, '1_PANEL_CONTROL'!$C$120)*CHOOSE('1_PANEL_CONTROL'!$C$4, '1_PANEL_CONTROL'!$C$124, '1_PANEL_CONTROL'!$C$125, '1_PANEL_CONTROL'!$C$126)*'1_PANEL_CONTROL'!$C$127</f>
        <v>1536.75</v>
      </c>
      <c r="N27" s="33">
        <f>N19*'1_PANEL_CONTROL'!$C$128+N16*CHOOSE('1_PANEL_CONTROL'!$C$4, '1_PANEL_CONTROL'!$C$118, '1_PANEL_CONTROL'!$C$119, '1_PANEL_CONTROL'!$C$120)*CHOOSE('1_PANEL_CONTROL'!$C$4, '1_PANEL_CONTROL'!$C$121, '1_PANEL_CONTROL'!$C$122, '1_PANEL_CONTROL'!$C$123)+N16*CHOOSE('1_PANEL_CONTROL'!$C$4, '1_PANEL_CONTROL'!$C$118, '1_PANEL_CONTROL'!$C$119, '1_PANEL_CONTROL'!$C$120)*CHOOSE('1_PANEL_CONTROL'!$C$4, '1_PANEL_CONTROL'!$C$124, '1_PANEL_CONTROL'!$C$125, '1_PANEL_CONTROL'!$C$126)*'1_PANEL_CONTROL'!$C$127</f>
        <v>1702.125</v>
      </c>
      <c r="O27" s="33">
        <f>O19*'1_PANEL_CONTROL'!$C$128+O16*CHOOSE('1_PANEL_CONTROL'!$C$4, '1_PANEL_CONTROL'!$C$118, '1_PANEL_CONTROL'!$C$119, '1_PANEL_CONTROL'!$C$120)*CHOOSE('1_PANEL_CONTROL'!$C$4, '1_PANEL_CONTROL'!$C$121, '1_PANEL_CONTROL'!$C$122, '1_PANEL_CONTROL'!$C$123)+O16*CHOOSE('1_PANEL_CONTROL'!$C$4, '1_PANEL_CONTROL'!$C$118, '1_PANEL_CONTROL'!$C$119, '1_PANEL_CONTROL'!$C$120)*CHOOSE('1_PANEL_CONTROL'!$C$4, '1_PANEL_CONTROL'!$C$124, '1_PANEL_CONTROL'!$C$125, '1_PANEL_CONTROL'!$C$126)*'1_PANEL_CONTROL'!$C$127</f>
        <v>1867.5</v>
      </c>
      <c r="P27" s="33">
        <f>P19*'1_PANEL_CONTROL'!$C$128+P16*CHOOSE('1_PANEL_CONTROL'!$C$4, '1_PANEL_CONTROL'!$C$118, '1_PANEL_CONTROL'!$C$119, '1_PANEL_CONTROL'!$C$120)*CHOOSE('1_PANEL_CONTROL'!$C$4, '1_PANEL_CONTROL'!$C$121, '1_PANEL_CONTROL'!$C$122, '1_PANEL_CONTROL'!$C$123)+P16*CHOOSE('1_PANEL_CONTROL'!$C$4, '1_PANEL_CONTROL'!$C$118, '1_PANEL_CONTROL'!$C$119, '1_PANEL_CONTROL'!$C$120)*CHOOSE('1_PANEL_CONTROL'!$C$4, '1_PANEL_CONTROL'!$C$124, '1_PANEL_CONTROL'!$C$125, '1_PANEL_CONTROL'!$C$126)*'1_PANEL_CONTROL'!$C$127</f>
        <v>2042.875</v>
      </c>
      <c r="Q27" s="33">
        <f>Q19*'1_PANEL_CONTROL'!$C$128+Q16*CHOOSE('1_PANEL_CONTROL'!$C$4, '1_PANEL_CONTROL'!$C$118, '1_PANEL_CONTROL'!$C$119, '1_PANEL_CONTROL'!$C$120)*CHOOSE('1_PANEL_CONTROL'!$C$4, '1_PANEL_CONTROL'!$C$121, '1_PANEL_CONTROL'!$C$122, '1_PANEL_CONTROL'!$C$123)+Q16*CHOOSE('1_PANEL_CONTROL'!$C$4, '1_PANEL_CONTROL'!$C$118, '1_PANEL_CONTROL'!$C$119, '1_PANEL_CONTROL'!$C$120)*CHOOSE('1_PANEL_CONTROL'!$C$4, '1_PANEL_CONTROL'!$C$124, '1_PANEL_CONTROL'!$C$125, '1_PANEL_CONTROL'!$C$126)*'1_PANEL_CONTROL'!$C$127</f>
        <v>2226.875</v>
      </c>
      <c r="R27" s="33">
        <f>R19*'1_PANEL_CONTROL'!$C$128+R16*CHOOSE('1_PANEL_CONTROL'!$C$4, '1_PANEL_CONTROL'!$C$118, '1_PANEL_CONTROL'!$C$119, '1_PANEL_CONTROL'!$C$120)*CHOOSE('1_PANEL_CONTROL'!$C$4, '1_PANEL_CONTROL'!$C$121, '1_PANEL_CONTROL'!$C$122, '1_PANEL_CONTROL'!$C$123)+R16*CHOOSE('1_PANEL_CONTROL'!$C$4, '1_PANEL_CONTROL'!$C$118, '1_PANEL_CONTROL'!$C$119, '1_PANEL_CONTROL'!$C$120)*CHOOSE('1_PANEL_CONTROL'!$C$4, '1_PANEL_CONTROL'!$C$124, '1_PANEL_CONTROL'!$C$125, '1_PANEL_CONTROL'!$C$126)*'1_PANEL_CONTROL'!$C$127</f>
        <v>2429.5</v>
      </c>
      <c r="S27" s="33">
        <f>S19*'1_PANEL_CONTROL'!$C$128+S16*CHOOSE('1_PANEL_CONTROL'!$C$4, '1_PANEL_CONTROL'!$C$118, '1_PANEL_CONTROL'!$C$119, '1_PANEL_CONTROL'!$C$120)*CHOOSE('1_PANEL_CONTROL'!$C$4, '1_PANEL_CONTROL'!$C$121, '1_PANEL_CONTROL'!$C$122, '1_PANEL_CONTROL'!$C$123)+S16*CHOOSE('1_PANEL_CONTROL'!$C$4, '1_PANEL_CONTROL'!$C$118, '1_PANEL_CONTROL'!$C$119, '1_PANEL_CONTROL'!$C$120)*CHOOSE('1_PANEL_CONTROL'!$C$4, '1_PANEL_CONTROL'!$C$124, '1_PANEL_CONTROL'!$C$125, '1_PANEL_CONTROL'!$C$126)*'1_PANEL_CONTROL'!$C$127</f>
        <v>2650.75</v>
      </c>
      <c r="T27" s="33">
        <f>T19*'1_PANEL_CONTROL'!$C$128+T16*CHOOSE('1_PANEL_CONTROL'!$C$4, '1_PANEL_CONTROL'!$C$118, '1_PANEL_CONTROL'!$C$119, '1_PANEL_CONTROL'!$C$120)*CHOOSE('1_PANEL_CONTROL'!$C$4, '1_PANEL_CONTROL'!$C$121, '1_PANEL_CONTROL'!$C$122, '1_PANEL_CONTROL'!$C$123)+T16*CHOOSE('1_PANEL_CONTROL'!$C$4, '1_PANEL_CONTROL'!$C$118, '1_PANEL_CONTROL'!$C$119, '1_PANEL_CONTROL'!$C$120)*CHOOSE('1_PANEL_CONTROL'!$C$4, '1_PANEL_CONTROL'!$C$124, '1_PANEL_CONTROL'!$C$125, '1_PANEL_CONTROL'!$C$126)*'1_PANEL_CONTROL'!$C$127</f>
        <v>2882</v>
      </c>
      <c r="U27" s="33">
        <f>U19*'1_PANEL_CONTROL'!$C$128+U16*CHOOSE('1_PANEL_CONTROL'!$C$4, '1_PANEL_CONTROL'!$C$118, '1_PANEL_CONTROL'!$C$119, '1_PANEL_CONTROL'!$C$120)*CHOOSE('1_PANEL_CONTROL'!$C$4, '1_PANEL_CONTROL'!$C$121, '1_PANEL_CONTROL'!$C$122, '1_PANEL_CONTROL'!$C$123)+U16*CHOOSE('1_PANEL_CONTROL'!$C$4, '1_PANEL_CONTROL'!$C$118, '1_PANEL_CONTROL'!$C$119, '1_PANEL_CONTROL'!$C$120)*CHOOSE('1_PANEL_CONTROL'!$C$4, '1_PANEL_CONTROL'!$C$124, '1_PANEL_CONTROL'!$C$125, '1_PANEL_CONTROL'!$C$126)*'1_PANEL_CONTROL'!$C$127</f>
        <v>3131.875</v>
      </c>
      <c r="V27" s="33">
        <f>V19*'1_PANEL_CONTROL'!$C$128+V16*CHOOSE('1_PANEL_CONTROL'!$C$4, '1_PANEL_CONTROL'!$C$118, '1_PANEL_CONTROL'!$C$119, '1_PANEL_CONTROL'!$C$120)*CHOOSE('1_PANEL_CONTROL'!$C$4, '1_PANEL_CONTROL'!$C$121, '1_PANEL_CONTROL'!$C$122, '1_PANEL_CONTROL'!$C$123)+V16*CHOOSE('1_PANEL_CONTROL'!$C$4, '1_PANEL_CONTROL'!$C$118, '1_PANEL_CONTROL'!$C$119, '1_PANEL_CONTROL'!$C$120)*CHOOSE('1_PANEL_CONTROL'!$C$4, '1_PANEL_CONTROL'!$C$124, '1_PANEL_CONTROL'!$C$125, '1_PANEL_CONTROL'!$C$126)*'1_PANEL_CONTROL'!$C$127</f>
        <v>3400.375</v>
      </c>
      <c r="W27" s="33">
        <f>W19*'1_PANEL_CONTROL'!$C$128+W16*CHOOSE('1_PANEL_CONTROL'!$C$4, '1_PANEL_CONTROL'!$C$118, '1_PANEL_CONTROL'!$C$119, '1_PANEL_CONTROL'!$C$120)*CHOOSE('1_PANEL_CONTROL'!$C$4, '1_PANEL_CONTROL'!$C$121, '1_PANEL_CONTROL'!$C$122, '1_PANEL_CONTROL'!$C$123)+W16*CHOOSE('1_PANEL_CONTROL'!$C$4, '1_PANEL_CONTROL'!$C$118, '1_PANEL_CONTROL'!$C$119, '1_PANEL_CONTROL'!$C$120)*CHOOSE('1_PANEL_CONTROL'!$C$4, '1_PANEL_CONTROL'!$C$124, '1_PANEL_CONTROL'!$C$125, '1_PANEL_CONTROL'!$C$126)*'1_PANEL_CONTROL'!$C$127</f>
        <v>3687.5</v>
      </c>
      <c r="X27" s="33">
        <f>X19*'1_PANEL_CONTROL'!$C$128+X16*CHOOSE('1_PANEL_CONTROL'!$C$4, '1_PANEL_CONTROL'!$C$118, '1_PANEL_CONTROL'!$C$119, '1_PANEL_CONTROL'!$C$120)*CHOOSE('1_PANEL_CONTROL'!$C$4, '1_PANEL_CONTROL'!$C$121, '1_PANEL_CONTROL'!$C$122, '1_PANEL_CONTROL'!$C$123)+X16*CHOOSE('1_PANEL_CONTROL'!$C$4, '1_PANEL_CONTROL'!$C$118, '1_PANEL_CONTROL'!$C$119, '1_PANEL_CONTROL'!$C$120)*CHOOSE('1_PANEL_CONTROL'!$C$4, '1_PANEL_CONTROL'!$C$124, '1_PANEL_CONTROL'!$C$125, '1_PANEL_CONTROL'!$C$126)*'1_PANEL_CONTROL'!$C$127</f>
        <v>3998.25</v>
      </c>
      <c r="Y27" s="33">
        <f>Y19*'1_PANEL_CONTROL'!$C$128+Y16*CHOOSE('1_PANEL_CONTROL'!$C$4, '1_PANEL_CONTROL'!$C$118, '1_PANEL_CONTROL'!$C$119, '1_PANEL_CONTROL'!$C$120)*CHOOSE('1_PANEL_CONTROL'!$C$4, '1_PANEL_CONTROL'!$C$121, '1_PANEL_CONTROL'!$C$122, '1_PANEL_CONTROL'!$C$123)+Y16*CHOOSE('1_PANEL_CONTROL'!$C$4, '1_PANEL_CONTROL'!$C$118, '1_PANEL_CONTROL'!$C$119, '1_PANEL_CONTROL'!$C$120)*CHOOSE('1_PANEL_CONTROL'!$C$4, '1_PANEL_CONTROL'!$C$124, '1_PANEL_CONTROL'!$C$125, '1_PANEL_CONTROL'!$C$126)*'1_PANEL_CONTROL'!$C$127</f>
        <v>4327.625</v>
      </c>
      <c r="Z27" s="33">
        <f>Z19*'1_PANEL_CONTROL'!$C$128+Z16*CHOOSE('1_PANEL_CONTROL'!$C$4, '1_PANEL_CONTROL'!$C$118, '1_PANEL_CONTROL'!$C$119, '1_PANEL_CONTROL'!$C$120)*CHOOSE('1_PANEL_CONTROL'!$C$4, '1_PANEL_CONTROL'!$C$121, '1_PANEL_CONTROL'!$C$122, '1_PANEL_CONTROL'!$C$123)+Z16*CHOOSE('1_PANEL_CONTROL'!$C$4, '1_PANEL_CONTROL'!$C$118, '1_PANEL_CONTROL'!$C$119, '1_PANEL_CONTROL'!$C$120)*CHOOSE('1_PANEL_CONTROL'!$C$4, '1_PANEL_CONTROL'!$C$124, '1_PANEL_CONTROL'!$C$125, '1_PANEL_CONTROL'!$C$126)*'1_PANEL_CONTROL'!$C$127</f>
        <v>4680.625</v>
      </c>
      <c r="AA27" s="33">
        <f>AA19*'1_PANEL_CONTROL'!$C$128+AA16*CHOOSE('1_PANEL_CONTROL'!$C$4, '1_PANEL_CONTROL'!$C$118, '1_PANEL_CONTROL'!$C$119, '1_PANEL_CONTROL'!$C$120)*CHOOSE('1_PANEL_CONTROL'!$C$4, '1_PANEL_CONTROL'!$C$121, '1_PANEL_CONTROL'!$C$122, '1_PANEL_CONTROL'!$C$123)+AA16*CHOOSE('1_PANEL_CONTROL'!$C$4, '1_PANEL_CONTROL'!$C$118, '1_PANEL_CONTROL'!$C$119, '1_PANEL_CONTROL'!$C$120)*CHOOSE('1_PANEL_CONTROL'!$C$4, '1_PANEL_CONTROL'!$C$124, '1_PANEL_CONTROL'!$C$125, '1_PANEL_CONTROL'!$C$126)*'1_PANEL_CONTROL'!$C$127</f>
        <v>5070.875</v>
      </c>
      <c r="AB27" s="33">
        <f>AB19*'1_PANEL_CONTROL'!$C$128+AB16*CHOOSE('1_PANEL_CONTROL'!$C$4, '1_PANEL_CONTROL'!$C$118, '1_PANEL_CONTROL'!$C$119, '1_PANEL_CONTROL'!$C$120)*CHOOSE('1_PANEL_CONTROL'!$C$4, '1_PANEL_CONTROL'!$C$121, '1_PANEL_CONTROL'!$C$122, '1_PANEL_CONTROL'!$C$123)+AB16*CHOOSE('1_PANEL_CONTROL'!$C$4, '1_PANEL_CONTROL'!$C$118, '1_PANEL_CONTROL'!$C$119, '1_PANEL_CONTROL'!$C$120)*CHOOSE('1_PANEL_CONTROL'!$C$4, '1_PANEL_CONTROL'!$C$124, '1_PANEL_CONTROL'!$C$125, '1_PANEL_CONTROL'!$C$126)*'1_PANEL_CONTROL'!$C$127</f>
        <v>5484.75</v>
      </c>
      <c r="AC27" s="33">
        <f>AC19*'1_PANEL_CONTROL'!$C$128+AC16*CHOOSE('1_PANEL_CONTROL'!$C$4, '1_PANEL_CONTROL'!$C$118, '1_PANEL_CONTROL'!$C$119, '1_PANEL_CONTROL'!$C$120)*CHOOSE('1_PANEL_CONTROL'!$C$4, '1_PANEL_CONTROL'!$C$121, '1_PANEL_CONTROL'!$C$122, '1_PANEL_CONTROL'!$C$123)+AC16*CHOOSE('1_PANEL_CONTROL'!$C$4, '1_PANEL_CONTROL'!$C$118, '1_PANEL_CONTROL'!$C$119, '1_PANEL_CONTROL'!$C$120)*CHOOSE('1_PANEL_CONTROL'!$C$4, '1_PANEL_CONTROL'!$C$124, '1_PANEL_CONTROL'!$C$125, '1_PANEL_CONTROL'!$C$126)*'1_PANEL_CONTROL'!$C$127</f>
        <v>5935.875</v>
      </c>
      <c r="AD27" s="33">
        <f>AD19*'1_PANEL_CONTROL'!$C$128+AD16*CHOOSE('1_PANEL_CONTROL'!$C$4, '1_PANEL_CONTROL'!$C$118, '1_PANEL_CONTROL'!$C$119, '1_PANEL_CONTROL'!$C$120)*CHOOSE('1_PANEL_CONTROL'!$C$4, '1_PANEL_CONTROL'!$C$121, '1_PANEL_CONTROL'!$C$122, '1_PANEL_CONTROL'!$C$123)+AD16*CHOOSE('1_PANEL_CONTROL'!$C$4, '1_PANEL_CONTROL'!$C$118, '1_PANEL_CONTROL'!$C$119, '1_PANEL_CONTROL'!$C$120)*CHOOSE('1_PANEL_CONTROL'!$C$4, '1_PANEL_CONTROL'!$C$124, '1_PANEL_CONTROL'!$C$125, '1_PANEL_CONTROL'!$C$126)*'1_PANEL_CONTROL'!$C$127</f>
        <v>6415.625</v>
      </c>
      <c r="AE27" s="33">
        <f>AE19*'1_PANEL_CONTROL'!$C$128+AE16*CHOOSE('1_PANEL_CONTROL'!$C$4, '1_PANEL_CONTROL'!$C$118, '1_PANEL_CONTROL'!$C$119, '1_PANEL_CONTROL'!$C$120)*CHOOSE('1_PANEL_CONTROL'!$C$4, '1_PANEL_CONTROL'!$C$121, '1_PANEL_CONTROL'!$C$122, '1_PANEL_CONTROL'!$C$123)+AE16*CHOOSE('1_PANEL_CONTROL'!$C$4, '1_PANEL_CONTROL'!$C$118, '1_PANEL_CONTROL'!$C$119, '1_PANEL_CONTROL'!$C$120)*CHOOSE('1_PANEL_CONTROL'!$C$4, '1_PANEL_CONTROL'!$C$124, '1_PANEL_CONTROL'!$C$125, '1_PANEL_CONTROL'!$C$126)*'1_PANEL_CONTROL'!$C$127</f>
        <v>6932.625</v>
      </c>
      <c r="AF27" s="33">
        <f>AF19*'1_PANEL_CONTROL'!$C$128+AF16*CHOOSE('1_PANEL_CONTROL'!$C$4, '1_PANEL_CONTROL'!$C$118, '1_PANEL_CONTROL'!$C$119, '1_PANEL_CONTROL'!$C$120)*CHOOSE('1_PANEL_CONTROL'!$C$4, '1_PANEL_CONTROL'!$C$121, '1_PANEL_CONTROL'!$C$122, '1_PANEL_CONTROL'!$C$123)+AF16*CHOOSE('1_PANEL_CONTROL'!$C$4, '1_PANEL_CONTROL'!$C$118, '1_PANEL_CONTROL'!$C$119, '1_PANEL_CONTROL'!$C$120)*CHOOSE('1_PANEL_CONTROL'!$C$4, '1_PANEL_CONTROL'!$C$124, '1_PANEL_CONTROL'!$C$125, '1_PANEL_CONTROL'!$C$126)*'1_PANEL_CONTROL'!$C$127</f>
        <v>7496.875</v>
      </c>
      <c r="AG27" s="33">
        <f>AG19*'1_PANEL_CONTROL'!$C$128+AG16*CHOOSE('1_PANEL_CONTROL'!$C$4, '1_PANEL_CONTROL'!$C$118, '1_PANEL_CONTROL'!$C$119, '1_PANEL_CONTROL'!$C$120)*CHOOSE('1_PANEL_CONTROL'!$C$4, '1_PANEL_CONTROL'!$C$121, '1_PANEL_CONTROL'!$C$122, '1_PANEL_CONTROL'!$C$123)+AG16*CHOOSE('1_PANEL_CONTROL'!$C$4, '1_PANEL_CONTROL'!$C$118, '1_PANEL_CONTROL'!$C$119, '1_PANEL_CONTROL'!$C$120)*CHOOSE('1_PANEL_CONTROL'!$C$4, '1_PANEL_CONTROL'!$C$124, '1_PANEL_CONTROL'!$C$125, '1_PANEL_CONTROL'!$C$126)*'1_PANEL_CONTROL'!$C$127</f>
        <v>8098.375</v>
      </c>
      <c r="AH27" s="33">
        <f>AH19*'1_PANEL_CONTROL'!$C$128+AH16*CHOOSE('1_PANEL_CONTROL'!$C$4, '1_PANEL_CONTROL'!$C$118, '1_PANEL_CONTROL'!$C$119, '1_PANEL_CONTROL'!$C$120)*CHOOSE('1_PANEL_CONTROL'!$C$4, '1_PANEL_CONTROL'!$C$121, '1_PANEL_CONTROL'!$C$122, '1_PANEL_CONTROL'!$C$123)+AH16*CHOOSE('1_PANEL_CONTROL'!$C$4, '1_PANEL_CONTROL'!$C$118, '1_PANEL_CONTROL'!$C$119, '1_PANEL_CONTROL'!$C$120)*CHOOSE('1_PANEL_CONTROL'!$C$4, '1_PANEL_CONTROL'!$C$124, '1_PANEL_CONTROL'!$C$125, '1_PANEL_CONTROL'!$C$126)*'1_PANEL_CONTROL'!$C$127</f>
        <v>8747.125</v>
      </c>
      <c r="AI27" s="33">
        <f>AI19*'1_PANEL_CONTROL'!$C$128+AI16*CHOOSE('1_PANEL_CONTROL'!$C$4, '1_PANEL_CONTROL'!$C$118, '1_PANEL_CONTROL'!$C$119, '1_PANEL_CONTROL'!$C$120)*CHOOSE('1_PANEL_CONTROL'!$C$4, '1_PANEL_CONTROL'!$C$121, '1_PANEL_CONTROL'!$C$122, '1_PANEL_CONTROL'!$C$123)+AI16*CHOOSE('1_PANEL_CONTROL'!$C$4, '1_PANEL_CONTROL'!$C$118, '1_PANEL_CONTROL'!$C$119, '1_PANEL_CONTROL'!$C$120)*CHOOSE('1_PANEL_CONTROL'!$C$4, '1_PANEL_CONTROL'!$C$124, '1_PANEL_CONTROL'!$C$125, '1_PANEL_CONTROL'!$C$126)*'1_PANEL_CONTROL'!$C$127</f>
        <v>9451.75</v>
      </c>
      <c r="AJ27" s="33">
        <f>AJ19*'1_PANEL_CONTROL'!$C$128+AJ16*CHOOSE('1_PANEL_CONTROL'!$C$4, '1_PANEL_CONTROL'!$C$118, '1_PANEL_CONTROL'!$C$119, '1_PANEL_CONTROL'!$C$120)*CHOOSE('1_PANEL_CONTROL'!$C$4, '1_PANEL_CONTROL'!$C$121, '1_PANEL_CONTROL'!$C$122, '1_PANEL_CONTROL'!$C$123)+AJ16*CHOOSE('1_PANEL_CONTROL'!$C$4, '1_PANEL_CONTROL'!$C$118, '1_PANEL_CONTROL'!$C$119, '1_PANEL_CONTROL'!$C$120)*CHOOSE('1_PANEL_CONTROL'!$C$4, '1_PANEL_CONTROL'!$C$124, '1_PANEL_CONTROL'!$C$125, '1_PANEL_CONTROL'!$C$126)*'1_PANEL_CONTROL'!$C$127</f>
        <v>10203.625</v>
      </c>
      <c r="AK27" s="33">
        <f>AK19*'1_PANEL_CONTROL'!$C$128+AK16*CHOOSE('1_PANEL_CONTROL'!$C$4, '1_PANEL_CONTROL'!$C$118, '1_PANEL_CONTROL'!$C$119, '1_PANEL_CONTROL'!$C$120)*CHOOSE('1_PANEL_CONTROL'!$C$4, '1_PANEL_CONTROL'!$C$121, '1_PANEL_CONTROL'!$C$122, '1_PANEL_CONTROL'!$C$123)+AK16*CHOOSE('1_PANEL_CONTROL'!$C$4, '1_PANEL_CONTROL'!$C$118, '1_PANEL_CONTROL'!$C$119, '1_PANEL_CONTROL'!$C$120)*CHOOSE('1_PANEL_CONTROL'!$C$4, '1_PANEL_CONTROL'!$C$124, '1_PANEL_CONTROL'!$C$125, '1_PANEL_CONTROL'!$C$126)*'1_PANEL_CONTROL'!$C$127</f>
        <v>11021.375</v>
      </c>
      <c r="AL27" s="33">
        <f>AL19*'1_PANEL_CONTROL'!$C$128+AL16*CHOOSE('1_PANEL_CONTROL'!$C$4, '1_PANEL_CONTROL'!$C$118, '1_PANEL_CONTROL'!$C$119, '1_PANEL_CONTROL'!$C$120)*CHOOSE('1_PANEL_CONTROL'!$C$4, '1_PANEL_CONTROL'!$C$121, '1_PANEL_CONTROL'!$C$122, '1_PANEL_CONTROL'!$C$123)+AL16*CHOOSE('1_PANEL_CONTROL'!$C$4, '1_PANEL_CONTROL'!$C$118, '1_PANEL_CONTROL'!$C$119, '1_PANEL_CONTROL'!$C$120)*CHOOSE('1_PANEL_CONTROL'!$C$4, '1_PANEL_CONTROL'!$C$124, '1_PANEL_CONTROL'!$C$125, '1_PANEL_CONTROL'!$C$126)*'1_PANEL_CONTROL'!$C$127</f>
        <v>11900</v>
      </c>
      <c r="AM27" s="33">
        <f>AM19*'1_PANEL_CONTROL'!$C$128+AM16*CHOOSE('1_PANEL_CONTROL'!$C$4, '1_PANEL_CONTROL'!$C$118, '1_PANEL_CONTROL'!$C$119, '1_PANEL_CONTROL'!$C$120)*CHOOSE('1_PANEL_CONTROL'!$C$4, '1_PANEL_CONTROL'!$C$121, '1_PANEL_CONTROL'!$C$122, '1_PANEL_CONTROL'!$C$123)+AM16*CHOOSE('1_PANEL_CONTROL'!$C$4, '1_PANEL_CONTROL'!$C$118, '1_PANEL_CONTROL'!$C$119, '1_PANEL_CONTROL'!$C$120)*CHOOSE('1_PANEL_CONTROL'!$C$4, '1_PANEL_CONTROL'!$C$124, '1_PANEL_CONTROL'!$C$125, '1_PANEL_CONTROL'!$C$126)*'1_PANEL_CONTROL'!$C$127</f>
        <v>12849.5</v>
      </c>
      <c r="AN27" s="33">
        <f>AN19*'1_PANEL_CONTROL'!$C$128+AN16*CHOOSE('1_PANEL_CONTROL'!$C$4, '1_PANEL_CONTROL'!$C$118, '1_PANEL_CONTROL'!$C$119, '1_PANEL_CONTROL'!$C$120)*CHOOSE('1_PANEL_CONTROL'!$C$4, '1_PANEL_CONTROL'!$C$121, '1_PANEL_CONTROL'!$C$122, '1_PANEL_CONTROL'!$C$123)+AN16*CHOOSE('1_PANEL_CONTROL'!$C$4, '1_PANEL_CONTROL'!$C$118, '1_PANEL_CONTROL'!$C$119, '1_PANEL_CONTROL'!$C$120)*CHOOSE('1_PANEL_CONTROL'!$C$4, '1_PANEL_CONTROL'!$C$124, '1_PANEL_CONTROL'!$C$125, '1_PANEL_CONTROL'!$C$126)*'1_PANEL_CONTROL'!$C$127</f>
        <v>13873.5</v>
      </c>
      <c r="AO27" s="33">
        <f>AO19*'1_PANEL_CONTROL'!$C$128+AO16*CHOOSE('1_PANEL_CONTROL'!$C$4, '1_PANEL_CONTROL'!$C$118, '1_PANEL_CONTROL'!$C$119, '1_PANEL_CONTROL'!$C$120)*CHOOSE('1_PANEL_CONTROL'!$C$4, '1_PANEL_CONTROL'!$C$121, '1_PANEL_CONTROL'!$C$122, '1_PANEL_CONTROL'!$C$123)+AO16*CHOOSE('1_PANEL_CONTROL'!$C$4, '1_PANEL_CONTROL'!$C$118, '1_PANEL_CONTROL'!$C$119, '1_PANEL_CONTROL'!$C$120)*CHOOSE('1_PANEL_CONTROL'!$C$4, '1_PANEL_CONTROL'!$C$124, '1_PANEL_CONTROL'!$C$125, '1_PANEL_CONTROL'!$C$126)*'1_PANEL_CONTROL'!$C$127</f>
        <v>14982</v>
      </c>
      <c r="AP27" s="33">
        <f>AP19*'1_PANEL_CONTROL'!$C$128+AP16*CHOOSE('1_PANEL_CONTROL'!$C$4, '1_PANEL_CONTROL'!$C$118, '1_PANEL_CONTROL'!$C$119, '1_PANEL_CONTROL'!$C$120)*CHOOSE('1_PANEL_CONTROL'!$C$4, '1_PANEL_CONTROL'!$C$121, '1_PANEL_CONTROL'!$C$122, '1_PANEL_CONTROL'!$C$123)+AP16*CHOOSE('1_PANEL_CONTROL'!$C$4, '1_PANEL_CONTROL'!$C$118, '1_PANEL_CONTROL'!$C$119, '1_PANEL_CONTROL'!$C$120)*CHOOSE('1_PANEL_CONTROL'!$C$4, '1_PANEL_CONTROL'!$C$124, '1_PANEL_CONTROL'!$C$125, '1_PANEL_CONTROL'!$C$126)*'1_PANEL_CONTROL'!$C$127</f>
        <v>16180</v>
      </c>
      <c r="AQ27" s="33">
        <f>AQ19*'1_PANEL_CONTROL'!$C$128+AQ16*CHOOSE('1_PANEL_CONTROL'!$C$4, '1_PANEL_CONTROL'!$C$118, '1_PANEL_CONTROL'!$C$119, '1_PANEL_CONTROL'!$C$120)*CHOOSE('1_PANEL_CONTROL'!$C$4, '1_PANEL_CONTROL'!$C$121, '1_PANEL_CONTROL'!$C$122, '1_PANEL_CONTROL'!$C$123)+AQ16*CHOOSE('1_PANEL_CONTROL'!$C$4, '1_PANEL_CONTROL'!$C$118, '1_PANEL_CONTROL'!$C$119, '1_PANEL_CONTROL'!$C$120)*CHOOSE('1_PANEL_CONTROL'!$C$4, '1_PANEL_CONTROL'!$C$124, '1_PANEL_CONTROL'!$C$125, '1_PANEL_CONTROL'!$C$126)*'1_PANEL_CONTROL'!$C$127</f>
        <v>17462.5</v>
      </c>
      <c r="AR27" s="33">
        <f>AR19*'1_PANEL_CONTROL'!$C$128+AR16*CHOOSE('1_PANEL_CONTROL'!$C$4, '1_PANEL_CONTROL'!$C$118, '1_PANEL_CONTROL'!$C$119, '1_PANEL_CONTROL'!$C$120)*CHOOSE('1_PANEL_CONTROL'!$C$4, '1_PANEL_CONTROL'!$C$121, '1_PANEL_CONTROL'!$C$122, '1_PANEL_CONTROL'!$C$123)+AR16*CHOOSE('1_PANEL_CONTROL'!$C$4, '1_PANEL_CONTROL'!$C$118, '1_PANEL_CONTROL'!$C$119, '1_PANEL_CONTROL'!$C$120)*CHOOSE('1_PANEL_CONTROL'!$C$4, '1_PANEL_CONTROL'!$C$124, '1_PANEL_CONTROL'!$C$125, '1_PANEL_CONTROL'!$C$126)*'1_PANEL_CONTROL'!$C$127</f>
        <v>18861.75</v>
      </c>
      <c r="AS27" s="33">
        <f>AS19*'1_PANEL_CONTROL'!$C$128+AS16*CHOOSE('1_PANEL_CONTROL'!$C$4, '1_PANEL_CONTROL'!$C$118, '1_PANEL_CONTROL'!$C$119, '1_PANEL_CONTROL'!$C$120)*CHOOSE('1_PANEL_CONTROL'!$C$4, '1_PANEL_CONTROL'!$C$121, '1_PANEL_CONTROL'!$C$122, '1_PANEL_CONTROL'!$C$123)+AS16*CHOOSE('1_PANEL_CONTROL'!$C$4, '1_PANEL_CONTROL'!$C$118, '1_PANEL_CONTROL'!$C$119, '1_PANEL_CONTROL'!$C$120)*CHOOSE('1_PANEL_CONTROL'!$C$4, '1_PANEL_CONTROL'!$C$124, '1_PANEL_CONTROL'!$C$125, '1_PANEL_CONTROL'!$C$126)*'1_PANEL_CONTROL'!$C$127</f>
        <v>20360.5</v>
      </c>
      <c r="AT27" s="33">
        <f>AT19*'1_PANEL_CONTROL'!$C$128+AT16*CHOOSE('1_PANEL_CONTROL'!$C$4, '1_PANEL_CONTROL'!$C$118, '1_PANEL_CONTROL'!$C$119, '1_PANEL_CONTROL'!$C$120)*CHOOSE('1_PANEL_CONTROL'!$C$4, '1_PANEL_CONTROL'!$C$121, '1_PANEL_CONTROL'!$C$122, '1_PANEL_CONTROL'!$C$123)+AT16*CHOOSE('1_PANEL_CONTROL'!$C$4, '1_PANEL_CONTROL'!$C$118, '1_PANEL_CONTROL'!$C$119, '1_PANEL_CONTROL'!$C$120)*CHOOSE('1_PANEL_CONTROL'!$C$4, '1_PANEL_CONTROL'!$C$124, '1_PANEL_CONTROL'!$C$125, '1_PANEL_CONTROL'!$C$126)*'1_PANEL_CONTROL'!$C$127</f>
        <v>21986</v>
      </c>
      <c r="AU27" s="33">
        <f>AU19*'1_PANEL_CONTROL'!$C$128+AU16*CHOOSE('1_PANEL_CONTROL'!$C$4, '1_PANEL_CONTROL'!$C$118, '1_PANEL_CONTROL'!$C$119, '1_PANEL_CONTROL'!$C$120)*CHOOSE('1_PANEL_CONTROL'!$C$4, '1_PANEL_CONTROL'!$C$121, '1_PANEL_CONTROL'!$C$122, '1_PANEL_CONTROL'!$C$123)+AU16*CHOOSE('1_PANEL_CONTROL'!$C$4, '1_PANEL_CONTROL'!$C$118, '1_PANEL_CONTROL'!$C$119, '1_PANEL_CONTROL'!$C$120)*CHOOSE('1_PANEL_CONTROL'!$C$4, '1_PANEL_CONTROL'!$C$124, '1_PANEL_CONTROL'!$C$125, '1_PANEL_CONTROL'!$C$126)*'1_PANEL_CONTROL'!$C$127</f>
        <v>23733.25</v>
      </c>
      <c r="AV27" s="33">
        <f>AV19*'1_PANEL_CONTROL'!$C$128+AV16*CHOOSE('1_PANEL_CONTROL'!$C$4, '1_PANEL_CONTROL'!$C$118, '1_PANEL_CONTROL'!$C$119, '1_PANEL_CONTROL'!$C$120)*CHOOSE('1_PANEL_CONTROL'!$C$4, '1_PANEL_CONTROL'!$C$121, '1_PANEL_CONTROL'!$C$122, '1_PANEL_CONTROL'!$C$123)+AV16*CHOOSE('1_PANEL_CONTROL'!$C$4, '1_PANEL_CONTROL'!$C$118, '1_PANEL_CONTROL'!$C$119, '1_PANEL_CONTROL'!$C$120)*CHOOSE('1_PANEL_CONTROL'!$C$4, '1_PANEL_CONTROL'!$C$124, '1_PANEL_CONTROL'!$C$125, '1_PANEL_CONTROL'!$C$126)*'1_PANEL_CONTROL'!$C$127</f>
        <v>25625.875</v>
      </c>
      <c r="AW27" s="33">
        <f>AW19*'1_PANEL_CONTROL'!$C$128+AW16*CHOOSE('1_PANEL_CONTROL'!$C$4, '1_PANEL_CONTROL'!$C$118, '1_PANEL_CONTROL'!$C$119, '1_PANEL_CONTROL'!$C$120)*CHOOSE('1_PANEL_CONTROL'!$C$4, '1_PANEL_CONTROL'!$C$121, '1_PANEL_CONTROL'!$C$122, '1_PANEL_CONTROL'!$C$123)+AW16*CHOOSE('1_PANEL_CONTROL'!$C$4, '1_PANEL_CONTROL'!$C$118, '1_PANEL_CONTROL'!$C$119, '1_PANEL_CONTROL'!$C$120)*CHOOSE('1_PANEL_CONTROL'!$C$4, '1_PANEL_CONTROL'!$C$124, '1_PANEL_CONTROL'!$C$125, '1_PANEL_CONTROL'!$C$126)*'1_PANEL_CONTROL'!$C$127</f>
        <v>27673.875</v>
      </c>
      <c r="AX27" s="33">
        <f>AX19*'1_PANEL_CONTROL'!$C$128+AX16*CHOOSE('1_PANEL_CONTROL'!$C$4, '1_PANEL_CONTROL'!$C$118, '1_PANEL_CONTROL'!$C$119, '1_PANEL_CONTROL'!$C$120)*CHOOSE('1_PANEL_CONTROL'!$C$4, '1_PANEL_CONTROL'!$C$121, '1_PANEL_CONTROL'!$C$122, '1_PANEL_CONTROL'!$C$123)+AX16*CHOOSE('1_PANEL_CONTROL'!$C$4, '1_PANEL_CONTROL'!$C$118, '1_PANEL_CONTROL'!$C$119, '1_PANEL_CONTROL'!$C$120)*CHOOSE('1_PANEL_CONTROL'!$C$4, '1_PANEL_CONTROL'!$C$124, '1_PANEL_CONTROL'!$C$125, '1_PANEL_CONTROL'!$C$126)*'1_PANEL_CONTROL'!$C$127</f>
        <v>29885.875</v>
      </c>
      <c r="AY27" s="33">
        <f>AY19*'1_PANEL_CONTROL'!$C$128+AY16*CHOOSE('1_PANEL_CONTROL'!$C$4, '1_PANEL_CONTROL'!$C$118, '1_PANEL_CONTROL'!$C$119, '1_PANEL_CONTROL'!$C$120)*CHOOSE('1_PANEL_CONTROL'!$C$4, '1_PANEL_CONTROL'!$C$121, '1_PANEL_CONTROL'!$C$122, '1_PANEL_CONTROL'!$C$123)+AY16*CHOOSE('1_PANEL_CONTROL'!$C$4, '1_PANEL_CONTROL'!$C$118, '1_PANEL_CONTROL'!$C$119, '1_PANEL_CONTROL'!$C$120)*CHOOSE('1_PANEL_CONTROL'!$C$4, '1_PANEL_CONTROL'!$C$124, '1_PANEL_CONTROL'!$C$125, '1_PANEL_CONTROL'!$C$126)*'1_PANEL_CONTROL'!$C$127</f>
        <v>32258.25</v>
      </c>
      <c r="AZ27" s="33">
        <f>AZ19*'1_PANEL_CONTROL'!$C$128+AZ16*CHOOSE('1_PANEL_CONTROL'!$C$4, '1_PANEL_CONTROL'!$C$118, '1_PANEL_CONTROL'!$C$119, '1_PANEL_CONTROL'!$C$120)*CHOOSE('1_PANEL_CONTROL'!$C$4, '1_PANEL_CONTROL'!$C$121, '1_PANEL_CONTROL'!$C$122, '1_PANEL_CONTROL'!$C$123)+AZ16*CHOOSE('1_PANEL_CONTROL'!$C$4, '1_PANEL_CONTROL'!$C$118, '1_PANEL_CONTROL'!$C$119, '1_PANEL_CONTROL'!$C$120)*CHOOSE('1_PANEL_CONTROL'!$C$4, '1_PANEL_CONTROL'!$C$124, '1_PANEL_CONTROL'!$C$125, '1_PANEL_CONTROL'!$C$126)*'1_PANEL_CONTROL'!$C$127</f>
        <v>34831.875</v>
      </c>
      <c r="BA27" s="33">
        <f>BA19*'1_PANEL_CONTROL'!$C$128+BA16*CHOOSE('1_PANEL_CONTROL'!$C$4, '1_PANEL_CONTROL'!$C$118, '1_PANEL_CONTROL'!$C$119, '1_PANEL_CONTROL'!$C$120)*CHOOSE('1_PANEL_CONTROL'!$C$4, '1_PANEL_CONTROL'!$C$121, '1_PANEL_CONTROL'!$C$122, '1_PANEL_CONTROL'!$C$123)+BA16*CHOOSE('1_PANEL_CONTROL'!$C$4, '1_PANEL_CONTROL'!$C$118, '1_PANEL_CONTROL'!$C$119, '1_PANEL_CONTROL'!$C$120)*CHOOSE('1_PANEL_CONTROL'!$C$4, '1_PANEL_CONTROL'!$C$124, '1_PANEL_CONTROL'!$C$125, '1_PANEL_CONTROL'!$C$126)*'1_PANEL_CONTROL'!$C$127</f>
        <v>37616.75</v>
      </c>
      <c r="BB27" s="33">
        <f>BB19*'1_PANEL_CONTROL'!$C$128+BB16*CHOOSE('1_PANEL_CONTROL'!$C$4, '1_PANEL_CONTROL'!$C$118, '1_PANEL_CONTROL'!$C$119, '1_PANEL_CONTROL'!$C$120)*CHOOSE('1_PANEL_CONTROL'!$C$4, '1_PANEL_CONTROL'!$C$121, '1_PANEL_CONTROL'!$C$122, '1_PANEL_CONTROL'!$C$123)+BB16*CHOOSE('1_PANEL_CONTROL'!$C$4, '1_PANEL_CONTROL'!$C$118, '1_PANEL_CONTROL'!$C$119, '1_PANEL_CONTROL'!$C$120)*CHOOSE('1_PANEL_CONTROL'!$C$4, '1_PANEL_CONTROL'!$C$124, '1_PANEL_CONTROL'!$C$125, '1_PANEL_CONTROL'!$C$126)*'1_PANEL_CONTROL'!$C$127</f>
        <v>40609.25</v>
      </c>
      <c r="BC27" s="33">
        <f>BC19*'1_PANEL_CONTROL'!$C$128+BC16*CHOOSE('1_PANEL_CONTROL'!$C$4, '1_PANEL_CONTROL'!$C$118, '1_PANEL_CONTROL'!$C$119, '1_PANEL_CONTROL'!$C$120)*CHOOSE('1_PANEL_CONTROL'!$C$4, '1_PANEL_CONTROL'!$C$121, '1_PANEL_CONTROL'!$C$122, '1_PANEL_CONTROL'!$C$123)+BC16*CHOOSE('1_PANEL_CONTROL'!$C$4, '1_PANEL_CONTROL'!$C$118, '1_PANEL_CONTROL'!$C$119, '1_PANEL_CONTROL'!$C$120)*CHOOSE('1_PANEL_CONTROL'!$C$4, '1_PANEL_CONTROL'!$C$124, '1_PANEL_CONTROL'!$C$125, '1_PANEL_CONTROL'!$C$126)*'1_PANEL_CONTROL'!$C$127</f>
        <v>43858.875</v>
      </c>
      <c r="BD27" s="33">
        <f>BD19*'1_PANEL_CONTROL'!$C$128+BD16*CHOOSE('1_PANEL_CONTROL'!$C$4, '1_PANEL_CONTROL'!$C$118, '1_PANEL_CONTROL'!$C$119, '1_PANEL_CONTROL'!$C$120)*CHOOSE('1_PANEL_CONTROL'!$C$4, '1_PANEL_CONTROL'!$C$121, '1_PANEL_CONTROL'!$C$122, '1_PANEL_CONTROL'!$C$123)+BD16*CHOOSE('1_PANEL_CONTROL'!$C$4, '1_PANEL_CONTROL'!$C$118, '1_PANEL_CONTROL'!$C$119, '1_PANEL_CONTROL'!$C$120)*CHOOSE('1_PANEL_CONTROL'!$C$4, '1_PANEL_CONTROL'!$C$124, '1_PANEL_CONTROL'!$C$125, '1_PANEL_CONTROL'!$C$126)*'1_PANEL_CONTROL'!$C$127</f>
        <v>47353.375</v>
      </c>
      <c r="BE27" s="33">
        <f>BE19*'1_PANEL_CONTROL'!$C$128+BE16*CHOOSE('1_PANEL_CONTROL'!$C$4, '1_PANEL_CONTROL'!$C$118, '1_PANEL_CONTROL'!$C$119, '1_PANEL_CONTROL'!$C$120)*CHOOSE('1_PANEL_CONTROL'!$C$4, '1_PANEL_CONTROL'!$C$121, '1_PANEL_CONTROL'!$C$122, '1_PANEL_CONTROL'!$C$123)+BE16*CHOOSE('1_PANEL_CONTROL'!$C$4, '1_PANEL_CONTROL'!$C$118, '1_PANEL_CONTROL'!$C$119, '1_PANEL_CONTROL'!$C$120)*CHOOSE('1_PANEL_CONTROL'!$C$4, '1_PANEL_CONTROL'!$C$124, '1_PANEL_CONTROL'!$C$125, '1_PANEL_CONTROL'!$C$126)*'1_PANEL_CONTROL'!$C$127</f>
        <v>51130</v>
      </c>
      <c r="BF27" s="33">
        <f>BF19*'1_PANEL_CONTROL'!$C$128+BF16*CHOOSE('1_PANEL_CONTROL'!$C$4, '1_PANEL_CONTROL'!$C$118, '1_PANEL_CONTROL'!$C$119, '1_PANEL_CONTROL'!$C$120)*CHOOSE('1_PANEL_CONTROL'!$C$4, '1_PANEL_CONTROL'!$C$121, '1_PANEL_CONTROL'!$C$122, '1_PANEL_CONTROL'!$C$123)+BF16*CHOOSE('1_PANEL_CONTROL'!$C$4, '1_PANEL_CONTROL'!$C$118, '1_PANEL_CONTROL'!$C$119, '1_PANEL_CONTROL'!$C$120)*CHOOSE('1_PANEL_CONTROL'!$C$4, '1_PANEL_CONTROL'!$C$124, '1_PANEL_CONTROL'!$C$125, '1_PANEL_CONTROL'!$C$126)*'1_PANEL_CONTROL'!$C$127</f>
        <v>55211</v>
      </c>
      <c r="BG27" s="33">
        <f>BG19*'1_PANEL_CONTROL'!$C$128+BG16*CHOOSE('1_PANEL_CONTROL'!$C$4, '1_PANEL_CONTROL'!$C$118, '1_PANEL_CONTROL'!$C$119, '1_PANEL_CONTROL'!$C$120)*CHOOSE('1_PANEL_CONTROL'!$C$4, '1_PANEL_CONTROL'!$C$121, '1_PANEL_CONTROL'!$C$122, '1_PANEL_CONTROL'!$C$123)+BG16*CHOOSE('1_PANEL_CONTROL'!$C$4, '1_PANEL_CONTROL'!$C$118, '1_PANEL_CONTROL'!$C$119, '1_PANEL_CONTROL'!$C$120)*CHOOSE('1_PANEL_CONTROL'!$C$4, '1_PANEL_CONTROL'!$C$124, '1_PANEL_CONTROL'!$C$125, '1_PANEL_CONTROL'!$C$126)*'1_PANEL_CONTROL'!$C$127</f>
        <v>59621.375</v>
      </c>
      <c r="BH27" s="33">
        <f>BH19*'1_PANEL_CONTROL'!$C$128+BH16*CHOOSE('1_PANEL_CONTROL'!$C$4, '1_PANEL_CONTROL'!$C$118, '1_PANEL_CONTROL'!$C$119, '1_PANEL_CONTROL'!$C$120)*CHOOSE('1_PANEL_CONTROL'!$C$4, '1_PANEL_CONTROL'!$C$121, '1_PANEL_CONTROL'!$C$122, '1_PANEL_CONTROL'!$C$123)+BH16*CHOOSE('1_PANEL_CONTROL'!$C$4, '1_PANEL_CONTROL'!$C$118, '1_PANEL_CONTROL'!$C$119, '1_PANEL_CONTROL'!$C$120)*CHOOSE('1_PANEL_CONTROL'!$C$4, '1_PANEL_CONTROL'!$C$124, '1_PANEL_CONTROL'!$C$125, '1_PANEL_CONTROL'!$C$126)*'1_PANEL_CONTROL'!$C$127</f>
        <v>64374.75</v>
      </c>
      <c r="BI27" s="33">
        <f>BI19*'1_PANEL_CONTROL'!$C$128+BI16*CHOOSE('1_PANEL_CONTROL'!$C$4, '1_PANEL_CONTROL'!$C$118, '1_PANEL_CONTROL'!$C$119, '1_PANEL_CONTROL'!$C$120)*CHOOSE('1_PANEL_CONTROL'!$C$4, '1_PANEL_CONTROL'!$C$121, '1_PANEL_CONTROL'!$C$122, '1_PANEL_CONTROL'!$C$123)+BI16*CHOOSE('1_PANEL_CONTROL'!$C$4, '1_PANEL_CONTROL'!$C$118, '1_PANEL_CONTROL'!$C$119, '1_PANEL_CONTROL'!$C$120)*CHOOSE('1_PANEL_CONTROL'!$C$4, '1_PANEL_CONTROL'!$C$124, '1_PANEL_CONTROL'!$C$125, '1_PANEL_CONTROL'!$C$126)*'1_PANEL_CONTROL'!$C$127</f>
        <v>69517</v>
      </c>
      <c r="BJ27" s="33">
        <f>BJ19*'1_PANEL_CONTROL'!$C$128+BJ16*CHOOSE('1_PANEL_CONTROL'!$C$4, '1_PANEL_CONTROL'!$C$118, '1_PANEL_CONTROL'!$C$119, '1_PANEL_CONTROL'!$C$120)*CHOOSE('1_PANEL_CONTROL'!$C$4, '1_PANEL_CONTROL'!$C$121, '1_PANEL_CONTROL'!$C$122, '1_PANEL_CONTROL'!$C$123)+BJ16*CHOOSE('1_PANEL_CONTROL'!$C$4, '1_PANEL_CONTROL'!$C$118, '1_PANEL_CONTROL'!$C$119, '1_PANEL_CONTROL'!$C$120)*CHOOSE('1_PANEL_CONTROL'!$C$4, '1_PANEL_CONTROL'!$C$124, '1_PANEL_CONTROL'!$C$125, '1_PANEL_CONTROL'!$C$126)*'1_PANEL_CONTROL'!$C$127</f>
        <v>75059.5</v>
      </c>
      <c r="BK27" s="33">
        <f>BK19*'1_PANEL_CONTROL'!$C$128+BK16*CHOOSE('1_PANEL_CONTROL'!$C$4, '1_PANEL_CONTROL'!$C$118, '1_PANEL_CONTROL'!$C$119, '1_PANEL_CONTROL'!$C$120)*CHOOSE('1_PANEL_CONTROL'!$C$4, '1_PANEL_CONTROL'!$C$121, '1_PANEL_CONTROL'!$C$122, '1_PANEL_CONTROL'!$C$123)+BK16*CHOOSE('1_PANEL_CONTROL'!$C$4, '1_PANEL_CONTROL'!$C$118, '1_PANEL_CONTROL'!$C$119, '1_PANEL_CONTROL'!$C$120)*CHOOSE('1_PANEL_CONTROL'!$C$4, '1_PANEL_CONTROL'!$C$124, '1_PANEL_CONTROL'!$C$125, '1_PANEL_CONTROL'!$C$126)*'1_PANEL_CONTROL'!$C$127</f>
        <v>81056.75</v>
      </c>
      <c r="BL27" s="33">
        <f>BL19*'1_PANEL_CONTROL'!$C$128+BL16*CHOOSE('1_PANEL_CONTROL'!$C$4, '1_PANEL_CONTROL'!$C$118, '1_PANEL_CONTROL'!$C$119, '1_PANEL_CONTROL'!$C$120)*CHOOSE('1_PANEL_CONTROL'!$C$4, '1_PANEL_CONTROL'!$C$121, '1_PANEL_CONTROL'!$C$122, '1_PANEL_CONTROL'!$C$123)+BL16*CHOOSE('1_PANEL_CONTROL'!$C$4, '1_PANEL_CONTROL'!$C$118, '1_PANEL_CONTROL'!$C$119, '1_PANEL_CONTROL'!$C$120)*CHOOSE('1_PANEL_CONTROL'!$C$4, '1_PANEL_CONTROL'!$C$124, '1_PANEL_CONTROL'!$C$125, '1_PANEL_CONTROL'!$C$126)*'1_PANEL_CONTROL'!$C$127</f>
        <v>87528.75</v>
      </c>
      <c r="BM27" s="33">
        <f>BM19*'1_PANEL_CONTROL'!$C$128+BM16*CHOOSE('1_PANEL_CONTROL'!$C$4, '1_PANEL_CONTROL'!$C$118, '1_PANEL_CONTROL'!$C$119, '1_PANEL_CONTROL'!$C$120)*CHOOSE('1_PANEL_CONTROL'!$C$4, '1_PANEL_CONTROL'!$C$121, '1_PANEL_CONTROL'!$C$122, '1_PANEL_CONTROL'!$C$123)+BM16*CHOOSE('1_PANEL_CONTROL'!$C$4, '1_PANEL_CONTROL'!$C$118, '1_PANEL_CONTROL'!$C$119, '1_PANEL_CONTROL'!$C$120)*CHOOSE('1_PANEL_CONTROL'!$C$4, '1_PANEL_CONTROL'!$C$124, '1_PANEL_CONTROL'!$C$125, '1_PANEL_CONTROL'!$C$126)*'1_PANEL_CONTROL'!$C$127</f>
        <v>94517.75</v>
      </c>
      <c r="BN27" s="33">
        <f>BN19*'1_PANEL_CONTROL'!$C$128+BN16*CHOOSE('1_PANEL_CONTROL'!$C$4, '1_PANEL_CONTROL'!$C$118, '1_PANEL_CONTROL'!$C$119, '1_PANEL_CONTROL'!$C$120)*CHOOSE('1_PANEL_CONTROL'!$C$4, '1_PANEL_CONTROL'!$C$121, '1_PANEL_CONTROL'!$C$122, '1_PANEL_CONTROL'!$C$123)+BN16*CHOOSE('1_PANEL_CONTROL'!$C$4, '1_PANEL_CONTROL'!$C$118, '1_PANEL_CONTROL'!$C$119, '1_PANEL_CONTROL'!$C$120)*CHOOSE('1_PANEL_CONTROL'!$C$4, '1_PANEL_CONTROL'!$C$124, '1_PANEL_CONTROL'!$C$125, '1_PANEL_CONTROL'!$C$126)*'1_PANEL_CONTROL'!$C$127</f>
        <v>102069.625</v>
      </c>
      <c r="BO27" s="33">
        <f>BO19*'1_PANEL_CONTROL'!$C$128+BO16*CHOOSE('1_PANEL_CONTROL'!$C$4, '1_PANEL_CONTROL'!$C$118, '1_PANEL_CONTROL'!$C$119, '1_PANEL_CONTROL'!$C$120)*CHOOSE('1_PANEL_CONTROL'!$C$4, '1_PANEL_CONTROL'!$C$121, '1_PANEL_CONTROL'!$C$122, '1_PANEL_CONTROL'!$C$123)+BO16*CHOOSE('1_PANEL_CONTROL'!$C$4, '1_PANEL_CONTROL'!$C$118, '1_PANEL_CONTROL'!$C$119, '1_PANEL_CONTROL'!$C$120)*CHOOSE('1_PANEL_CONTROL'!$C$4, '1_PANEL_CONTROL'!$C$124, '1_PANEL_CONTROL'!$C$125, '1_PANEL_CONTROL'!$C$126)*'1_PANEL_CONTROL'!$C$127</f>
        <v>110218</v>
      </c>
      <c r="BP27" s="33">
        <f>BP19*'1_PANEL_CONTROL'!$C$128+BP16*CHOOSE('1_PANEL_CONTROL'!$C$4, '1_PANEL_CONTROL'!$C$118, '1_PANEL_CONTROL'!$C$119, '1_PANEL_CONTROL'!$C$120)*CHOOSE('1_PANEL_CONTROL'!$C$4, '1_PANEL_CONTROL'!$C$121, '1_PANEL_CONTROL'!$C$122, '1_PANEL_CONTROL'!$C$123)+BP16*CHOOSE('1_PANEL_CONTROL'!$C$4, '1_PANEL_CONTROL'!$C$118, '1_PANEL_CONTROL'!$C$119, '1_PANEL_CONTROL'!$C$120)*CHOOSE('1_PANEL_CONTROL'!$C$4, '1_PANEL_CONTROL'!$C$124, '1_PANEL_CONTROL'!$C$125, '1_PANEL_CONTROL'!$C$126)*'1_PANEL_CONTROL'!$C$127</f>
        <v>119028.75</v>
      </c>
      <c r="BQ27" s="33">
        <f>BQ19*'1_PANEL_CONTROL'!$C$128+BQ16*CHOOSE('1_PANEL_CONTROL'!$C$4, '1_PANEL_CONTROL'!$C$118, '1_PANEL_CONTROL'!$C$119, '1_PANEL_CONTROL'!$C$120)*CHOOSE('1_PANEL_CONTROL'!$C$4, '1_PANEL_CONTROL'!$C$121, '1_PANEL_CONTROL'!$C$122, '1_PANEL_CONTROL'!$C$123)+BQ16*CHOOSE('1_PANEL_CONTROL'!$C$4, '1_PANEL_CONTROL'!$C$118, '1_PANEL_CONTROL'!$C$119, '1_PANEL_CONTROL'!$C$120)*CHOOSE('1_PANEL_CONTROL'!$C$4, '1_PANEL_CONTROL'!$C$124, '1_PANEL_CONTROL'!$C$125, '1_PANEL_CONTROL'!$C$126)*'1_PANEL_CONTROL'!$C$127</f>
        <v>128539.125</v>
      </c>
      <c r="BR27" s="33">
        <f>BR19*'1_PANEL_CONTROL'!$C$128+BR16*CHOOSE('1_PANEL_CONTROL'!$C$4, '1_PANEL_CONTROL'!$C$118, '1_PANEL_CONTROL'!$C$119, '1_PANEL_CONTROL'!$C$120)*CHOOSE('1_PANEL_CONTROL'!$C$4, '1_PANEL_CONTROL'!$C$121, '1_PANEL_CONTROL'!$C$122, '1_PANEL_CONTROL'!$C$123)+BR16*CHOOSE('1_PANEL_CONTROL'!$C$4, '1_PANEL_CONTROL'!$C$118, '1_PANEL_CONTROL'!$C$119, '1_PANEL_CONTROL'!$C$120)*CHOOSE('1_PANEL_CONTROL'!$C$4, '1_PANEL_CONTROL'!$C$124, '1_PANEL_CONTROL'!$C$125, '1_PANEL_CONTROL'!$C$126)*'1_PANEL_CONTROL'!$C$127</f>
        <v>138806.375</v>
      </c>
      <c r="BS27" s="33">
        <f>BS19*'1_PANEL_CONTROL'!$C$128+BS16*CHOOSE('1_PANEL_CONTROL'!$C$4, '1_PANEL_CONTROL'!$C$118, '1_PANEL_CONTROL'!$C$119, '1_PANEL_CONTROL'!$C$120)*CHOOSE('1_PANEL_CONTROL'!$C$4, '1_PANEL_CONTROL'!$C$121, '1_PANEL_CONTROL'!$C$122, '1_PANEL_CONTROL'!$C$123)+BS16*CHOOSE('1_PANEL_CONTROL'!$C$4, '1_PANEL_CONTROL'!$C$118, '1_PANEL_CONTROL'!$C$119, '1_PANEL_CONTROL'!$C$120)*CHOOSE('1_PANEL_CONTROL'!$C$4, '1_PANEL_CONTROL'!$C$124, '1_PANEL_CONTROL'!$C$125, '1_PANEL_CONTROL'!$C$126)*'1_PANEL_CONTROL'!$C$127</f>
        <v>149895</v>
      </c>
      <c r="BT27" s="33">
        <f>BT19*'1_PANEL_CONTROL'!$C$128+BT16*CHOOSE('1_PANEL_CONTROL'!$C$4, '1_PANEL_CONTROL'!$C$118, '1_PANEL_CONTROL'!$C$119, '1_PANEL_CONTROL'!$C$120)*CHOOSE('1_PANEL_CONTROL'!$C$4, '1_PANEL_CONTROL'!$C$121, '1_PANEL_CONTROL'!$C$122, '1_PANEL_CONTROL'!$C$123)+BT16*CHOOSE('1_PANEL_CONTROL'!$C$4, '1_PANEL_CONTROL'!$C$118, '1_PANEL_CONTROL'!$C$119, '1_PANEL_CONTROL'!$C$120)*CHOOSE('1_PANEL_CONTROL'!$C$4, '1_PANEL_CONTROL'!$C$124, '1_PANEL_CONTROL'!$C$125, '1_PANEL_CONTROL'!$C$126)*'1_PANEL_CONTROL'!$C$127</f>
        <v>161875.875</v>
      </c>
      <c r="BU27" s="33">
        <f>BU19*'1_PANEL_CONTROL'!$C$128+BU16*CHOOSE('1_PANEL_CONTROL'!$C$4, '1_PANEL_CONTROL'!$C$118, '1_PANEL_CONTROL'!$C$119, '1_PANEL_CONTROL'!$C$120)*CHOOSE('1_PANEL_CONTROL'!$C$4, '1_PANEL_CONTROL'!$C$121, '1_PANEL_CONTROL'!$C$122, '1_PANEL_CONTROL'!$C$123)+BU16*CHOOSE('1_PANEL_CONTROL'!$C$4, '1_PANEL_CONTROL'!$C$118, '1_PANEL_CONTROL'!$C$119, '1_PANEL_CONTROL'!$C$120)*CHOOSE('1_PANEL_CONTROL'!$C$4, '1_PANEL_CONTROL'!$C$124, '1_PANEL_CONTROL'!$C$125, '1_PANEL_CONTROL'!$C$126)*'1_PANEL_CONTROL'!$C$127</f>
        <v>174809.875</v>
      </c>
      <c r="BV27" s="33">
        <f>BV19*'1_PANEL_CONTROL'!$C$128+BV16*CHOOSE('1_PANEL_CONTROL'!$C$4, '1_PANEL_CONTROL'!$C$118, '1_PANEL_CONTROL'!$C$119, '1_PANEL_CONTROL'!$C$120)*CHOOSE('1_PANEL_CONTROL'!$C$4, '1_PANEL_CONTROL'!$C$121, '1_PANEL_CONTROL'!$C$122, '1_PANEL_CONTROL'!$C$123)+BV16*CHOOSE('1_PANEL_CONTROL'!$C$4, '1_PANEL_CONTROL'!$C$118, '1_PANEL_CONTROL'!$C$119, '1_PANEL_CONTROL'!$C$120)*CHOOSE('1_PANEL_CONTROL'!$C$4, '1_PANEL_CONTROL'!$C$124, '1_PANEL_CONTROL'!$C$125, '1_PANEL_CONTROL'!$C$126)*'1_PANEL_CONTROL'!$C$127</f>
        <v>188777.875</v>
      </c>
      <c r="BW27" s="33">
        <f>BW19*'1_PANEL_CONTROL'!$C$128+BW16*CHOOSE('1_PANEL_CONTROL'!$C$4, '1_PANEL_CONTROL'!$C$118, '1_PANEL_CONTROL'!$C$119, '1_PANEL_CONTROL'!$C$120)*CHOOSE('1_PANEL_CONTROL'!$C$4, '1_PANEL_CONTROL'!$C$121, '1_PANEL_CONTROL'!$C$122, '1_PANEL_CONTROL'!$C$123)+BW16*CHOOSE('1_PANEL_CONTROL'!$C$4, '1_PANEL_CONTROL'!$C$118, '1_PANEL_CONTROL'!$C$119, '1_PANEL_CONTROL'!$C$120)*CHOOSE('1_PANEL_CONTROL'!$C$4, '1_PANEL_CONTROL'!$C$124, '1_PANEL_CONTROL'!$C$125, '1_PANEL_CONTROL'!$C$126)*'1_PANEL_CONTROL'!$C$127</f>
        <v>203868</v>
      </c>
      <c r="BX27" s="33">
        <f>BX19*'1_PANEL_CONTROL'!$C$128+BX16*CHOOSE('1_PANEL_CONTROL'!$C$4, '1_PANEL_CONTROL'!$C$118, '1_PANEL_CONTROL'!$C$119, '1_PANEL_CONTROL'!$C$120)*CHOOSE('1_PANEL_CONTROL'!$C$4, '1_PANEL_CONTROL'!$C$121, '1_PANEL_CONTROL'!$C$122, '1_PANEL_CONTROL'!$C$123)+BX16*CHOOSE('1_PANEL_CONTROL'!$C$4, '1_PANEL_CONTROL'!$C$118, '1_PANEL_CONTROL'!$C$119, '1_PANEL_CONTROL'!$C$120)*CHOOSE('1_PANEL_CONTROL'!$C$4, '1_PANEL_CONTROL'!$C$124, '1_PANEL_CONTROL'!$C$125, '1_PANEL_CONTROL'!$C$126)*'1_PANEL_CONTROL'!$C$127</f>
        <v>220164.75</v>
      </c>
      <c r="BY27" s="33">
        <f>BY19*'1_PANEL_CONTROL'!$C$128+BY16*CHOOSE('1_PANEL_CONTROL'!$C$4, '1_PANEL_CONTROL'!$C$118, '1_PANEL_CONTROL'!$C$119, '1_PANEL_CONTROL'!$C$120)*CHOOSE('1_PANEL_CONTROL'!$C$4, '1_PANEL_CONTROL'!$C$121, '1_PANEL_CONTROL'!$C$122, '1_PANEL_CONTROL'!$C$123)+BY16*CHOOSE('1_PANEL_CONTROL'!$C$4, '1_PANEL_CONTROL'!$C$118, '1_PANEL_CONTROL'!$C$119, '1_PANEL_CONTROL'!$C$120)*CHOOSE('1_PANEL_CONTROL'!$C$4, '1_PANEL_CONTROL'!$C$124, '1_PANEL_CONTROL'!$C$125, '1_PANEL_CONTROL'!$C$126)*'1_PANEL_CONTROL'!$C$127</f>
        <v>237762.625</v>
      </c>
      <c r="BZ27" s="33">
        <f>BZ19*'1_PANEL_CONTROL'!$C$128+BZ16*CHOOSE('1_PANEL_CONTROL'!$C$4, '1_PANEL_CONTROL'!$C$118, '1_PANEL_CONTROL'!$C$119, '1_PANEL_CONTROL'!$C$120)*CHOOSE('1_PANEL_CONTROL'!$C$4, '1_PANEL_CONTROL'!$C$121, '1_PANEL_CONTROL'!$C$122, '1_PANEL_CONTROL'!$C$123)+BZ16*CHOOSE('1_PANEL_CONTROL'!$C$4, '1_PANEL_CONTROL'!$C$118, '1_PANEL_CONTROL'!$C$119, '1_PANEL_CONTROL'!$C$120)*CHOOSE('1_PANEL_CONTROL'!$C$4, '1_PANEL_CONTROL'!$C$124, '1_PANEL_CONTROL'!$C$125, '1_PANEL_CONTROL'!$C$126)*'1_PANEL_CONTROL'!$C$127</f>
        <v>256769.75</v>
      </c>
      <c r="CA27" s="33">
        <f>CA19*'1_PANEL_CONTROL'!$C$128+CA16*CHOOSE('1_PANEL_CONTROL'!$C$4, '1_PANEL_CONTROL'!$C$118, '1_PANEL_CONTROL'!$C$119, '1_PANEL_CONTROL'!$C$120)*CHOOSE('1_PANEL_CONTROL'!$C$4, '1_PANEL_CONTROL'!$C$121, '1_PANEL_CONTROL'!$C$122, '1_PANEL_CONTROL'!$C$123)+CA16*CHOOSE('1_PANEL_CONTROL'!$C$4, '1_PANEL_CONTROL'!$C$118, '1_PANEL_CONTROL'!$C$119, '1_PANEL_CONTROL'!$C$120)*CHOOSE('1_PANEL_CONTROL'!$C$4, '1_PANEL_CONTROL'!$C$124, '1_PANEL_CONTROL'!$C$125, '1_PANEL_CONTROL'!$C$126)*'1_PANEL_CONTROL'!$C$127</f>
        <v>277302.875</v>
      </c>
      <c r="CB27" s="33">
        <f>CB19*'1_PANEL_CONTROL'!$C$128+CB16*CHOOSE('1_PANEL_CONTROL'!$C$4, '1_PANEL_CONTROL'!$C$118, '1_PANEL_CONTROL'!$C$119, '1_PANEL_CONTROL'!$C$120)*CHOOSE('1_PANEL_CONTROL'!$C$4, '1_PANEL_CONTROL'!$C$121, '1_PANEL_CONTROL'!$C$122, '1_PANEL_CONTROL'!$C$123)+CB16*CHOOSE('1_PANEL_CONTROL'!$C$4, '1_PANEL_CONTROL'!$C$118, '1_PANEL_CONTROL'!$C$119, '1_PANEL_CONTROL'!$C$120)*CHOOSE('1_PANEL_CONTROL'!$C$4, '1_PANEL_CONTROL'!$C$124, '1_PANEL_CONTROL'!$C$125, '1_PANEL_CONTROL'!$C$126)*'1_PANEL_CONTROL'!$C$127</f>
        <v>299466.5</v>
      </c>
      <c r="CC27" s="33">
        <f>CC19*'1_PANEL_CONTROL'!$C$128+CC16*CHOOSE('1_PANEL_CONTROL'!$C$4, '1_PANEL_CONTROL'!$C$118, '1_PANEL_CONTROL'!$C$119, '1_PANEL_CONTROL'!$C$120)*CHOOSE('1_PANEL_CONTROL'!$C$4, '1_PANEL_CONTROL'!$C$121, '1_PANEL_CONTROL'!$C$122, '1_PANEL_CONTROL'!$C$123)+CC16*CHOOSE('1_PANEL_CONTROL'!$C$4, '1_PANEL_CONTROL'!$C$118, '1_PANEL_CONTROL'!$C$119, '1_PANEL_CONTROL'!$C$120)*CHOOSE('1_PANEL_CONTROL'!$C$4, '1_PANEL_CONTROL'!$C$124, '1_PANEL_CONTROL'!$C$125, '1_PANEL_CONTROL'!$C$126)*'1_PANEL_CONTROL'!$C$127</f>
        <v>323409.625</v>
      </c>
      <c r="CD27" s="33">
        <f>CD19*'1_PANEL_CONTROL'!$C$128+CD16*CHOOSE('1_PANEL_CONTROL'!$C$4, '1_PANEL_CONTROL'!$C$118, '1_PANEL_CONTROL'!$C$119, '1_PANEL_CONTROL'!$C$120)*CHOOSE('1_PANEL_CONTROL'!$C$4, '1_PANEL_CONTROL'!$C$121, '1_PANEL_CONTROL'!$C$122, '1_PANEL_CONTROL'!$C$123)+CD16*CHOOSE('1_PANEL_CONTROL'!$C$4, '1_PANEL_CONTROL'!$C$118, '1_PANEL_CONTROL'!$C$119, '1_PANEL_CONTROL'!$C$120)*CHOOSE('1_PANEL_CONTROL'!$C$4, '1_PANEL_CONTROL'!$C$124, '1_PANEL_CONTROL'!$C$125, '1_PANEL_CONTROL'!$C$126)*'1_PANEL_CONTROL'!$C$127</f>
        <v>349277.625</v>
      </c>
      <c r="CE27" s="33">
        <f>CE19*'1_PANEL_CONTROL'!$C$128+CE16*CHOOSE('1_PANEL_CONTROL'!$C$4, '1_PANEL_CONTROL'!$C$118, '1_PANEL_CONTROL'!$C$119, '1_PANEL_CONTROL'!$C$120)*CHOOSE('1_PANEL_CONTROL'!$C$4, '1_PANEL_CONTROL'!$C$121, '1_PANEL_CONTROL'!$C$122, '1_PANEL_CONTROL'!$C$123)+CE16*CHOOSE('1_PANEL_CONTROL'!$C$4, '1_PANEL_CONTROL'!$C$118, '1_PANEL_CONTROL'!$C$119, '1_PANEL_CONTROL'!$C$120)*CHOOSE('1_PANEL_CONTROL'!$C$4, '1_PANEL_CONTROL'!$C$124, '1_PANEL_CONTROL'!$C$125, '1_PANEL_CONTROL'!$C$126)*'1_PANEL_CONTROL'!$C$127</f>
        <v>377203.625</v>
      </c>
      <c r="CF27" s="33">
        <f>CF19*'1_PANEL_CONTROL'!$C$128+CF16*CHOOSE('1_PANEL_CONTROL'!$C$4, '1_PANEL_CONTROL'!$C$118, '1_PANEL_CONTROL'!$C$119, '1_PANEL_CONTROL'!$C$120)*CHOOSE('1_PANEL_CONTROL'!$C$4, '1_PANEL_CONTROL'!$C$121, '1_PANEL_CONTROL'!$C$122, '1_PANEL_CONTROL'!$C$123)+CF16*CHOOSE('1_PANEL_CONTROL'!$C$4, '1_PANEL_CONTROL'!$C$118, '1_PANEL_CONTROL'!$C$119, '1_PANEL_CONTROL'!$C$120)*CHOOSE('1_PANEL_CONTROL'!$C$4, '1_PANEL_CONTROL'!$C$124, '1_PANEL_CONTROL'!$C$125, '1_PANEL_CONTROL'!$C$126)*'1_PANEL_CONTROL'!$C$127</f>
        <v>407360.25</v>
      </c>
      <c r="CG27" s="33">
        <f>CG19*'1_PANEL_CONTROL'!$C$128+CG16*CHOOSE('1_PANEL_CONTROL'!$C$4, '1_PANEL_CONTROL'!$C$118, '1_PANEL_CONTROL'!$C$119, '1_PANEL_CONTROL'!$C$120)*CHOOSE('1_PANEL_CONTROL'!$C$4, '1_PANEL_CONTROL'!$C$121, '1_PANEL_CONTROL'!$C$122, '1_PANEL_CONTROL'!$C$123)+CG16*CHOOSE('1_PANEL_CONTROL'!$C$4, '1_PANEL_CONTROL'!$C$118, '1_PANEL_CONTROL'!$C$119, '1_PANEL_CONTROL'!$C$120)*CHOOSE('1_PANEL_CONTROL'!$C$4, '1_PANEL_CONTROL'!$C$124, '1_PANEL_CONTROL'!$C$125, '1_PANEL_CONTROL'!$C$126)*'1_PANEL_CONTROL'!$C$127</f>
        <v>439940.125</v>
      </c>
      <c r="CH27" s="33">
        <f>CH19*'1_PANEL_CONTROL'!$C$128+CH16*CHOOSE('1_PANEL_CONTROL'!$C$4, '1_PANEL_CONTROL'!$C$118, '1_PANEL_CONTROL'!$C$119, '1_PANEL_CONTROL'!$C$120)*CHOOSE('1_PANEL_CONTROL'!$C$4, '1_PANEL_CONTROL'!$C$121, '1_PANEL_CONTROL'!$C$122, '1_PANEL_CONTROL'!$C$123)+CH16*CHOOSE('1_PANEL_CONTROL'!$C$4, '1_PANEL_CONTROL'!$C$118, '1_PANEL_CONTROL'!$C$119, '1_PANEL_CONTROL'!$C$120)*CHOOSE('1_PANEL_CONTROL'!$C$4, '1_PANEL_CONTROL'!$C$124, '1_PANEL_CONTROL'!$C$125, '1_PANEL_CONTROL'!$C$126)*'1_PANEL_CONTROL'!$C$127</f>
        <v>475122.25</v>
      </c>
      <c r="CI27" s="33">
        <f>CI19*'1_PANEL_CONTROL'!$C$128+CI16*CHOOSE('1_PANEL_CONTROL'!$C$4, '1_PANEL_CONTROL'!$C$118, '1_PANEL_CONTROL'!$C$119, '1_PANEL_CONTROL'!$C$120)*CHOOSE('1_PANEL_CONTROL'!$C$4, '1_PANEL_CONTROL'!$C$121, '1_PANEL_CONTROL'!$C$122, '1_PANEL_CONTROL'!$C$123)+CI16*CHOOSE('1_PANEL_CONTROL'!$C$4, '1_PANEL_CONTROL'!$C$118, '1_PANEL_CONTROL'!$C$119, '1_PANEL_CONTROL'!$C$120)*CHOOSE('1_PANEL_CONTROL'!$C$4, '1_PANEL_CONTROL'!$C$124, '1_PANEL_CONTROL'!$C$125, '1_PANEL_CONTROL'!$C$126)*'1_PANEL_CONTROL'!$C$127</f>
        <v>513112.875</v>
      </c>
    </row>
    <row r="28" spans="1:87" ht="16.5">
      <c r="A28" s="6" t="s">
        <v>537</v>
      </c>
      <c r="B28" s="30" t="s">
        <v>465</v>
      </c>
      <c r="C28" s="17" t="s">
        <v>538</v>
      </c>
      <c r="D28" s="33">
        <f>D20*'1_PANEL_CONTROL'!$C$16</f>
        <v>4117</v>
      </c>
      <c r="E28" s="33">
        <f>E20*'1_PANEL_CONTROL'!$C$16</f>
        <v>4385.5</v>
      </c>
      <c r="F28" s="33">
        <f>F20*'1_PANEL_CONTROL'!$C$16</f>
        <v>4654</v>
      </c>
      <c r="G28" s="33">
        <f>G20*'1_PANEL_CONTROL'!$C$16</f>
        <v>5012</v>
      </c>
      <c r="H28" s="33">
        <f>H20*'1_PANEL_CONTROL'!$C$16</f>
        <v>5370</v>
      </c>
      <c r="I28" s="33">
        <f>I20*'1_PANEL_CONTROL'!$C$16</f>
        <v>5817.5</v>
      </c>
      <c r="J28" s="33">
        <f>J20*'1_PANEL_CONTROL'!$C$16</f>
        <v>6175.5</v>
      </c>
      <c r="K28" s="33">
        <f>K20*'1_PANEL_CONTROL'!$C$16</f>
        <v>6623</v>
      </c>
      <c r="L28" s="33">
        <f>L20*'1_PANEL_CONTROL'!$C$16</f>
        <v>7160</v>
      </c>
      <c r="M28" s="33">
        <f>M20*'1_PANEL_CONTROL'!$C$16</f>
        <v>7697</v>
      </c>
      <c r="N28" s="33">
        <f>N20*'1_PANEL_CONTROL'!$C$16</f>
        <v>8323.5</v>
      </c>
      <c r="O28" s="33">
        <f>O20*'1_PANEL_CONTROL'!$C$16</f>
        <v>8950</v>
      </c>
      <c r="P28" s="33">
        <f>P20*'1_PANEL_CONTROL'!$C$16</f>
        <v>9576.5</v>
      </c>
      <c r="Q28" s="33">
        <f>Q20*'1_PANEL_CONTROL'!$C$16</f>
        <v>10292.5</v>
      </c>
      <c r="R28" s="33">
        <f>R20*'1_PANEL_CONTROL'!$C$16</f>
        <v>11098</v>
      </c>
      <c r="S28" s="33">
        <f>S20*'1_PANEL_CONTROL'!$C$16</f>
        <v>11993</v>
      </c>
      <c r="T28" s="33">
        <f>T20*'1_PANEL_CONTROL'!$C$16</f>
        <v>12888</v>
      </c>
      <c r="U28" s="33">
        <f>U20*'1_PANEL_CONTROL'!$C$16</f>
        <v>13872.5</v>
      </c>
      <c r="V28" s="33">
        <f>V20*'1_PANEL_CONTROL'!$C$16</f>
        <v>14946.5</v>
      </c>
      <c r="W28" s="33">
        <f>W20*'1_PANEL_CONTROL'!$C$16</f>
        <v>16110</v>
      </c>
      <c r="X28" s="33">
        <f>X20*'1_PANEL_CONTROL'!$C$16</f>
        <v>17363</v>
      </c>
      <c r="Y28" s="33">
        <f>Y20*'1_PANEL_CONTROL'!$C$16</f>
        <v>18705.5</v>
      </c>
      <c r="Z28" s="33">
        <f>Z20*'1_PANEL_CONTROL'!$C$16</f>
        <v>20137.5</v>
      </c>
      <c r="AA28" s="33">
        <f>AA20*'1_PANEL_CONTROL'!$C$16</f>
        <v>21748.5</v>
      </c>
      <c r="AB28" s="33">
        <f>AB20*'1_PANEL_CONTROL'!$C$16</f>
        <v>23449</v>
      </c>
      <c r="AC28" s="33">
        <f>AC20*'1_PANEL_CONTROL'!$C$16</f>
        <v>25328.5</v>
      </c>
      <c r="AD28" s="33">
        <f>AD20*'1_PANEL_CONTROL'!$C$16</f>
        <v>27297.5</v>
      </c>
      <c r="AE28" s="33">
        <f>AE20*'1_PANEL_CONTROL'!$C$16</f>
        <v>29445.5</v>
      </c>
      <c r="AF28" s="33">
        <f>AF20*'1_PANEL_CONTROL'!$C$16</f>
        <v>31772.5</v>
      </c>
      <c r="AG28" s="33">
        <f>AG20*'1_PANEL_CONTROL'!$C$16</f>
        <v>34278.5</v>
      </c>
      <c r="AH28" s="33">
        <f>AH20*'1_PANEL_CONTROL'!$C$16</f>
        <v>36963.5</v>
      </c>
      <c r="AI28" s="33">
        <f>AI20*'1_PANEL_CONTROL'!$C$16</f>
        <v>39917</v>
      </c>
      <c r="AJ28" s="33">
        <f>AJ20*'1_PANEL_CONTROL'!$C$16</f>
        <v>43049.5</v>
      </c>
      <c r="AK28" s="33">
        <f>AK20*'1_PANEL_CONTROL'!$C$16</f>
        <v>46450.5</v>
      </c>
      <c r="AL28" s="33">
        <f>AL20*'1_PANEL_CONTROL'!$C$16</f>
        <v>50120</v>
      </c>
      <c r="AM28" s="33">
        <f>AM20*'1_PANEL_CONTROL'!$C$16</f>
        <v>54058</v>
      </c>
      <c r="AN28" s="33">
        <f>AN20*'1_PANEL_CONTROL'!$C$16</f>
        <v>58354</v>
      </c>
      <c r="AO28" s="33">
        <f>AO20*'1_PANEL_CONTROL'!$C$16</f>
        <v>63008</v>
      </c>
      <c r="AP28" s="33">
        <f>AP20*'1_PANEL_CONTROL'!$C$16</f>
        <v>68020</v>
      </c>
      <c r="AQ28" s="33">
        <f>AQ20*'1_PANEL_CONTROL'!$C$16</f>
        <v>73390</v>
      </c>
      <c r="AR28" s="33">
        <f>AR20*'1_PANEL_CONTROL'!$C$16</f>
        <v>79297</v>
      </c>
      <c r="AS28" s="33">
        <f>AS20*'1_PANEL_CONTROL'!$C$16</f>
        <v>85562</v>
      </c>
      <c r="AT28" s="33">
        <f>AT20*'1_PANEL_CONTROL'!$C$16</f>
        <v>92364</v>
      </c>
      <c r="AU28" s="33">
        <f>AU20*'1_PANEL_CONTROL'!$C$16</f>
        <v>99703</v>
      </c>
      <c r="AV28" s="33">
        <f>AV20*'1_PANEL_CONTROL'!$C$16</f>
        <v>107668.5</v>
      </c>
      <c r="AW28" s="33">
        <f>AW20*'1_PANEL_CONTROL'!$C$16</f>
        <v>116260.5</v>
      </c>
      <c r="AX28" s="33">
        <f>AX20*'1_PANEL_CONTROL'!$C$16</f>
        <v>125568.5</v>
      </c>
      <c r="AY28" s="33">
        <f>AY20*'1_PANEL_CONTROL'!$C$16</f>
        <v>135503</v>
      </c>
      <c r="AZ28" s="33">
        <f>AZ20*'1_PANEL_CONTROL'!$C$16</f>
        <v>146332.5</v>
      </c>
      <c r="BA28" s="33">
        <f>BA20*'1_PANEL_CONTROL'!$C$16</f>
        <v>158057</v>
      </c>
      <c r="BB28" s="33">
        <f>BB20*'1_PANEL_CONTROL'!$C$16</f>
        <v>170587</v>
      </c>
      <c r="BC28" s="33">
        <f>BC20*'1_PANEL_CONTROL'!$C$16</f>
        <v>184280.5</v>
      </c>
      <c r="BD28" s="33">
        <f>BD20*'1_PANEL_CONTROL'!$C$16</f>
        <v>198958.5</v>
      </c>
      <c r="BE28" s="33">
        <f>BE20*'1_PANEL_CONTROL'!$C$16</f>
        <v>214800</v>
      </c>
      <c r="BF28" s="33">
        <f>BF20*'1_PANEL_CONTROL'!$C$16</f>
        <v>231984</v>
      </c>
      <c r="BG28" s="33">
        <f>BG20*'1_PANEL_CONTROL'!$C$16</f>
        <v>250510.5</v>
      </c>
      <c r="BH28" s="33">
        <f>BH20*'1_PANEL_CONTROL'!$C$16</f>
        <v>270469</v>
      </c>
      <c r="BI28" s="33">
        <f>BI20*'1_PANEL_CONTROL'!$C$16</f>
        <v>292128</v>
      </c>
      <c r="BJ28" s="33">
        <f>BJ20*'1_PANEL_CONTROL'!$C$16</f>
        <v>315398</v>
      </c>
      <c r="BK28" s="33">
        <f>BK20*'1_PANEL_CONTROL'!$C$16</f>
        <v>340637</v>
      </c>
      <c r="BL28" s="33">
        <f>BL20*'1_PANEL_CONTROL'!$C$16</f>
        <v>367845</v>
      </c>
      <c r="BM28" s="33">
        <f>BM20*'1_PANEL_CONTROL'!$C$16</f>
        <v>397201</v>
      </c>
      <c r="BN28" s="33">
        <f>BN20*'1_PANEL_CONTROL'!$C$16</f>
        <v>428973.5</v>
      </c>
      <c r="BO28" s="33">
        <f>BO20*'1_PANEL_CONTROL'!$C$16</f>
        <v>463252</v>
      </c>
      <c r="BP28" s="33">
        <f>BP20*'1_PANEL_CONTROL'!$C$16</f>
        <v>500305</v>
      </c>
      <c r="BQ28" s="33">
        <f>BQ20*'1_PANEL_CONTROL'!$C$16</f>
        <v>540311.5</v>
      </c>
      <c r="BR28" s="33">
        <f>BR20*'1_PANEL_CONTROL'!$C$16</f>
        <v>583450.5</v>
      </c>
      <c r="BS28" s="33">
        <f>BS20*'1_PANEL_CONTROL'!$C$16</f>
        <v>630080</v>
      </c>
      <c r="BT28" s="33">
        <f>BT20*'1_PANEL_CONTROL'!$C$16</f>
        <v>680468.5</v>
      </c>
      <c r="BU28" s="33">
        <f>BU20*'1_PANEL_CONTROL'!$C$16</f>
        <v>734884.5</v>
      </c>
      <c r="BV28" s="33">
        <f>BV20*'1_PANEL_CONTROL'!$C$16</f>
        <v>793596.5</v>
      </c>
      <c r="BW28" s="33">
        <f>BW20*'1_PANEL_CONTROL'!$C$16</f>
        <v>857052</v>
      </c>
      <c r="BX28" s="33">
        <f>BX20*'1_PANEL_CONTROL'!$C$16</f>
        <v>925609</v>
      </c>
      <c r="BY28" s="33">
        <f>BY20*'1_PANEL_CONTROL'!$C$16</f>
        <v>999625.5</v>
      </c>
      <c r="BZ28" s="33">
        <f>BZ20*'1_PANEL_CONTROL'!$C$16</f>
        <v>1079549</v>
      </c>
      <c r="CA28" s="33">
        <f>CA20*'1_PANEL_CONTROL'!$C$16</f>
        <v>1165916.5</v>
      </c>
      <c r="CB28" s="33">
        <f>CB20*'1_PANEL_CONTROL'!$C$16</f>
        <v>1259086</v>
      </c>
      <c r="CC28" s="33">
        <f>CC20*'1_PANEL_CONTROL'!$C$16</f>
        <v>1359773.5</v>
      </c>
      <c r="CD28" s="33">
        <f>CD20*'1_PANEL_CONTROL'!$C$16</f>
        <v>1468605.5</v>
      </c>
      <c r="CE28" s="33">
        <f>CE20*'1_PANEL_CONTROL'!$C$16</f>
        <v>1586029.5</v>
      </c>
      <c r="CF28" s="33">
        <f>CF20*'1_PANEL_CONTROL'!$C$16</f>
        <v>1712851</v>
      </c>
      <c r="CG28" s="33">
        <f>CG20*'1_PANEL_CONTROL'!$C$16</f>
        <v>1849875.5</v>
      </c>
      <c r="CH28" s="33">
        <f>CH20*'1_PANEL_CONTROL'!$C$16</f>
        <v>1997819</v>
      </c>
      <c r="CI28" s="33">
        <f>CI20*'1_PANEL_CONTROL'!$C$16</f>
        <v>2157576.5</v>
      </c>
    </row>
    <row r="29" spans="1:87" ht="16.5">
      <c r="A29" s="6" t="s">
        <v>539</v>
      </c>
      <c r="B29" s="30" t="s">
        <v>465</v>
      </c>
      <c r="C29" s="17" t="s">
        <v>540</v>
      </c>
      <c r="D29" s="33">
        <f>D21*'1_PANEL_CONTROL'!$C$18</f>
        <v>150</v>
      </c>
      <c r="E29" s="33">
        <f>E21*'1_PANEL_CONTROL'!$C$18</f>
        <v>300</v>
      </c>
      <c r="F29" s="33">
        <f>F21*'1_PANEL_CONTROL'!$C$18</f>
        <v>450</v>
      </c>
      <c r="G29" s="33">
        <f>G21*'1_PANEL_CONTROL'!$C$18</f>
        <v>675</v>
      </c>
      <c r="H29" s="33">
        <f>H21*'1_PANEL_CONTROL'!$C$18</f>
        <v>825</v>
      </c>
      <c r="I29" s="33">
        <f>I21*'1_PANEL_CONTROL'!$C$18</f>
        <v>975</v>
      </c>
      <c r="J29" s="33">
        <f>J21*'1_PANEL_CONTROL'!$C$18</f>
        <v>1200</v>
      </c>
      <c r="K29" s="33">
        <f>K21*'1_PANEL_CONTROL'!$C$18</f>
        <v>1350</v>
      </c>
      <c r="L29" s="33">
        <f>L21*'1_PANEL_CONTROL'!$C$18</f>
        <v>1575</v>
      </c>
      <c r="M29" s="33">
        <f>M21*'1_PANEL_CONTROL'!$C$18</f>
        <v>1800</v>
      </c>
      <c r="N29" s="33">
        <f>N21*'1_PANEL_CONTROL'!$C$18</f>
        <v>2025</v>
      </c>
      <c r="O29" s="33">
        <f>O21*'1_PANEL_CONTROL'!$C$18</f>
        <v>2250</v>
      </c>
      <c r="P29" s="33">
        <f>P21*'1_PANEL_CONTROL'!$C$18</f>
        <v>2550</v>
      </c>
      <c r="Q29" s="33">
        <f>Q21*'1_PANEL_CONTROL'!$C$18</f>
        <v>2775</v>
      </c>
      <c r="R29" s="33">
        <f>R21*'1_PANEL_CONTROL'!$C$18</f>
        <v>3075</v>
      </c>
      <c r="S29" s="33">
        <f>S21*'1_PANEL_CONTROL'!$C$18</f>
        <v>3375</v>
      </c>
      <c r="T29" s="33">
        <f>T21*'1_PANEL_CONTROL'!$C$18</f>
        <v>3675</v>
      </c>
      <c r="U29" s="33">
        <f>U21*'1_PANEL_CONTROL'!$C$18</f>
        <v>4050</v>
      </c>
      <c r="V29" s="33">
        <f>V21*'1_PANEL_CONTROL'!$C$18</f>
        <v>4425</v>
      </c>
      <c r="W29" s="33">
        <f>W21*'1_PANEL_CONTROL'!$C$18</f>
        <v>4800</v>
      </c>
      <c r="X29" s="33">
        <f>X21*'1_PANEL_CONTROL'!$C$18</f>
        <v>5250</v>
      </c>
      <c r="Y29" s="33">
        <f>Y21*'1_PANEL_CONTROL'!$C$18</f>
        <v>5700</v>
      </c>
      <c r="Z29" s="33">
        <f>Z21*'1_PANEL_CONTROL'!$C$18</f>
        <v>6150</v>
      </c>
      <c r="AA29" s="33">
        <f>AA21*'1_PANEL_CONTROL'!$C$18</f>
        <v>6675</v>
      </c>
      <c r="AB29" s="33">
        <f>AB21*'1_PANEL_CONTROL'!$C$18</f>
        <v>7275</v>
      </c>
      <c r="AC29" s="33">
        <f>AC21*'1_PANEL_CONTROL'!$C$18</f>
        <v>7875</v>
      </c>
      <c r="AD29" s="33">
        <f>AD21*'1_PANEL_CONTROL'!$C$18</f>
        <v>8550</v>
      </c>
      <c r="AE29" s="33">
        <f>AE21*'1_PANEL_CONTROL'!$C$18</f>
        <v>9225</v>
      </c>
      <c r="AF29" s="33">
        <f>AF21*'1_PANEL_CONTROL'!$C$18</f>
        <v>9975</v>
      </c>
      <c r="AG29" s="33">
        <f>AG21*'1_PANEL_CONTROL'!$C$18</f>
        <v>10800</v>
      </c>
      <c r="AH29" s="33">
        <f>AH21*'1_PANEL_CONTROL'!$C$18</f>
        <v>11700</v>
      </c>
      <c r="AI29" s="33">
        <f>AI21*'1_PANEL_CONTROL'!$C$18</f>
        <v>12600</v>
      </c>
      <c r="AJ29" s="33">
        <f>AJ21*'1_PANEL_CONTROL'!$C$18</f>
        <v>13650</v>
      </c>
      <c r="AK29" s="33">
        <f>AK21*'1_PANEL_CONTROL'!$C$18</f>
        <v>14700</v>
      </c>
      <c r="AL29" s="33">
        <f>AL21*'1_PANEL_CONTROL'!$C$18</f>
        <v>15900</v>
      </c>
      <c r="AM29" s="33">
        <f>AM21*'1_PANEL_CONTROL'!$C$18</f>
        <v>17175</v>
      </c>
      <c r="AN29" s="33">
        <f>AN21*'1_PANEL_CONTROL'!$C$18</f>
        <v>18600</v>
      </c>
      <c r="AO29" s="33">
        <f>AO21*'1_PANEL_CONTROL'!$C$18</f>
        <v>20025</v>
      </c>
      <c r="AP29" s="33">
        <f>AP21*'1_PANEL_CONTROL'!$C$18</f>
        <v>21675</v>
      </c>
      <c r="AQ29" s="33">
        <f>AQ21*'1_PANEL_CONTROL'!$C$18</f>
        <v>23400</v>
      </c>
      <c r="AR29" s="33">
        <f>AR21*'1_PANEL_CONTROL'!$C$18</f>
        <v>25275</v>
      </c>
      <c r="AS29" s="33">
        <f>AS21*'1_PANEL_CONTROL'!$C$18</f>
        <v>27300</v>
      </c>
      <c r="AT29" s="33">
        <f>AT21*'1_PANEL_CONTROL'!$C$18</f>
        <v>29400</v>
      </c>
      <c r="AU29" s="33">
        <f>AU21*'1_PANEL_CONTROL'!$C$18</f>
        <v>31800</v>
      </c>
      <c r="AV29" s="33">
        <f>AV21*'1_PANEL_CONTROL'!$C$18</f>
        <v>34350</v>
      </c>
      <c r="AW29" s="33">
        <f>AW21*'1_PANEL_CONTROL'!$C$18</f>
        <v>37050</v>
      </c>
      <c r="AX29" s="33">
        <f>AX21*'1_PANEL_CONTROL'!$C$18</f>
        <v>39975</v>
      </c>
      <c r="AY29" s="33">
        <f>AY21*'1_PANEL_CONTROL'!$C$18</f>
        <v>43200</v>
      </c>
      <c r="AZ29" s="33">
        <f>AZ21*'1_PANEL_CONTROL'!$C$18</f>
        <v>46650</v>
      </c>
      <c r="BA29" s="33">
        <f>BA21*'1_PANEL_CONTROL'!$C$18</f>
        <v>50400</v>
      </c>
      <c r="BB29" s="33">
        <f>BB21*'1_PANEL_CONTROL'!$C$18</f>
        <v>54375</v>
      </c>
      <c r="BC29" s="33">
        <f>BC21*'1_PANEL_CONTROL'!$C$18</f>
        <v>58725</v>
      </c>
      <c r="BD29" s="33">
        <f>BD21*'1_PANEL_CONTROL'!$C$18</f>
        <v>63375</v>
      </c>
      <c r="BE29" s="33">
        <f>BE21*'1_PANEL_CONTROL'!$C$18</f>
        <v>68475</v>
      </c>
      <c r="BF29" s="33">
        <f>BF21*'1_PANEL_CONTROL'!$C$18</f>
        <v>73950</v>
      </c>
      <c r="BG29" s="33">
        <f>BG21*'1_PANEL_CONTROL'!$C$18</f>
        <v>79800</v>
      </c>
      <c r="BH29" s="33">
        <f>BH21*'1_PANEL_CONTROL'!$C$18</f>
        <v>86175</v>
      </c>
      <c r="BI29" s="33">
        <f>BI21*'1_PANEL_CONTROL'!$C$18</f>
        <v>93075</v>
      </c>
      <c r="BJ29" s="33">
        <f>BJ21*'1_PANEL_CONTROL'!$C$18</f>
        <v>100500</v>
      </c>
      <c r="BK29" s="33">
        <f>BK21*'1_PANEL_CONTROL'!$C$18</f>
        <v>108525</v>
      </c>
      <c r="BL29" s="33">
        <f>BL21*'1_PANEL_CONTROL'!$C$18</f>
        <v>117150</v>
      </c>
      <c r="BM29" s="33">
        <f>BM21*'1_PANEL_CONTROL'!$C$18</f>
        <v>126525</v>
      </c>
      <c r="BN29" s="33">
        <f>BN21*'1_PANEL_CONTROL'!$C$18</f>
        <v>136650</v>
      </c>
      <c r="BO29" s="33">
        <f>BO21*'1_PANEL_CONTROL'!$C$18</f>
        <v>147525</v>
      </c>
      <c r="BP29" s="33">
        <f>BP21*'1_PANEL_CONTROL'!$C$18</f>
        <v>159300</v>
      </c>
      <c r="BQ29" s="33">
        <f>BQ21*'1_PANEL_CONTROL'!$C$18</f>
        <v>172050</v>
      </c>
      <c r="BR29" s="33">
        <f>BR21*'1_PANEL_CONTROL'!$C$18</f>
        <v>185775</v>
      </c>
      <c r="BS29" s="33">
        <f>BS21*'1_PANEL_CONTROL'!$C$18</f>
        <v>200625</v>
      </c>
      <c r="BT29" s="33">
        <f>BT21*'1_PANEL_CONTROL'!$C$18</f>
        <v>216675</v>
      </c>
      <c r="BU29" s="33">
        <f>BU21*'1_PANEL_CONTROL'!$C$18</f>
        <v>234000</v>
      </c>
      <c r="BV29" s="33">
        <f>BV21*'1_PANEL_CONTROL'!$C$18</f>
        <v>252675</v>
      </c>
      <c r="BW29" s="33">
        <f>BW21*'1_PANEL_CONTROL'!$C$18</f>
        <v>272850</v>
      </c>
      <c r="BX29" s="33">
        <f>BX21*'1_PANEL_CONTROL'!$C$18</f>
        <v>294675</v>
      </c>
      <c r="BY29" s="33">
        <f>BY21*'1_PANEL_CONTROL'!$C$18</f>
        <v>318225</v>
      </c>
      <c r="BZ29" s="33">
        <f>BZ21*'1_PANEL_CONTROL'!$C$18</f>
        <v>343650</v>
      </c>
      <c r="CA29" s="33">
        <f>CA21*'1_PANEL_CONTROL'!$C$18</f>
        <v>371100</v>
      </c>
      <c r="CB29" s="33">
        <f>CB21*'1_PANEL_CONTROL'!$C$18</f>
        <v>400800</v>
      </c>
      <c r="CC29" s="33">
        <f>CC21*'1_PANEL_CONTROL'!$C$18</f>
        <v>432825</v>
      </c>
      <c r="CD29" s="33">
        <f>CD21*'1_PANEL_CONTROL'!$C$18</f>
        <v>467400</v>
      </c>
      <c r="CE29" s="33">
        <f>CE21*'1_PANEL_CONTROL'!$C$18</f>
        <v>504825</v>
      </c>
      <c r="CF29" s="33">
        <f>CF21*'1_PANEL_CONTROL'!$C$18</f>
        <v>545175</v>
      </c>
      <c r="CG29" s="33">
        <f>CG21*'1_PANEL_CONTROL'!$C$18</f>
        <v>588750</v>
      </c>
      <c r="CH29" s="33">
        <f>CH21*'1_PANEL_CONTROL'!$C$18</f>
        <v>635850</v>
      </c>
      <c r="CI29" s="33">
        <f>CI21*'1_PANEL_CONTROL'!$C$18</f>
        <v>686700</v>
      </c>
    </row>
    <row r="30" spans="1:87" ht="16.5">
      <c r="A30" s="6" t="s">
        <v>541</v>
      </c>
      <c r="B30" s="30" t="s">
        <v>465</v>
      </c>
      <c r="C30" s="17" t="s">
        <v>542</v>
      </c>
      <c r="D30" s="33">
        <f>D22*'1_PANEL_CONTROL'!$C$21</f>
        <v>33.75</v>
      </c>
      <c r="E30" s="33">
        <f>E22*'1_PANEL_CONTROL'!$C$21</f>
        <v>71.25</v>
      </c>
      <c r="F30" s="33">
        <f>F22*'1_PANEL_CONTROL'!$C$21</f>
        <v>105</v>
      </c>
      <c r="G30" s="33">
        <f>G22*'1_PANEL_CONTROL'!$C$21</f>
        <v>142.5</v>
      </c>
      <c r="H30" s="33">
        <f>H22*'1_PANEL_CONTROL'!$C$21</f>
        <v>180</v>
      </c>
      <c r="I30" s="33">
        <f>I22*'1_PANEL_CONTROL'!$C$21</f>
        <v>221.25</v>
      </c>
      <c r="J30" s="33">
        <f>J22*'1_PANEL_CONTROL'!$C$21</f>
        <v>262.5</v>
      </c>
      <c r="K30" s="33">
        <f>K22*'1_PANEL_CONTROL'!$C$21</f>
        <v>303.75</v>
      </c>
      <c r="L30" s="33">
        <f>L22*'1_PANEL_CONTROL'!$C$21</f>
        <v>348.75</v>
      </c>
      <c r="M30" s="33">
        <f>M22*'1_PANEL_CONTROL'!$C$21</f>
        <v>397.5</v>
      </c>
      <c r="N30" s="33">
        <f>N22*'1_PANEL_CONTROL'!$C$21</f>
        <v>450</v>
      </c>
      <c r="O30" s="33">
        <f>O22*'1_PANEL_CONTROL'!$C$21</f>
        <v>502.5</v>
      </c>
      <c r="P30" s="33">
        <f>P22*'1_PANEL_CONTROL'!$C$21</f>
        <v>558.75</v>
      </c>
      <c r="Q30" s="33">
        <f>Q22*'1_PANEL_CONTROL'!$C$21</f>
        <v>618.75</v>
      </c>
      <c r="R30" s="33">
        <f>R22*'1_PANEL_CONTROL'!$C$21</f>
        <v>682.5</v>
      </c>
      <c r="S30" s="33">
        <f>S22*'1_PANEL_CONTROL'!$C$21</f>
        <v>750</v>
      </c>
      <c r="T30" s="33">
        <f>T22*'1_PANEL_CONTROL'!$C$21</f>
        <v>821.25</v>
      </c>
      <c r="U30" s="33">
        <f>U22*'1_PANEL_CONTROL'!$C$21</f>
        <v>896.25</v>
      </c>
      <c r="V30" s="33">
        <f>V22*'1_PANEL_CONTROL'!$C$21</f>
        <v>978.75</v>
      </c>
      <c r="W30" s="33">
        <f>W22*'1_PANEL_CONTROL'!$C$21</f>
        <v>1068.75</v>
      </c>
      <c r="X30" s="33">
        <f>X22*'1_PANEL_CONTROL'!$C$21</f>
        <v>1162.5</v>
      </c>
      <c r="Y30" s="33">
        <f>Y22*'1_PANEL_CONTROL'!$C$21</f>
        <v>1263.75</v>
      </c>
      <c r="Z30" s="33">
        <f>Z22*'1_PANEL_CONTROL'!$C$21</f>
        <v>1372.5</v>
      </c>
      <c r="AA30" s="33">
        <f>AA22*'1_PANEL_CONTROL'!$C$21</f>
        <v>1488.75</v>
      </c>
      <c r="AB30" s="33">
        <f>AB22*'1_PANEL_CONTROL'!$C$21</f>
        <v>1612.5</v>
      </c>
      <c r="AC30" s="33">
        <f>AC22*'1_PANEL_CONTROL'!$C$21</f>
        <v>1747.5</v>
      </c>
      <c r="AD30" s="33">
        <f>AD22*'1_PANEL_CONTROL'!$C$21</f>
        <v>1893.75</v>
      </c>
      <c r="AE30" s="33">
        <f>AE22*'1_PANEL_CONTROL'!$C$21</f>
        <v>2047.5</v>
      </c>
      <c r="AF30" s="33">
        <f>AF22*'1_PANEL_CONTROL'!$C$21</f>
        <v>2216.25</v>
      </c>
      <c r="AG30" s="33">
        <f>AG22*'1_PANEL_CONTROL'!$C$21</f>
        <v>2396.25</v>
      </c>
      <c r="AH30" s="33">
        <f>AH22*'1_PANEL_CONTROL'!$C$21</f>
        <v>2591.25</v>
      </c>
      <c r="AI30" s="33">
        <f>AI22*'1_PANEL_CONTROL'!$C$21</f>
        <v>2801.25</v>
      </c>
      <c r="AJ30" s="33">
        <f>AJ22*'1_PANEL_CONTROL'!$C$21</f>
        <v>3030</v>
      </c>
      <c r="AK30" s="33">
        <f>AK22*'1_PANEL_CONTROL'!$C$21</f>
        <v>3273.75</v>
      </c>
      <c r="AL30" s="33">
        <f>AL22*'1_PANEL_CONTROL'!$C$21</f>
        <v>3536.25</v>
      </c>
      <c r="AM30" s="33">
        <f>AM22*'1_PANEL_CONTROL'!$C$21</f>
        <v>3817.5</v>
      </c>
      <c r="AN30" s="33">
        <f>AN22*'1_PANEL_CONTROL'!$C$21</f>
        <v>4125</v>
      </c>
      <c r="AO30" s="33">
        <f>AO22*'1_PANEL_CONTROL'!$C$21</f>
        <v>4455</v>
      </c>
      <c r="AP30" s="33">
        <f>AP22*'1_PANEL_CONTROL'!$C$21</f>
        <v>4811.25</v>
      </c>
      <c r="AQ30" s="33">
        <f>AQ22*'1_PANEL_CONTROL'!$C$21</f>
        <v>5193.75</v>
      </c>
      <c r="AR30" s="33">
        <f>AR22*'1_PANEL_CONTROL'!$C$21</f>
        <v>5610</v>
      </c>
      <c r="AS30" s="33">
        <f>AS22*'1_PANEL_CONTROL'!$C$21</f>
        <v>6060</v>
      </c>
      <c r="AT30" s="33">
        <f>AT22*'1_PANEL_CONTROL'!$C$21</f>
        <v>6540</v>
      </c>
      <c r="AU30" s="33">
        <f>AU22*'1_PANEL_CONTROL'!$C$21</f>
        <v>7061.25</v>
      </c>
      <c r="AV30" s="33">
        <f>AV22*'1_PANEL_CONTROL'!$C$21</f>
        <v>7627.5</v>
      </c>
      <c r="AW30" s="33">
        <f>AW22*'1_PANEL_CONTROL'!$C$21</f>
        <v>8235</v>
      </c>
      <c r="AX30" s="33">
        <f>AX22*'1_PANEL_CONTROL'!$C$21</f>
        <v>8891.25</v>
      </c>
      <c r="AY30" s="33">
        <f>AY22*'1_PANEL_CONTROL'!$C$21</f>
        <v>9600</v>
      </c>
      <c r="AZ30" s="33">
        <f>AZ22*'1_PANEL_CONTROL'!$C$21</f>
        <v>10365</v>
      </c>
      <c r="BA30" s="33">
        <f>BA22*'1_PANEL_CONTROL'!$C$21</f>
        <v>11193.75</v>
      </c>
      <c r="BB30" s="33">
        <f>BB22*'1_PANEL_CONTROL'!$C$21</f>
        <v>12086.25</v>
      </c>
      <c r="BC30" s="33">
        <f>BC22*'1_PANEL_CONTROL'!$C$21</f>
        <v>13050</v>
      </c>
      <c r="BD30" s="33">
        <f>BD22*'1_PANEL_CONTROL'!$C$21</f>
        <v>14092.5</v>
      </c>
      <c r="BE30" s="33">
        <f>BE22*'1_PANEL_CONTROL'!$C$21</f>
        <v>15213.75</v>
      </c>
      <c r="BF30" s="33">
        <f>BF22*'1_PANEL_CONTROL'!$C$21</f>
        <v>16428.75</v>
      </c>
      <c r="BG30" s="33">
        <f>BG22*'1_PANEL_CONTROL'!$C$21</f>
        <v>17737.5</v>
      </c>
      <c r="BH30" s="33">
        <f>BH22*'1_PANEL_CONTROL'!$C$21</f>
        <v>19155</v>
      </c>
      <c r="BI30" s="33">
        <f>BI22*'1_PANEL_CONTROL'!$C$21</f>
        <v>20681.25</v>
      </c>
      <c r="BJ30" s="33">
        <f>BJ22*'1_PANEL_CONTROL'!$C$21</f>
        <v>22331.25</v>
      </c>
      <c r="BK30" s="33">
        <f>BK22*'1_PANEL_CONTROL'!$C$21</f>
        <v>24116.25</v>
      </c>
      <c r="BL30" s="33">
        <f>BL22*'1_PANEL_CONTROL'!$C$21</f>
        <v>26040</v>
      </c>
      <c r="BM30" s="33">
        <f>BM22*'1_PANEL_CONTROL'!$C$21</f>
        <v>28117.5</v>
      </c>
      <c r="BN30" s="33">
        <f>BN22*'1_PANEL_CONTROL'!$C$21</f>
        <v>30363.75</v>
      </c>
      <c r="BO30" s="33">
        <f>BO22*'1_PANEL_CONTROL'!$C$21</f>
        <v>32790</v>
      </c>
      <c r="BP30" s="33">
        <f>BP22*'1_PANEL_CONTROL'!$C$21</f>
        <v>35407.5</v>
      </c>
      <c r="BQ30" s="33">
        <f>BQ22*'1_PANEL_CONTROL'!$C$21</f>
        <v>38235</v>
      </c>
      <c r="BR30" s="33">
        <f>BR22*'1_PANEL_CONTROL'!$C$21</f>
        <v>41291.25</v>
      </c>
      <c r="BS30" s="33">
        <f>BS22*'1_PANEL_CONTROL'!$C$21</f>
        <v>44587.5</v>
      </c>
      <c r="BT30" s="33">
        <f>BT22*'1_PANEL_CONTROL'!$C$21</f>
        <v>48150</v>
      </c>
      <c r="BU30" s="33">
        <f>BU22*'1_PANEL_CONTROL'!$C$21</f>
        <v>51997.5</v>
      </c>
      <c r="BV30" s="33">
        <f>BV22*'1_PANEL_CONTROL'!$C$21</f>
        <v>56148.75</v>
      </c>
      <c r="BW30" s="33">
        <f>BW22*'1_PANEL_CONTROL'!$C$21</f>
        <v>60637.5</v>
      </c>
      <c r="BX30" s="33">
        <f>BX22*'1_PANEL_CONTROL'!$C$21</f>
        <v>65482.5</v>
      </c>
      <c r="BY30" s="33">
        <f>BY22*'1_PANEL_CONTROL'!$C$21</f>
        <v>70717.5</v>
      </c>
      <c r="BZ30" s="33">
        <f>BZ22*'1_PANEL_CONTROL'!$C$21</f>
        <v>76368.75</v>
      </c>
      <c r="CA30" s="33">
        <f>CA22*'1_PANEL_CONTROL'!$C$21</f>
        <v>82473.75</v>
      </c>
      <c r="CB30" s="33">
        <f>CB22*'1_PANEL_CONTROL'!$C$21</f>
        <v>89066.25</v>
      </c>
      <c r="CC30" s="33">
        <f>CC22*'1_PANEL_CONTROL'!$C$21</f>
        <v>96183.75</v>
      </c>
      <c r="CD30" s="33">
        <f>CD22*'1_PANEL_CONTROL'!$C$21</f>
        <v>103875</v>
      </c>
      <c r="CE30" s="33">
        <f>CE22*'1_PANEL_CONTROL'!$C$21</f>
        <v>112177.5</v>
      </c>
      <c r="CF30" s="33">
        <f>CF22*'1_PANEL_CONTROL'!$C$21</f>
        <v>121147.5</v>
      </c>
      <c r="CG30" s="33">
        <f>CG22*'1_PANEL_CONTROL'!$C$21</f>
        <v>130833.75</v>
      </c>
      <c r="CH30" s="33">
        <f>CH22*'1_PANEL_CONTROL'!$C$21</f>
        <v>141296.25</v>
      </c>
      <c r="CI30" s="33">
        <f>CI22*'1_PANEL_CONTROL'!$C$21</f>
        <v>152595</v>
      </c>
    </row>
    <row r="31" spans="1:87" ht="16.5">
      <c r="A31" s="5" t="s">
        <v>543</v>
      </c>
      <c r="B31" s="30" t="s">
        <v>465</v>
      </c>
      <c r="C31" s="17" t="s">
        <v>544</v>
      </c>
      <c r="D31" s="33">
        <f>CHOOSE('1_PANEL_CONTROL'!$C$4, MIN(5+INT(D18/100), 15), MIN(10+INT(D18/50), 30), MIN(20+INT(D18/25), 60))*CHOOSE('1_PANEL_CONTROL'!$C$4, '1_PANEL_CONTROL'!$C$114, '1_PANEL_CONTROL'!$C$115, '1_PANEL_CONTROL'!$C$116)</f>
        <v>800</v>
      </c>
      <c r="E31" s="33">
        <f>CHOOSE('1_PANEL_CONTROL'!$C$4, MIN(5+INT(E18/100), 15), MIN(10+INT(E18/50), 30), MIN(20+INT(E18/25), 60))*CHOOSE('1_PANEL_CONTROL'!$C$4, '1_PANEL_CONTROL'!$C$114, '1_PANEL_CONTROL'!$C$115, '1_PANEL_CONTROL'!$C$116)</f>
        <v>880</v>
      </c>
      <c r="F31" s="33">
        <f>CHOOSE('1_PANEL_CONTROL'!$C$4, MIN(5+INT(F18/100), 15), MIN(10+INT(F18/50), 30), MIN(20+INT(F18/25), 60))*CHOOSE('1_PANEL_CONTROL'!$C$4, '1_PANEL_CONTROL'!$C$114, '1_PANEL_CONTROL'!$C$115, '1_PANEL_CONTROL'!$C$116)</f>
        <v>960</v>
      </c>
      <c r="G31" s="33">
        <f>CHOOSE('1_PANEL_CONTROL'!$C$4, MIN(5+INT(G18/100), 15), MIN(10+INT(G18/50), 30), MIN(20+INT(G18/25), 60))*CHOOSE('1_PANEL_CONTROL'!$C$4, '1_PANEL_CONTROL'!$C$114, '1_PANEL_CONTROL'!$C$115, '1_PANEL_CONTROL'!$C$116)</f>
        <v>1040</v>
      </c>
      <c r="H31" s="33">
        <f>CHOOSE('1_PANEL_CONTROL'!$C$4, MIN(5+INT(H18/100), 15), MIN(10+INT(H18/50), 30), MIN(20+INT(H18/25), 60))*CHOOSE('1_PANEL_CONTROL'!$C$4, '1_PANEL_CONTROL'!$C$114, '1_PANEL_CONTROL'!$C$115, '1_PANEL_CONTROL'!$C$116)</f>
        <v>1120</v>
      </c>
      <c r="I31" s="33">
        <f>CHOOSE('1_PANEL_CONTROL'!$C$4, MIN(5+INT(I18/100), 15), MIN(10+INT(I18/50), 30), MIN(20+INT(I18/25), 60))*CHOOSE('1_PANEL_CONTROL'!$C$4, '1_PANEL_CONTROL'!$C$114, '1_PANEL_CONTROL'!$C$115, '1_PANEL_CONTROL'!$C$116)</f>
        <v>1200</v>
      </c>
      <c r="J31" s="33">
        <f>CHOOSE('1_PANEL_CONTROL'!$C$4, MIN(5+INT(J18/100), 15), MIN(10+INT(J18/50), 30), MIN(20+INT(J18/25), 60))*CHOOSE('1_PANEL_CONTROL'!$C$4, '1_PANEL_CONTROL'!$C$114, '1_PANEL_CONTROL'!$C$115, '1_PANEL_CONTROL'!$C$116)</f>
        <v>1280</v>
      </c>
      <c r="K31" s="33">
        <f>CHOOSE('1_PANEL_CONTROL'!$C$4, MIN(5+INT(K18/100), 15), MIN(10+INT(K18/50), 30), MIN(20+INT(K18/25), 60))*CHOOSE('1_PANEL_CONTROL'!$C$4, '1_PANEL_CONTROL'!$C$114, '1_PANEL_CONTROL'!$C$115, '1_PANEL_CONTROL'!$C$116)</f>
        <v>1440</v>
      </c>
      <c r="L31" s="33">
        <f>CHOOSE('1_PANEL_CONTROL'!$C$4, MIN(5+INT(L18/100), 15), MIN(10+INT(L18/50), 30), MIN(20+INT(L18/25), 60))*CHOOSE('1_PANEL_CONTROL'!$C$4, '1_PANEL_CONTROL'!$C$114, '1_PANEL_CONTROL'!$C$115, '1_PANEL_CONTROL'!$C$116)</f>
        <v>1520</v>
      </c>
      <c r="M31" s="33">
        <f>CHOOSE('1_PANEL_CONTROL'!$C$4, MIN(5+INT(M18/100), 15), MIN(10+INT(M18/50), 30), MIN(20+INT(M18/25), 60))*CHOOSE('1_PANEL_CONTROL'!$C$4, '1_PANEL_CONTROL'!$C$114, '1_PANEL_CONTROL'!$C$115, '1_PANEL_CONTROL'!$C$116)</f>
        <v>1600</v>
      </c>
      <c r="N31" s="33">
        <f>CHOOSE('1_PANEL_CONTROL'!$C$4, MIN(5+INT(N18/100), 15), MIN(10+INT(N18/50), 30), MIN(20+INT(N18/25), 60))*CHOOSE('1_PANEL_CONTROL'!$C$4, '1_PANEL_CONTROL'!$C$114, '1_PANEL_CONTROL'!$C$115, '1_PANEL_CONTROL'!$C$116)</f>
        <v>1680</v>
      </c>
      <c r="O31" s="33">
        <f>CHOOSE('1_PANEL_CONTROL'!$C$4, MIN(5+INT(O18/100), 15), MIN(10+INT(O18/50), 30), MIN(20+INT(O18/25), 60))*CHOOSE('1_PANEL_CONTROL'!$C$4, '1_PANEL_CONTROL'!$C$114, '1_PANEL_CONTROL'!$C$115, '1_PANEL_CONTROL'!$C$116)</f>
        <v>1840</v>
      </c>
      <c r="P31" s="33">
        <f>CHOOSE('1_PANEL_CONTROL'!$C$4, MIN(5+INT(P18/100), 15), MIN(10+INT(P18/50), 30), MIN(20+INT(P18/25), 60))*CHOOSE('1_PANEL_CONTROL'!$C$4, '1_PANEL_CONTROL'!$C$114, '1_PANEL_CONTROL'!$C$115, '1_PANEL_CONTROL'!$C$116)</f>
        <v>1920</v>
      </c>
      <c r="Q31" s="33">
        <f>CHOOSE('1_PANEL_CONTROL'!$C$4, MIN(5+INT(Q18/100), 15), MIN(10+INT(Q18/50), 30), MIN(20+INT(Q18/25), 60))*CHOOSE('1_PANEL_CONTROL'!$C$4, '1_PANEL_CONTROL'!$C$114, '1_PANEL_CONTROL'!$C$115, '1_PANEL_CONTROL'!$C$116)</f>
        <v>2080</v>
      </c>
      <c r="R31" s="33">
        <f>CHOOSE('1_PANEL_CONTROL'!$C$4, MIN(5+INT(R18/100), 15), MIN(10+INT(R18/50), 30), MIN(20+INT(R18/25), 60))*CHOOSE('1_PANEL_CONTROL'!$C$4, '1_PANEL_CONTROL'!$C$114, '1_PANEL_CONTROL'!$C$115, '1_PANEL_CONTROL'!$C$116)</f>
        <v>2240</v>
      </c>
      <c r="S31" s="33">
        <f>CHOOSE('1_PANEL_CONTROL'!$C$4, MIN(5+INT(S18/100), 15), MIN(10+INT(S18/50), 30), MIN(20+INT(S18/25), 60))*CHOOSE('1_PANEL_CONTROL'!$C$4, '1_PANEL_CONTROL'!$C$114, '1_PANEL_CONTROL'!$C$115, '1_PANEL_CONTROL'!$C$116)</f>
        <v>2320</v>
      </c>
      <c r="T31" s="33">
        <f>CHOOSE('1_PANEL_CONTROL'!$C$4, MIN(5+INT(T18/100), 15), MIN(10+INT(T18/50), 30), MIN(20+INT(T18/25), 60))*CHOOSE('1_PANEL_CONTROL'!$C$4, '1_PANEL_CONTROL'!$C$114, '1_PANEL_CONTROL'!$C$115, '1_PANEL_CONTROL'!$C$116)</f>
        <v>2400</v>
      </c>
      <c r="U31" s="33">
        <f>CHOOSE('1_PANEL_CONTROL'!$C$4, MIN(5+INT(U18/100), 15), MIN(10+INT(U18/50), 30), MIN(20+INT(U18/25), 60))*CHOOSE('1_PANEL_CONTROL'!$C$4, '1_PANEL_CONTROL'!$C$114, '1_PANEL_CONTROL'!$C$115, '1_PANEL_CONTROL'!$C$116)</f>
        <v>2400</v>
      </c>
      <c r="V31" s="33">
        <f>CHOOSE('1_PANEL_CONTROL'!$C$4, MIN(5+INT(V18/100), 15), MIN(10+INT(V18/50), 30), MIN(20+INT(V18/25), 60))*CHOOSE('1_PANEL_CONTROL'!$C$4, '1_PANEL_CONTROL'!$C$114, '1_PANEL_CONTROL'!$C$115, '1_PANEL_CONTROL'!$C$116)</f>
        <v>2400</v>
      </c>
      <c r="W31" s="33">
        <f>CHOOSE('1_PANEL_CONTROL'!$C$4, MIN(5+INT(W18/100), 15), MIN(10+INT(W18/50), 30), MIN(20+INT(W18/25), 60))*CHOOSE('1_PANEL_CONTROL'!$C$4, '1_PANEL_CONTROL'!$C$114, '1_PANEL_CONTROL'!$C$115, '1_PANEL_CONTROL'!$C$116)</f>
        <v>2400</v>
      </c>
      <c r="X31" s="33">
        <f>CHOOSE('1_PANEL_CONTROL'!$C$4, MIN(5+INT(X18/100), 15), MIN(10+INT(X18/50), 30), MIN(20+INT(X18/25), 60))*CHOOSE('1_PANEL_CONTROL'!$C$4, '1_PANEL_CONTROL'!$C$114, '1_PANEL_CONTROL'!$C$115, '1_PANEL_CONTROL'!$C$116)</f>
        <v>2400</v>
      </c>
      <c r="Y31" s="33">
        <f>CHOOSE('1_PANEL_CONTROL'!$C$4, MIN(5+INT(Y18/100), 15), MIN(10+INT(Y18/50), 30), MIN(20+INT(Y18/25), 60))*CHOOSE('1_PANEL_CONTROL'!$C$4, '1_PANEL_CONTROL'!$C$114, '1_PANEL_CONTROL'!$C$115, '1_PANEL_CONTROL'!$C$116)</f>
        <v>2400</v>
      </c>
      <c r="Z31" s="33">
        <f>CHOOSE('1_PANEL_CONTROL'!$C$4, MIN(5+INT(Z18/100), 15), MIN(10+INT(Z18/50), 30), MIN(20+INT(Z18/25), 60))*CHOOSE('1_PANEL_CONTROL'!$C$4, '1_PANEL_CONTROL'!$C$114, '1_PANEL_CONTROL'!$C$115, '1_PANEL_CONTROL'!$C$116)</f>
        <v>2400</v>
      </c>
      <c r="AA31" s="33">
        <f>CHOOSE('1_PANEL_CONTROL'!$C$4, MIN(5+INT(AA18/100), 15), MIN(10+INT(AA18/50), 30), MIN(20+INT(AA18/25), 60))*CHOOSE('1_PANEL_CONTROL'!$C$4, '1_PANEL_CONTROL'!$C$114, '1_PANEL_CONTROL'!$C$115, '1_PANEL_CONTROL'!$C$116)</f>
        <v>2400</v>
      </c>
      <c r="AB31" s="33">
        <f>CHOOSE('1_PANEL_CONTROL'!$C$4, MIN(5+INT(AB18/100), 15), MIN(10+INT(AB18/50), 30), MIN(20+INT(AB18/25), 60))*CHOOSE('1_PANEL_CONTROL'!$C$4, '1_PANEL_CONTROL'!$C$114, '1_PANEL_CONTROL'!$C$115, '1_PANEL_CONTROL'!$C$116)</f>
        <v>2400</v>
      </c>
      <c r="AC31" s="33">
        <f>CHOOSE('1_PANEL_CONTROL'!$C$4, MIN(5+INT(AC18/100), 15), MIN(10+INT(AC18/50), 30), MIN(20+INT(AC18/25), 60))*CHOOSE('1_PANEL_CONTROL'!$C$4, '1_PANEL_CONTROL'!$C$114, '1_PANEL_CONTROL'!$C$115, '1_PANEL_CONTROL'!$C$116)</f>
        <v>2400</v>
      </c>
      <c r="AD31" s="33">
        <f>CHOOSE('1_PANEL_CONTROL'!$C$4, MIN(5+INT(AD18/100), 15), MIN(10+INT(AD18/50), 30), MIN(20+INT(AD18/25), 60))*CHOOSE('1_PANEL_CONTROL'!$C$4, '1_PANEL_CONTROL'!$C$114, '1_PANEL_CONTROL'!$C$115, '1_PANEL_CONTROL'!$C$116)</f>
        <v>2400</v>
      </c>
      <c r="AE31" s="33">
        <f>CHOOSE('1_PANEL_CONTROL'!$C$4, MIN(5+INT(AE18/100), 15), MIN(10+INT(AE18/50), 30), MIN(20+INT(AE18/25), 60))*CHOOSE('1_PANEL_CONTROL'!$C$4, '1_PANEL_CONTROL'!$C$114, '1_PANEL_CONTROL'!$C$115, '1_PANEL_CONTROL'!$C$116)</f>
        <v>2400</v>
      </c>
      <c r="AF31" s="33">
        <f>CHOOSE('1_PANEL_CONTROL'!$C$4, MIN(5+INT(AF18/100), 15), MIN(10+INT(AF18/50), 30), MIN(20+INT(AF18/25), 60))*CHOOSE('1_PANEL_CONTROL'!$C$4, '1_PANEL_CONTROL'!$C$114, '1_PANEL_CONTROL'!$C$115, '1_PANEL_CONTROL'!$C$116)</f>
        <v>2400</v>
      </c>
      <c r="AG31" s="33">
        <f>CHOOSE('1_PANEL_CONTROL'!$C$4, MIN(5+INT(AG18/100), 15), MIN(10+INT(AG18/50), 30), MIN(20+INT(AG18/25), 60))*CHOOSE('1_PANEL_CONTROL'!$C$4, '1_PANEL_CONTROL'!$C$114, '1_PANEL_CONTROL'!$C$115, '1_PANEL_CONTROL'!$C$116)</f>
        <v>2400</v>
      </c>
      <c r="AH31" s="33">
        <f>CHOOSE('1_PANEL_CONTROL'!$C$4, MIN(5+INT(AH18/100), 15), MIN(10+INT(AH18/50), 30), MIN(20+INT(AH18/25), 60))*CHOOSE('1_PANEL_CONTROL'!$C$4, '1_PANEL_CONTROL'!$C$114, '1_PANEL_CONTROL'!$C$115, '1_PANEL_CONTROL'!$C$116)</f>
        <v>2400</v>
      </c>
      <c r="AI31" s="33">
        <f>CHOOSE('1_PANEL_CONTROL'!$C$4, MIN(5+INT(AI18/100), 15), MIN(10+INT(AI18/50), 30), MIN(20+INT(AI18/25), 60))*CHOOSE('1_PANEL_CONTROL'!$C$4, '1_PANEL_CONTROL'!$C$114, '1_PANEL_CONTROL'!$C$115, '1_PANEL_CONTROL'!$C$116)</f>
        <v>2400</v>
      </c>
      <c r="AJ31" s="33">
        <f>CHOOSE('1_PANEL_CONTROL'!$C$4, MIN(5+INT(AJ18/100), 15), MIN(10+INT(AJ18/50), 30), MIN(20+INT(AJ18/25), 60))*CHOOSE('1_PANEL_CONTROL'!$C$4, '1_PANEL_CONTROL'!$C$114, '1_PANEL_CONTROL'!$C$115, '1_PANEL_CONTROL'!$C$116)</f>
        <v>2400</v>
      </c>
      <c r="AK31" s="33">
        <f>CHOOSE('1_PANEL_CONTROL'!$C$4, MIN(5+INT(AK18/100), 15), MIN(10+INT(AK18/50), 30), MIN(20+INT(AK18/25), 60))*CHOOSE('1_PANEL_CONTROL'!$C$4, '1_PANEL_CONTROL'!$C$114, '1_PANEL_CONTROL'!$C$115, '1_PANEL_CONTROL'!$C$116)</f>
        <v>2400</v>
      </c>
      <c r="AL31" s="33">
        <f>CHOOSE('1_PANEL_CONTROL'!$C$4, MIN(5+INT(AL18/100), 15), MIN(10+INT(AL18/50), 30), MIN(20+INT(AL18/25), 60))*CHOOSE('1_PANEL_CONTROL'!$C$4, '1_PANEL_CONTROL'!$C$114, '1_PANEL_CONTROL'!$C$115, '1_PANEL_CONTROL'!$C$116)</f>
        <v>2400</v>
      </c>
      <c r="AM31" s="33">
        <f>CHOOSE('1_PANEL_CONTROL'!$C$4, MIN(5+INT(AM18/100), 15), MIN(10+INT(AM18/50), 30), MIN(20+INT(AM18/25), 60))*CHOOSE('1_PANEL_CONTROL'!$C$4, '1_PANEL_CONTROL'!$C$114, '1_PANEL_CONTROL'!$C$115, '1_PANEL_CONTROL'!$C$116)</f>
        <v>2400</v>
      </c>
      <c r="AN31" s="33">
        <f>CHOOSE('1_PANEL_CONTROL'!$C$4, MIN(5+INT(AN18/100), 15), MIN(10+INT(AN18/50), 30), MIN(20+INT(AN18/25), 60))*CHOOSE('1_PANEL_CONTROL'!$C$4, '1_PANEL_CONTROL'!$C$114, '1_PANEL_CONTROL'!$C$115, '1_PANEL_CONTROL'!$C$116)</f>
        <v>2400</v>
      </c>
      <c r="AO31" s="33">
        <f>CHOOSE('1_PANEL_CONTROL'!$C$4, MIN(5+INT(AO18/100), 15), MIN(10+INT(AO18/50), 30), MIN(20+INT(AO18/25), 60))*CHOOSE('1_PANEL_CONTROL'!$C$4, '1_PANEL_CONTROL'!$C$114, '1_PANEL_CONTROL'!$C$115, '1_PANEL_CONTROL'!$C$116)</f>
        <v>2400</v>
      </c>
      <c r="AP31" s="33">
        <f>CHOOSE('1_PANEL_CONTROL'!$C$4, MIN(5+INT(AP18/100), 15), MIN(10+INT(AP18/50), 30), MIN(20+INT(AP18/25), 60))*CHOOSE('1_PANEL_CONTROL'!$C$4, '1_PANEL_CONTROL'!$C$114, '1_PANEL_CONTROL'!$C$115, '1_PANEL_CONTROL'!$C$116)</f>
        <v>2400</v>
      </c>
      <c r="AQ31" s="33">
        <f>CHOOSE('1_PANEL_CONTROL'!$C$4, MIN(5+INT(AQ18/100), 15), MIN(10+INT(AQ18/50), 30), MIN(20+INT(AQ18/25), 60))*CHOOSE('1_PANEL_CONTROL'!$C$4, '1_PANEL_CONTROL'!$C$114, '1_PANEL_CONTROL'!$C$115, '1_PANEL_CONTROL'!$C$116)</f>
        <v>2400</v>
      </c>
      <c r="AR31" s="33">
        <f>CHOOSE('1_PANEL_CONTROL'!$C$4, MIN(5+INT(AR18/100), 15), MIN(10+INT(AR18/50), 30), MIN(20+INT(AR18/25), 60))*CHOOSE('1_PANEL_CONTROL'!$C$4, '1_PANEL_CONTROL'!$C$114, '1_PANEL_CONTROL'!$C$115, '1_PANEL_CONTROL'!$C$116)</f>
        <v>2400</v>
      </c>
      <c r="AS31" s="33">
        <f>CHOOSE('1_PANEL_CONTROL'!$C$4, MIN(5+INT(AS18/100), 15), MIN(10+INT(AS18/50), 30), MIN(20+INT(AS18/25), 60))*CHOOSE('1_PANEL_CONTROL'!$C$4, '1_PANEL_CONTROL'!$C$114, '1_PANEL_CONTROL'!$C$115, '1_PANEL_CONTROL'!$C$116)</f>
        <v>2400</v>
      </c>
      <c r="AT31" s="33">
        <f>CHOOSE('1_PANEL_CONTROL'!$C$4, MIN(5+INT(AT18/100), 15), MIN(10+INT(AT18/50), 30), MIN(20+INT(AT18/25), 60))*CHOOSE('1_PANEL_CONTROL'!$C$4, '1_PANEL_CONTROL'!$C$114, '1_PANEL_CONTROL'!$C$115, '1_PANEL_CONTROL'!$C$116)</f>
        <v>2400</v>
      </c>
      <c r="AU31" s="33">
        <f>CHOOSE('1_PANEL_CONTROL'!$C$4, MIN(5+INT(AU18/100), 15), MIN(10+INT(AU18/50), 30), MIN(20+INT(AU18/25), 60))*CHOOSE('1_PANEL_CONTROL'!$C$4, '1_PANEL_CONTROL'!$C$114, '1_PANEL_CONTROL'!$C$115, '1_PANEL_CONTROL'!$C$116)</f>
        <v>2400</v>
      </c>
      <c r="AV31" s="33">
        <f>CHOOSE('1_PANEL_CONTROL'!$C$4, MIN(5+INT(AV18/100), 15), MIN(10+INT(AV18/50), 30), MIN(20+INT(AV18/25), 60))*CHOOSE('1_PANEL_CONTROL'!$C$4, '1_PANEL_CONTROL'!$C$114, '1_PANEL_CONTROL'!$C$115, '1_PANEL_CONTROL'!$C$116)</f>
        <v>2400</v>
      </c>
      <c r="AW31" s="33">
        <f>CHOOSE('1_PANEL_CONTROL'!$C$4, MIN(5+INT(AW18/100), 15), MIN(10+INT(AW18/50), 30), MIN(20+INT(AW18/25), 60))*CHOOSE('1_PANEL_CONTROL'!$C$4, '1_PANEL_CONTROL'!$C$114, '1_PANEL_CONTROL'!$C$115, '1_PANEL_CONTROL'!$C$116)</f>
        <v>2400</v>
      </c>
      <c r="AX31" s="33">
        <f>CHOOSE('1_PANEL_CONTROL'!$C$4, MIN(5+INT(AX18/100), 15), MIN(10+INT(AX18/50), 30), MIN(20+INT(AX18/25), 60))*CHOOSE('1_PANEL_CONTROL'!$C$4, '1_PANEL_CONTROL'!$C$114, '1_PANEL_CONTROL'!$C$115, '1_PANEL_CONTROL'!$C$116)</f>
        <v>2400</v>
      </c>
      <c r="AY31" s="33">
        <f>CHOOSE('1_PANEL_CONTROL'!$C$4, MIN(5+INT(AY18/100), 15), MIN(10+INT(AY18/50), 30), MIN(20+INT(AY18/25), 60))*CHOOSE('1_PANEL_CONTROL'!$C$4, '1_PANEL_CONTROL'!$C$114, '1_PANEL_CONTROL'!$C$115, '1_PANEL_CONTROL'!$C$116)</f>
        <v>2400</v>
      </c>
      <c r="AZ31" s="33">
        <f>CHOOSE('1_PANEL_CONTROL'!$C$4, MIN(5+INT(AZ18/100), 15), MIN(10+INT(AZ18/50), 30), MIN(20+INT(AZ18/25), 60))*CHOOSE('1_PANEL_CONTROL'!$C$4, '1_PANEL_CONTROL'!$C$114, '1_PANEL_CONTROL'!$C$115, '1_PANEL_CONTROL'!$C$116)</f>
        <v>2400</v>
      </c>
      <c r="BA31" s="33">
        <f>CHOOSE('1_PANEL_CONTROL'!$C$4, MIN(5+INT(BA18/100), 15), MIN(10+INT(BA18/50), 30), MIN(20+INT(BA18/25), 60))*CHOOSE('1_PANEL_CONTROL'!$C$4, '1_PANEL_CONTROL'!$C$114, '1_PANEL_CONTROL'!$C$115, '1_PANEL_CONTROL'!$C$116)</f>
        <v>2400</v>
      </c>
      <c r="BB31" s="33">
        <f>CHOOSE('1_PANEL_CONTROL'!$C$4, MIN(5+INT(BB18/100), 15), MIN(10+INT(BB18/50), 30), MIN(20+INT(BB18/25), 60))*CHOOSE('1_PANEL_CONTROL'!$C$4, '1_PANEL_CONTROL'!$C$114, '1_PANEL_CONTROL'!$C$115, '1_PANEL_CONTROL'!$C$116)</f>
        <v>2400</v>
      </c>
      <c r="BC31" s="33">
        <f>CHOOSE('1_PANEL_CONTROL'!$C$4, MIN(5+INT(BC18/100), 15), MIN(10+INT(BC18/50), 30), MIN(20+INT(BC18/25), 60))*CHOOSE('1_PANEL_CONTROL'!$C$4, '1_PANEL_CONTROL'!$C$114, '1_PANEL_CONTROL'!$C$115, '1_PANEL_CONTROL'!$C$116)</f>
        <v>2400</v>
      </c>
      <c r="BD31" s="33">
        <f>CHOOSE('1_PANEL_CONTROL'!$C$4, MIN(5+INT(BD18/100), 15), MIN(10+INT(BD18/50), 30), MIN(20+INT(BD18/25), 60))*CHOOSE('1_PANEL_CONTROL'!$C$4, '1_PANEL_CONTROL'!$C$114, '1_PANEL_CONTROL'!$C$115, '1_PANEL_CONTROL'!$C$116)</f>
        <v>2400</v>
      </c>
      <c r="BE31" s="33">
        <f>CHOOSE('1_PANEL_CONTROL'!$C$4, MIN(5+INT(BE18/100), 15), MIN(10+INT(BE18/50), 30), MIN(20+INT(BE18/25), 60))*CHOOSE('1_PANEL_CONTROL'!$C$4, '1_PANEL_CONTROL'!$C$114, '1_PANEL_CONTROL'!$C$115, '1_PANEL_CONTROL'!$C$116)</f>
        <v>2400</v>
      </c>
      <c r="BF31" s="33">
        <f>CHOOSE('1_PANEL_CONTROL'!$C$4, MIN(5+INT(BF18/100), 15), MIN(10+INT(BF18/50), 30), MIN(20+INT(BF18/25), 60))*CHOOSE('1_PANEL_CONTROL'!$C$4, '1_PANEL_CONTROL'!$C$114, '1_PANEL_CONTROL'!$C$115, '1_PANEL_CONTROL'!$C$116)</f>
        <v>2400</v>
      </c>
      <c r="BG31" s="33">
        <f>CHOOSE('1_PANEL_CONTROL'!$C$4, MIN(5+INT(BG18/100), 15), MIN(10+INT(BG18/50), 30), MIN(20+INT(BG18/25), 60))*CHOOSE('1_PANEL_CONTROL'!$C$4, '1_PANEL_CONTROL'!$C$114, '1_PANEL_CONTROL'!$C$115, '1_PANEL_CONTROL'!$C$116)</f>
        <v>2400</v>
      </c>
      <c r="BH31" s="33">
        <f>CHOOSE('1_PANEL_CONTROL'!$C$4, MIN(5+INT(BH18/100), 15), MIN(10+INT(BH18/50), 30), MIN(20+INT(BH18/25), 60))*CHOOSE('1_PANEL_CONTROL'!$C$4, '1_PANEL_CONTROL'!$C$114, '1_PANEL_CONTROL'!$C$115, '1_PANEL_CONTROL'!$C$116)</f>
        <v>2400</v>
      </c>
      <c r="BI31" s="33">
        <f>CHOOSE('1_PANEL_CONTROL'!$C$4, MIN(5+INT(BI18/100), 15), MIN(10+INT(BI18/50), 30), MIN(20+INT(BI18/25), 60))*CHOOSE('1_PANEL_CONTROL'!$C$4, '1_PANEL_CONTROL'!$C$114, '1_PANEL_CONTROL'!$C$115, '1_PANEL_CONTROL'!$C$116)</f>
        <v>2400</v>
      </c>
      <c r="BJ31" s="33">
        <f>CHOOSE('1_PANEL_CONTROL'!$C$4, MIN(5+INT(BJ18/100), 15), MIN(10+INT(BJ18/50), 30), MIN(20+INT(BJ18/25), 60))*CHOOSE('1_PANEL_CONTROL'!$C$4, '1_PANEL_CONTROL'!$C$114, '1_PANEL_CONTROL'!$C$115, '1_PANEL_CONTROL'!$C$116)</f>
        <v>2400</v>
      </c>
      <c r="BK31" s="33">
        <f>CHOOSE('1_PANEL_CONTROL'!$C$4, MIN(5+INT(BK18/100), 15), MIN(10+INT(BK18/50), 30), MIN(20+INT(BK18/25), 60))*CHOOSE('1_PANEL_CONTROL'!$C$4, '1_PANEL_CONTROL'!$C$114, '1_PANEL_CONTROL'!$C$115, '1_PANEL_CONTROL'!$C$116)</f>
        <v>2400</v>
      </c>
      <c r="BL31" s="33">
        <f>CHOOSE('1_PANEL_CONTROL'!$C$4, MIN(5+INT(BL18/100), 15), MIN(10+INT(BL18/50), 30), MIN(20+INT(BL18/25), 60))*CHOOSE('1_PANEL_CONTROL'!$C$4, '1_PANEL_CONTROL'!$C$114, '1_PANEL_CONTROL'!$C$115, '1_PANEL_CONTROL'!$C$116)</f>
        <v>2400</v>
      </c>
      <c r="BM31" s="33">
        <f>CHOOSE('1_PANEL_CONTROL'!$C$4, MIN(5+INT(BM18/100), 15), MIN(10+INT(BM18/50), 30), MIN(20+INT(BM18/25), 60))*CHOOSE('1_PANEL_CONTROL'!$C$4, '1_PANEL_CONTROL'!$C$114, '1_PANEL_CONTROL'!$C$115, '1_PANEL_CONTROL'!$C$116)</f>
        <v>2400</v>
      </c>
      <c r="BN31" s="33">
        <f>CHOOSE('1_PANEL_CONTROL'!$C$4, MIN(5+INT(BN18/100), 15), MIN(10+INT(BN18/50), 30), MIN(20+INT(BN18/25), 60))*CHOOSE('1_PANEL_CONTROL'!$C$4, '1_PANEL_CONTROL'!$C$114, '1_PANEL_CONTROL'!$C$115, '1_PANEL_CONTROL'!$C$116)</f>
        <v>2400</v>
      </c>
      <c r="BO31" s="33">
        <f>CHOOSE('1_PANEL_CONTROL'!$C$4, MIN(5+INT(BO18/100), 15), MIN(10+INT(BO18/50), 30), MIN(20+INT(BO18/25), 60))*CHOOSE('1_PANEL_CONTROL'!$C$4, '1_PANEL_CONTROL'!$C$114, '1_PANEL_CONTROL'!$C$115, '1_PANEL_CONTROL'!$C$116)</f>
        <v>2400</v>
      </c>
      <c r="BP31" s="33">
        <f>CHOOSE('1_PANEL_CONTROL'!$C$4, MIN(5+INT(BP18/100), 15), MIN(10+INT(BP18/50), 30), MIN(20+INT(BP18/25), 60))*CHOOSE('1_PANEL_CONTROL'!$C$4, '1_PANEL_CONTROL'!$C$114, '1_PANEL_CONTROL'!$C$115, '1_PANEL_CONTROL'!$C$116)</f>
        <v>2400</v>
      </c>
      <c r="BQ31" s="33">
        <f>CHOOSE('1_PANEL_CONTROL'!$C$4, MIN(5+INT(BQ18/100), 15), MIN(10+INT(BQ18/50), 30), MIN(20+INT(BQ18/25), 60))*CHOOSE('1_PANEL_CONTROL'!$C$4, '1_PANEL_CONTROL'!$C$114, '1_PANEL_CONTROL'!$C$115, '1_PANEL_CONTROL'!$C$116)</f>
        <v>2400</v>
      </c>
      <c r="BR31" s="33">
        <f>CHOOSE('1_PANEL_CONTROL'!$C$4, MIN(5+INT(BR18/100), 15), MIN(10+INT(BR18/50), 30), MIN(20+INT(BR18/25), 60))*CHOOSE('1_PANEL_CONTROL'!$C$4, '1_PANEL_CONTROL'!$C$114, '1_PANEL_CONTROL'!$C$115, '1_PANEL_CONTROL'!$C$116)</f>
        <v>2400</v>
      </c>
      <c r="BS31" s="33">
        <f>CHOOSE('1_PANEL_CONTROL'!$C$4, MIN(5+INT(BS18/100), 15), MIN(10+INT(BS18/50), 30), MIN(20+INT(BS18/25), 60))*CHOOSE('1_PANEL_CONTROL'!$C$4, '1_PANEL_CONTROL'!$C$114, '1_PANEL_CONTROL'!$C$115, '1_PANEL_CONTROL'!$C$116)</f>
        <v>2400</v>
      </c>
      <c r="BT31" s="33">
        <f>CHOOSE('1_PANEL_CONTROL'!$C$4, MIN(5+INT(BT18/100), 15), MIN(10+INT(BT18/50), 30), MIN(20+INT(BT18/25), 60))*CHOOSE('1_PANEL_CONTROL'!$C$4, '1_PANEL_CONTROL'!$C$114, '1_PANEL_CONTROL'!$C$115, '1_PANEL_CONTROL'!$C$116)</f>
        <v>2400</v>
      </c>
      <c r="BU31" s="33">
        <f>CHOOSE('1_PANEL_CONTROL'!$C$4, MIN(5+INT(BU18/100), 15), MIN(10+INT(BU18/50), 30), MIN(20+INT(BU18/25), 60))*CHOOSE('1_PANEL_CONTROL'!$C$4, '1_PANEL_CONTROL'!$C$114, '1_PANEL_CONTROL'!$C$115, '1_PANEL_CONTROL'!$C$116)</f>
        <v>2400</v>
      </c>
      <c r="BV31" s="33">
        <f>CHOOSE('1_PANEL_CONTROL'!$C$4, MIN(5+INT(BV18/100), 15), MIN(10+INT(BV18/50), 30), MIN(20+INT(BV18/25), 60))*CHOOSE('1_PANEL_CONTROL'!$C$4, '1_PANEL_CONTROL'!$C$114, '1_PANEL_CONTROL'!$C$115, '1_PANEL_CONTROL'!$C$116)</f>
        <v>2400</v>
      </c>
      <c r="BW31" s="33">
        <f>CHOOSE('1_PANEL_CONTROL'!$C$4, MIN(5+INT(BW18/100), 15), MIN(10+INT(BW18/50), 30), MIN(20+INT(BW18/25), 60))*CHOOSE('1_PANEL_CONTROL'!$C$4, '1_PANEL_CONTROL'!$C$114, '1_PANEL_CONTROL'!$C$115, '1_PANEL_CONTROL'!$C$116)</f>
        <v>2400</v>
      </c>
      <c r="BX31" s="33">
        <f>CHOOSE('1_PANEL_CONTROL'!$C$4, MIN(5+INT(BX18/100), 15), MIN(10+INT(BX18/50), 30), MIN(20+INT(BX18/25), 60))*CHOOSE('1_PANEL_CONTROL'!$C$4, '1_PANEL_CONTROL'!$C$114, '1_PANEL_CONTROL'!$C$115, '1_PANEL_CONTROL'!$C$116)</f>
        <v>2400</v>
      </c>
      <c r="BY31" s="33">
        <f>CHOOSE('1_PANEL_CONTROL'!$C$4, MIN(5+INT(BY18/100), 15), MIN(10+INT(BY18/50), 30), MIN(20+INT(BY18/25), 60))*CHOOSE('1_PANEL_CONTROL'!$C$4, '1_PANEL_CONTROL'!$C$114, '1_PANEL_CONTROL'!$C$115, '1_PANEL_CONTROL'!$C$116)</f>
        <v>2400</v>
      </c>
      <c r="BZ31" s="33">
        <f>CHOOSE('1_PANEL_CONTROL'!$C$4, MIN(5+INT(BZ18/100), 15), MIN(10+INT(BZ18/50), 30), MIN(20+INT(BZ18/25), 60))*CHOOSE('1_PANEL_CONTROL'!$C$4, '1_PANEL_CONTROL'!$C$114, '1_PANEL_CONTROL'!$C$115, '1_PANEL_CONTROL'!$C$116)</f>
        <v>2400</v>
      </c>
      <c r="CA31" s="33">
        <f>CHOOSE('1_PANEL_CONTROL'!$C$4, MIN(5+INT(CA18/100), 15), MIN(10+INT(CA18/50), 30), MIN(20+INT(CA18/25), 60))*CHOOSE('1_PANEL_CONTROL'!$C$4, '1_PANEL_CONTROL'!$C$114, '1_PANEL_CONTROL'!$C$115, '1_PANEL_CONTROL'!$C$116)</f>
        <v>2400</v>
      </c>
      <c r="CB31" s="33">
        <f>CHOOSE('1_PANEL_CONTROL'!$C$4, MIN(5+INT(CB18/100), 15), MIN(10+INT(CB18/50), 30), MIN(20+INT(CB18/25), 60))*CHOOSE('1_PANEL_CONTROL'!$C$4, '1_PANEL_CONTROL'!$C$114, '1_PANEL_CONTROL'!$C$115, '1_PANEL_CONTROL'!$C$116)</f>
        <v>2400</v>
      </c>
      <c r="CC31" s="33">
        <f>CHOOSE('1_PANEL_CONTROL'!$C$4, MIN(5+INT(CC18/100), 15), MIN(10+INT(CC18/50), 30), MIN(20+INT(CC18/25), 60))*CHOOSE('1_PANEL_CONTROL'!$C$4, '1_PANEL_CONTROL'!$C$114, '1_PANEL_CONTROL'!$C$115, '1_PANEL_CONTROL'!$C$116)</f>
        <v>2400</v>
      </c>
      <c r="CD31" s="33">
        <f>CHOOSE('1_PANEL_CONTROL'!$C$4, MIN(5+INT(CD18/100), 15), MIN(10+INT(CD18/50), 30), MIN(20+INT(CD18/25), 60))*CHOOSE('1_PANEL_CONTROL'!$C$4, '1_PANEL_CONTROL'!$C$114, '1_PANEL_CONTROL'!$C$115, '1_PANEL_CONTROL'!$C$116)</f>
        <v>2400</v>
      </c>
      <c r="CE31" s="33">
        <f>CHOOSE('1_PANEL_CONTROL'!$C$4, MIN(5+INT(CE18/100), 15), MIN(10+INT(CE18/50), 30), MIN(20+INT(CE18/25), 60))*CHOOSE('1_PANEL_CONTROL'!$C$4, '1_PANEL_CONTROL'!$C$114, '1_PANEL_CONTROL'!$C$115, '1_PANEL_CONTROL'!$C$116)</f>
        <v>2400</v>
      </c>
      <c r="CF31" s="33">
        <f>CHOOSE('1_PANEL_CONTROL'!$C$4, MIN(5+INT(CF18/100), 15), MIN(10+INT(CF18/50), 30), MIN(20+INT(CF18/25), 60))*CHOOSE('1_PANEL_CONTROL'!$C$4, '1_PANEL_CONTROL'!$C$114, '1_PANEL_CONTROL'!$C$115, '1_PANEL_CONTROL'!$C$116)</f>
        <v>2400</v>
      </c>
      <c r="CG31" s="33">
        <f>CHOOSE('1_PANEL_CONTROL'!$C$4, MIN(5+INT(CG18/100), 15), MIN(10+INT(CG18/50), 30), MIN(20+INT(CG18/25), 60))*CHOOSE('1_PANEL_CONTROL'!$C$4, '1_PANEL_CONTROL'!$C$114, '1_PANEL_CONTROL'!$C$115, '1_PANEL_CONTROL'!$C$116)</f>
        <v>2400</v>
      </c>
      <c r="CH31" s="33">
        <f>CHOOSE('1_PANEL_CONTROL'!$C$4, MIN(5+INT(CH18/100), 15), MIN(10+INT(CH18/50), 30), MIN(20+INT(CH18/25), 60))*CHOOSE('1_PANEL_CONTROL'!$C$4, '1_PANEL_CONTROL'!$C$114, '1_PANEL_CONTROL'!$C$115, '1_PANEL_CONTROL'!$C$116)</f>
        <v>2400</v>
      </c>
      <c r="CI31" s="33">
        <f>CHOOSE('1_PANEL_CONTROL'!$C$4, MIN(5+INT(CI18/100), 15), MIN(10+INT(CI18/50), 30), MIN(20+INT(CI18/25), 60))*CHOOSE('1_PANEL_CONTROL'!$C$4, '1_PANEL_CONTROL'!$C$114, '1_PANEL_CONTROL'!$C$115, '1_PANEL_CONTROL'!$C$116)</f>
        <v>2400</v>
      </c>
    </row>
    <row r="32" spans="1:87" ht="16.5">
      <c r="A32" s="6" t="s">
        <v>545</v>
      </c>
      <c r="B32" s="30" t="s">
        <v>465</v>
      </c>
      <c r="C32" s="17" t="s">
        <v>546</v>
      </c>
      <c r="D32" s="33">
        <f>CHOOSE('1_PANEL_CONTROL'!$C$4, 0, MIN(2+INT(D18/40), 20), MIN(5+INT(D18/15), 80))*'1_PANEL_CONTROL'!$C$117</f>
        <v>119.97</v>
      </c>
      <c r="E32" s="33">
        <f>CHOOSE('1_PANEL_CONTROL'!$C$4, 0, MIN(2+INT(E18/40), 20), MIN(5+INT(E18/15), 80))*'1_PANEL_CONTROL'!$C$117</f>
        <v>159.96</v>
      </c>
      <c r="F32" s="33">
        <f>CHOOSE('1_PANEL_CONTROL'!$C$4, 0, MIN(2+INT(F18/40), 20), MIN(5+INT(F18/15), 80))*'1_PANEL_CONTROL'!$C$117</f>
        <v>199.95000000000002</v>
      </c>
      <c r="G32" s="33">
        <f>CHOOSE('1_PANEL_CONTROL'!$C$4, 0, MIN(2+INT(G18/40), 20), MIN(5+INT(G18/15), 80))*'1_PANEL_CONTROL'!$C$117</f>
        <v>239.94</v>
      </c>
      <c r="H32" s="33">
        <f>CHOOSE('1_PANEL_CONTROL'!$C$4, 0, MIN(2+INT(H18/40), 20), MIN(5+INT(H18/15), 80))*'1_PANEL_CONTROL'!$C$117</f>
        <v>319.92</v>
      </c>
      <c r="I32" s="33">
        <f>CHOOSE('1_PANEL_CONTROL'!$C$4, 0, MIN(2+INT(I18/40), 20), MIN(5+INT(I18/15), 80))*'1_PANEL_CONTROL'!$C$117</f>
        <v>359.91</v>
      </c>
      <c r="J32" s="33">
        <f>CHOOSE('1_PANEL_CONTROL'!$C$4, 0, MIN(2+INT(J18/40), 20), MIN(5+INT(J18/15), 80))*'1_PANEL_CONTROL'!$C$117</f>
        <v>399.90000000000003</v>
      </c>
      <c r="K32" s="33">
        <f>CHOOSE('1_PANEL_CONTROL'!$C$4, 0, MIN(2+INT(K18/40), 20), MIN(5+INT(K18/15), 80))*'1_PANEL_CONTROL'!$C$117</f>
        <v>479.88</v>
      </c>
      <c r="L32" s="33">
        <f>CHOOSE('1_PANEL_CONTROL'!$C$4, 0, MIN(2+INT(L18/40), 20), MIN(5+INT(L18/15), 80))*'1_PANEL_CONTROL'!$C$117</f>
        <v>519.87</v>
      </c>
      <c r="M32" s="33">
        <f>CHOOSE('1_PANEL_CONTROL'!$C$4, 0, MIN(2+INT(M18/40), 20), MIN(5+INT(M18/15), 80))*'1_PANEL_CONTROL'!$C$117</f>
        <v>599.85</v>
      </c>
      <c r="N32" s="33">
        <f>CHOOSE('1_PANEL_CONTROL'!$C$4, 0, MIN(2+INT(N18/40), 20), MIN(5+INT(N18/15), 80))*'1_PANEL_CONTROL'!$C$117</f>
        <v>639.84</v>
      </c>
      <c r="O32" s="33">
        <f>CHOOSE('1_PANEL_CONTROL'!$C$4, 0, MIN(2+INT(O18/40), 20), MIN(5+INT(O18/15), 80))*'1_PANEL_CONTROL'!$C$117</f>
        <v>719.82</v>
      </c>
      <c r="P32" s="33">
        <f>CHOOSE('1_PANEL_CONTROL'!$C$4, 0, MIN(2+INT(P18/40), 20), MIN(5+INT(P18/15), 80))*'1_PANEL_CONTROL'!$C$117</f>
        <v>799.80000000000007</v>
      </c>
      <c r="Q32" s="33">
        <f>CHOOSE('1_PANEL_CONTROL'!$C$4, 0, MIN(2+INT(Q18/40), 20), MIN(5+INT(Q18/15), 80))*'1_PANEL_CONTROL'!$C$117</f>
        <v>799.80000000000007</v>
      </c>
      <c r="R32" s="33">
        <f>CHOOSE('1_PANEL_CONTROL'!$C$4, 0, MIN(2+INT(R18/40), 20), MIN(5+INT(R18/15), 80))*'1_PANEL_CONTROL'!$C$117</f>
        <v>799.80000000000007</v>
      </c>
      <c r="S32" s="33">
        <f>CHOOSE('1_PANEL_CONTROL'!$C$4, 0, MIN(2+INT(S18/40), 20), MIN(5+INT(S18/15), 80))*'1_PANEL_CONTROL'!$C$117</f>
        <v>799.80000000000007</v>
      </c>
      <c r="T32" s="33">
        <f>CHOOSE('1_PANEL_CONTROL'!$C$4, 0, MIN(2+INT(T18/40), 20), MIN(5+INT(T18/15), 80))*'1_PANEL_CONTROL'!$C$117</f>
        <v>799.80000000000007</v>
      </c>
      <c r="U32" s="33">
        <f>CHOOSE('1_PANEL_CONTROL'!$C$4, 0, MIN(2+INT(U18/40), 20), MIN(5+INT(U18/15), 80))*'1_PANEL_CONTROL'!$C$117</f>
        <v>799.80000000000007</v>
      </c>
      <c r="V32" s="33">
        <f>CHOOSE('1_PANEL_CONTROL'!$C$4, 0, MIN(2+INT(V18/40), 20), MIN(5+INT(V18/15), 80))*'1_PANEL_CONTROL'!$C$117</f>
        <v>799.80000000000007</v>
      </c>
      <c r="W32" s="33">
        <f>CHOOSE('1_PANEL_CONTROL'!$C$4, 0, MIN(2+INT(W18/40), 20), MIN(5+INT(W18/15), 80))*'1_PANEL_CONTROL'!$C$117</f>
        <v>799.80000000000007</v>
      </c>
      <c r="X32" s="33">
        <f>CHOOSE('1_PANEL_CONTROL'!$C$4, 0, MIN(2+INT(X18/40), 20), MIN(5+INT(X18/15), 80))*'1_PANEL_CONTROL'!$C$117</f>
        <v>799.80000000000007</v>
      </c>
      <c r="Y32" s="33">
        <f>CHOOSE('1_PANEL_CONTROL'!$C$4, 0, MIN(2+INT(Y18/40), 20), MIN(5+INT(Y18/15), 80))*'1_PANEL_CONTROL'!$C$117</f>
        <v>799.80000000000007</v>
      </c>
      <c r="Z32" s="33">
        <f>CHOOSE('1_PANEL_CONTROL'!$C$4, 0, MIN(2+INT(Z18/40), 20), MIN(5+INT(Z18/15), 80))*'1_PANEL_CONTROL'!$C$117</f>
        <v>799.80000000000007</v>
      </c>
      <c r="AA32" s="33">
        <f>CHOOSE('1_PANEL_CONTROL'!$C$4, 0, MIN(2+INT(AA18/40), 20), MIN(5+INT(AA18/15), 80))*'1_PANEL_CONTROL'!$C$117</f>
        <v>799.80000000000007</v>
      </c>
      <c r="AB32" s="33">
        <f>CHOOSE('1_PANEL_CONTROL'!$C$4, 0, MIN(2+INT(AB18/40), 20), MIN(5+INT(AB18/15), 80))*'1_PANEL_CONTROL'!$C$117</f>
        <v>799.80000000000007</v>
      </c>
      <c r="AC32" s="33">
        <f>CHOOSE('1_PANEL_CONTROL'!$C$4, 0, MIN(2+INT(AC18/40), 20), MIN(5+INT(AC18/15), 80))*'1_PANEL_CONTROL'!$C$117</f>
        <v>799.80000000000007</v>
      </c>
      <c r="AD32" s="33">
        <f>CHOOSE('1_PANEL_CONTROL'!$C$4, 0, MIN(2+INT(AD18/40), 20), MIN(5+INT(AD18/15), 80))*'1_PANEL_CONTROL'!$C$117</f>
        <v>799.80000000000007</v>
      </c>
      <c r="AE32" s="33">
        <f>CHOOSE('1_PANEL_CONTROL'!$C$4, 0, MIN(2+INT(AE18/40), 20), MIN(5+INT(AE18/15), 80))*'1_PANEL_CONTROL'!$C$117</f>
        <v>799.80000000000007</v>
      </c>
      <c r="AF32" s="33">
        <f>CHOOSE('1_PANEL_CONTROL'!$C$4, 0, MIN(2+INT(AF18/40), 20), MIN(5+INT(AF18/15), 80))*'1_PANEL_CONTROL'!$C$117</f>
        <v>799.80000000000007</v>
      </c>
      <c r="AG32" s="33">
        <f>CHOOSE('1_PANEL_CONTROL'!$C$4, 0, MIN(2+INT(AG18/40), 20), MIN(5+INT(AG18/15), 80))*'1_PANEL_CONTROL'!$C$117</f>
        <v>799.80000000000007</v>
      </c>
      <c r="AH32" s="33">
        <f>CHOOSE('1_PANEL_CONTROL'!$C$4, 0, MIN(2+INT(AH18/40), 20), MIN(5+INT(AH18/15), 80))*'1_PANEL_CONTROL'!$C$117</f>
        <v>799.80000000000007</v>
      </c>
      <c r="AI32" s="33">
        <f>CHOOSE('1_PANEL_CONTROL'!$C$4, 0, MIN(2+INT(AI18/40), 20), MIN(5+INT(AI18/15), 80))*'1_PANEL_CONTROL'!$C$117</f>
        <v>799.80000000000007</v>
      </c>
      <c r="AJ32" s="33">
        <f>CHOOSE('1_PANEL_CONTROL'!$C$4, 0, MIN(2+INT(AJ18/40), 20), MIN(5+INT(AJ18/15), 80))*'1_PANEL_CONTROL'!$C$117</f>
        <v>799.80000000000007</v>
      </c>
      <c r="AK32" s="33">
        <f>CHOOSE('1_PANEL_CONTROL'!$C$4, 0, MIN(2+INT(AK18/40), 20), MIN(5+INT(AK18/15), 80))*'1_PANEL_CONTROL'!$C$117</f>
        <v>799.80000000000007</v>
      </c>
      <c r="AL32" s="33">
        <f>CHOOSE('1_PANEL_CONTROL'!$C$4, 0, MIN(2+INT(AL18/40), 20), MIN(5+INT(AL18/15), 80))*'1_PANEL_CONTROL'!$C$117</f>
        <v>799.80000000000007</v>
      </c>
      <c r="AM32" s="33">
        <f>CHOOSE('1_PANEL_CONTROL'!$C$4, 0, MIN(2+INT(AM18/40), 20), MIN(5+INT(AM18/15), 80))*'1_PANEL_CONTROL'!$C$117</f>
        <v>799.80000000000007</v>
      </c>
      <c r="AN32" s="33">
        <f>CHOOSE('1_PANEL_CONTROL'!$C$4, 0, MIN(2+INT(AN18/40), 20), MIN(5+INT(AN18/15), 80))*'1_PANEL_CONTROL'!$C$117</f>
        <v>799.80000000000007</v>
      </c>
      <c r="AO32" s="33">
        <f>CHOOSE('1_PANEL_CONTROL'!$C$4, 0, MIN(2+INT(AO18/40), 20), MIN(5+INT(AO18/15), 80))*'1_PANEL_CONTROL'!$C$117</f>
        <v>799.80000000000007</v>
      </c>
      <c r="AP32" s="33">
        <f>CHOOSE('1_PANEL_CONTROL'!$C$4, 0, MIN(2+INT(AP18/40), 20), MIN(5+INT(AP18/15), 80))*'1_PANEL_CONTROL'!$C$117</f>
        <v>799.80000000000007</v>
      </c>
      <c r="AQ32" s="33">
        <f>CHOOSE('1_PANEL_CONTROL'!$C$4, 0, MIN(2+INT(AQ18/40), 20), MIN(5+INT(AQ18/15), 80))*'1_PANEL_CONTROL'!$C$117</f>
        <v>799.80000000000007</v>
      </c>
      <c r="AR32" s="33">
        <f>CHOOSE('1_PANEL_CONTROL'!$C$4, 0, MIN(2+INT(AR18/40), 20), MIN(5+INT(AR18/15), 80))*'1_PANEL_CONTROL'!$C$117</f>
        <v>799.80000000000007</v>
      </c>
      <c r="AS32" s="33">
        <f>CHOOSE('1_PANEL_CONTROL'!$C$4, 0, MIN(2+INT(AS18/40), 20), MIN(5+INT(AS18/15), 80))*'1_PANEL_CONTROL'!$C$117</f>
        <v>799.80000000000007</v>
      </c>
      <c r="AT32" s="33">
        <f>CHOOSE('1_PANEL_CONTROL'!$C$4, 0, MIN(2+INT(AT18/40), 20), MIN(5+INT(AT18/15), 80))*'1_PANEL_CONTROL'!$C$117</f>
        <v>799.80000000000007</v>
      </c>
      <c r="AU32" s="33">
        <f>CHOOSE('1_PANEL_CONTROL'!$C$4, 0, MIN(2+INT(AU18/40), 20), MIN(5+INT(AU18/15), 80))*'1_PANEL_CONTROL'!$C$117</f>
        <v>799.80000000000007</v>
      </c>
      <c r="AV32" s="33">
        <f>CHOOSE('1_PANEL_CONTROL'!$C$4, 0, MIN(2+INT(AV18/40), 20), MIN(5+INT(AV18/15), 80))*'1_PANEL_CONTROL'!$C$117</f>
        <v>799.80000000000007</v>
      </c>
      <c r="AW32" s="33">
        <f>CHOOSE('1_PANEL_CONTROL'!$C$4, 0, MIN(2+INT(AW18/40), 20), MIN(5+INT(AW18/15), 80))*'1_PANEL_CONTROL'!$C$117</f>
        <v>799.80000000000007</v>
      </c>
      <c r="AX32" s="33">
        <f>CHOOSE('1_PANEL_CONTROL'!$C$4, 0, MIN(2+INT(AX18/40), 20), MIN(5+INT(AX18/15), 80))*'1_PANEL_CONTROL'!$C$117</f>
        <v>799.80000000000007</v>
      </c>
      <c r="AY32" s="33">
        <f>CHOOSE('1_PANEL_CONTROL'!$C$4, 0, MIN(2+INT(AY18/40), 20), MIN(5+INT(AY18/15), 80))*'1_PANEL_CONTROL'!$C$117</f>
        <v>799.80000000000007</v>
      </c>
      <c r="AZ32" s="33">
        <f>CHOOSE('1_PANEL_CONTROL'!$C$4, 0, MIN(2+INT(AZ18/40), 20), MIN(5+INT(AZ18/15), 80))*'1_PANEL_CONTROL'!$C$117</f>
        <v>799.80000000000007</v>
      </c>
      <c r="BA32" s="33">
        <f>CHOOSE('1_PANEL_CONTROL'!$C$4, 0, MIN(2+INT(BA18/40), 20), MIN(5+INT(BA18/15), 80))*'1_PANEL_CONTROL'!$C$117</f>
        <v>799.80000000000007</v>
      </c>
      <c r="BB32" s="33">
        <f>CHOOSE('1_PANEL_CONTROL'!$C$4, 0, MIN(2+INT(BB18/40), 20), MIN(5+INT(BB18/15), 80))*'1_PANEL_CONTROL'!$C$117</f>
        <v>799.80000000000007</v>
      </c>
      <c r="BC32" s="33">
        <f>CHOOSE('1_PANEL_CONTROL'!$C$4, 0, MIN(2+INT(BC18/40), 20), MIN(5+INT(BC18/15), 80))*'1_PANEL_CONTROL'!$C$117</f>
        <v>799.80000000000007</v>
      </c>
      <c r="BD32" s="33">
        <f>CHOOSE('1_PANEL_CONTROL'!$C$4, 0, MIN(2+INT(BD18/40), 20), MIN(5+INT(BD18/15), 80))*'1_PANEL_CONTROL'!$C$117</f>
        <v>799.80000000000007</v>
      </c>
      <c r="BE32" s="33">
        <f>CHOOSE('1_PANEL_CONTROL'!$C$4, 0, MIN(2+INT(BE18/40), 20), MIN(5+INT(BE18/15), 80))*'1_PANEL_CONTROL'!$C$117</f>
        <v>799.80000000000007</v>
      </c>
      <c r="BF32" s="33">
        <f>CHOOSE('1_PANEL_CONTROL'!$C$4, 0, MIN(2+INT(BF18/40), 20), MIN(5+INT(BF18/15), 80))*'1_PANEL_CONTROL'!$C$117</f>
        <v>799.80000000000007</v>
      </c>
      <c r="BG32" s="33">
        <f>CHOOSE('1_PANEL_CONTROL'!$C$4, 0, MIN(2+INT(BG18/40), 20), MIN(5+INT(BG18/15), 80))*'1_PANEL_CONTROL'!$C$117</f>
        <v>799.80000000000007</v>
      </c>
      <c r="BH32" s="33">
        <f>CHOOSE('1_PANEL_CONTROL'!$C$4, 0, MIN(2+INT(BH18/40), 20), MIN(5+INT(BH18/15), 80))*'1_PANEL_CONTROL'!$C$117</f>
        <v>799.80000000000007</v>
      </c>
      <c r="BI32" s="33">
        <f>CHOOSE('1_PANEL_CONTROL'!$C$4, 0, MIN(2+INT(BI18/40), 20), MIN(5+INT(BI18/15), 80))*'1_PANEL_CONTROL'!$C$117</f>
        <v>799.80000000000007</v>
      </c>
      <c r="BJ32" s="33">
        <f>CHOOSE('1_PANEL_CONTROL'!$C$4, 0, MIN(2+INT(BJ18/40), 20), MIN(5+INT(BJ18/15), 80))*'1_PANEL_CONTROL'!$C$117</f>
        <v>799.80000000000007</v>
      </c>
      <c r="BK32" s="33">
        <f>CHOOSE('1_PANEL_CONTROL'!$C$4, 0, MIN(2+INT(BK18/40), 20), MIN(5+INT(BK18/15), 80))*'1_PANEL_CONTROL'!$C$117</f>
        <v>799.80000000000007</v>
      </c>
      <c r="BL32" s="33">
        <f>CHOOSE('1_PANEL_CONTROL'!$C$4, 0, MIN(2+INT(BL18/40), 20), MIN(5+INT(BL18/15), 80))*'1_PANEL_CONTROL'!$C$117</f>
        <v>799.80000000000007</v>
      </c>
      <c r="BM32" s="33">
        <f>CHOOSE('1_PANEL_CONTROL'!$C$4, 0, MIN(2+INT(BM18/40), 20), MIN(5+INT(BM18/15), 80))*'1_PANEL_CONTROL'!$C$117</f>
        <v>799.80000000000007</v>
      </c>
      <c r="BN32" s="33">
        <f>CHOOSE('1_PANEL_CONTROL'!$C$4, 0, MIN(2+INT(BN18/40), 20), MIN(5+INT(BN18/15), 80))*'1_PANEL_CONTROL'!$C$117</f>
        <v>799.80000000000007</v>
      </c>
      <c r="BO32" s="33">
        <f>CHOOSE('1_PANEL_CONTROL'!$C$4, 0, MIN(2+INT(BO18/40), 20), MIN(5+INT(BO18/15), 80))*'1_PANEL_CONTROL'!$C$117</f>
        <v>799.80000000000007</v>
      </c>
      <c r="BP32" s="33">
        <f>CHOOSE('1_PANEL_CONTROL'!$C$4, 0, MIN(2+INT(BP18/40), 20), MIN(5+INT(BP18/15), 80))*'1_PANEL_CONTROL'!$C$117</f>
        <v>799.80000000000007</v>
      </c>
      <c r="BQ32" s="33">
        <f>CHOOSE('1_PANEL_CONTROL'!$C$4, 0, MIN(2+INT(BQ18/40), 20), MIN(5+INT(BQ18/15), 80))*'1_PANEL_CONTROL'!$C$117</f>
        <v>799.80000000000007</v>
      </c>
      <c r="BR32" s="33">
        <f>CHOOSE('1_PANEL_CONTROL'!$C$4, 0, MIN(2+INT(BR18/40), 20), MIN(5+INT(BR18/15), 80))*'1_PANEL_CONTROL'!$C$117</f>
        <v>799.80000000000007</v>
      </c>
      <c r="BS32" s="33">
        <f>CHOOSE('1_PANEL_CONTROL'!$C$4, 0, MIN(2+INT(BS18/40), 20), MIN(5+INT(BS18/15), 80))*'1_PANEL_CONTROL'!$C$117</f>
        <v>799.80000000000007</v>
      </c>
      <c r="BT32" s="33">
        <f>CHOOSE('1_PANEL_CONTROL'!$C$4, 0, MIN(2+INT(BT18/40), 20), MIN(5+INT(BT18/15), 80))*'1_PANEL_CONTROL'!$C$117</f>
        <v>799.80000000000007</v>
      </c>
      <c r="BU32" s="33">
        <f>CHOOSE('1_PANEL_CONTROL'!$C$4, 0, MIN(2+INT(BU18/40), 20), MIN(5+INT(BU18/15), 80))*'1_PANEL_CONTROL'!$C$117</f>
        <v>799.80000000000007</v>
      </c>
      <c r="BV32" s="33">
        <f>CHOOSE('1_PANEL_CONTROL'!$C$4, 0, MIN(2+INT(BV18/40), 20), MIN(5+INT(BV18/15), 80))*'1_PANEL_CONTROL'!$C$117</f>
        <v>799.80000000000007</v>
      </c>
      <c r="BW32" s="33">
        <f>CHOOSE('1_PANEL_CONTROL'!$C$4, 0, MIN(2+INT(BW18/40), 20), MIN(5+INT(BW18/15), 80))*'1_PANEL_CONTROL'!$C$117</f>
        <v>799.80000000000007</v>
      </c>
      <c r="BX32" s="33">
        <f>CHOOSE('1_PANEL_CONTROL'!$C$4, 0, MIN(2+INT(BX18/40), 20), MIN(5+INT(BX18/15), 80))*'1_PANEL_CONTROL'!$C$117</f>
        <v>799.80000000000007</v>
      </c>
      <c r="BY32" s="33">
        <f>CHOOSE('1_PANEL_CONTROL'!$C$4, 0, MIN(2+INT(BY18/40), 20), MIN(5+INT(BY18/15), 80))*'1_PANEL_CONTROL'!$C$117</f>
        <v>799.80000000000007</v>
      </c>
      <c r="BZ32" s="33">
        <f>CHOOSE('1_PANEL_CONTROL'!$C$4, 0, MIN(2+INT(BZ18/40), 20), MIN(5+INT(BZ18/15), 80))*'1_PANEL_CONTROL'!$C$117</f>
        <v>799.80000000000007</v>
      </c>
      <c r="CA32" s="33">
        <f>CHOOSE('1_PANEL_CONTROL'!$C$4, 0, MIN(2+INT(CA18/40), 20), MIN(5+INT(CA18/15), 80))*'1_PANEL_CONTROL'!$C$117</f>
        <v>799.80000000000007</v>
      </c>
      <c r="CB32" s="33">
        <f>CHOOSE('1_PANEL_CONTROL'!$C$4, 0, MIN(2+INT(CB18/40), 20), MIN(5+INT(CB18/15), 80))*'1_PANEL_CONTROL'!$C$117</f>
        <v>799.80000000000007</v>
      </c>
      <c r="CC32" s="33">
        <f>CHOOSE('1_PANEL_CONTROL'!$C$4, 0, MIN(2+INT(CC18/40), 20), MIN(5+INT(CC18/15), 80))*'1_PANEL_CONTROL'!$C$117</f>
        <v>799.80000000000007</v>
      </c>
      <c r="CD32" s="33">
        <f>CHOOSE('1_PANEL_CONTROL'!$C$4, 0, MIN(2+INT(CD18/40), 20), MIN(5+INT(CD18/15), 80))*'1_PANEL_CONTROL'!$C$117</f>
        <v>799.80000000000007</v>
      </c>
      <c r="CE32" s="33">
        <f>CHOOSE('1_PANEL_CONTROL'!$C$4, 0, MIN(2+INT(CE18/40), 20), MIN(5+INT(CE18/15), 80))*'1_PANEL_CONTROL'!$C$117</f>
        <v>799.80000000000007</v>
      </c>
      <c r="CF32" s="33">
        <f>CHOOSE('1_PANEL_CONTROL'!$C$4, 0, MIN(2+INT(CF18/40), 20), MIN(5+INT(CF18/15), 80))*'1_PANEL_CONTROL'!$C$117</f>
        <v>799.80000000000007</v>
      </c>
      <c r="CG32" s="33">
        <f>CHOOSE('1_PANEL_CONTROL'!$C$4, 0, MIN(2+INT(CG18/40), 20), MIN(5+INT(CG18/15), 80))*'1_PANEL_CONTROL'!$C$117</f>
        <v>799.80000000000007</v>
      </c>
      <c r="CH32" s="33">
        <f>CHOOSE('1_PANEL_CONTROL'!$C$4, 0, MIN(2+INT(CH18/40), 20), MIN(5+INT(CH18/15), 80))*'1_PANEL_CONTROL'!$C$117</f>
        <v>799.80000000000007</v>
      </c>
      <c r="CI32" s="33">
        <f>CHOOSE('1_PANEL_CONTROL'!$C$4, 0, MIN(2+INT(CI18/40), 20), MIN(5+INT(CI18/15), 80))*'1_PANEL_CONTROL'!$C$117</f>
        <v>799.80000000000007</v>
      </c>
    </row>
    <row r="33" spans="1:87" ht="16.5">
      <c r="A33" s="6" t="s">
        <v>547</v>
      </c>
      <c r="B33" s="30" t="s">
        <v>465</v>
      </c>
      <c r="C33" s="17" t="s">
        <v>548</v>
      </c>
      <c r="D33" s="33">
        <f>D18*'1_PANEL_CONTROL'!$C$129*'1_PANEL_CONTROL'!$C$130*CHOOSE('1_PANEL_CONTROL'!$C$4, '1_PANEL_CONTROL'!$C$131, '1_PANEL_CONTROL'!$C$132, '1_PANEL_CONTROL'!$C$133)</f>
        <v>12.143999999999998</v>
      </c>
      <c r="E33" s="33">
        <f>E18*'1_PANEL_CONTROL'!$C$129*'1_PANEL_CONTROL'!$C$130*CHOOSE('1_PANEL_CONTROL'!$C$4, '1_PANEL_CONTROL'!$C$131, '1_PANEL_CONTROL'!$C$132, '1_PANEL_CONTROL'!$C$133)</f>
        <v>24.552</v>
      </c>
      <c r="F33" s="33">
        <f>F18*'1_PANEL_CONTROL'!$C$129*'1_PANEL_CONTROL'!$C$130*CHOOSE('1_PANEL_CONTROL'!$C$4, '1_PANEL_CONTROL'!$C$131, '1_PANEL_CONTROL'!$C$132, '1_PANEL_CONTROL'!$C$133)</f>
        <v>37.223999999999997</v>
      </c>
      <c r="G33" s="33">
        <f>G18*'1_PANEL_CONTROL'!$C$129*'1_PANEL_CONTROL'!$C$130*CHOOSE('1_PANEL_CONTROL'!$C$4, '1_PANEL_CONTROL'!$C$131, '1_PANEL_CONTROL'!$C$132, '1_PANEL_CONTROL'!$C$133)</f>
        <v>50.160000000000004</v>
      </c>
      <c r="H33" s="33">
        <f>H18*'1_PANEL_CONTROL'!$C$129*'1_PANEL_CONTROL'!$C$130*CHOOSE('1_PANEL_CONTROL'!$C$4, '1_PANEL_CONTROL'!$C$131, '1_PANEL_CONTROL'!$C$132, '1_PANEL_CONTROL'!$C$133)</f>
        <v>63.623999999999995</v>
      </c>
      <c r="I33" s="33">
        <f>I18*'1_PANEL_CONTROL'!$C$129*'1_PANEL_CONTROL'!$C$130*CHOOSE('1_PANEL_CONTROL'!$C$4, '1_PANEL_CONTROL'!$C$131, '1_PANEL_CONTROL'!$C$132, '1_PANEL_CONTROL'!$C$133)</f>
        <v>77.616</v>
      </c>
      <c r="J33" s="33">
        <f>J18*'1_PANEL_CONTROL'!$C$129*'1_PANEL_CONTROL'!$C$130*CHOOSE('1_PANEL_CONTROL'!$C$4, '1_PANEL_CONTROL'!$C$131, '1_PANEL_CONTROL'!$C$132, '1_PANEL_CONTROL'!$C$133)</f>
        <v>92.135999999999981</v>
      </c>
      <c r="K33" s="33">
        <f>K18*'1_PANEL_CONTROL'!$C$129*'1_PANEL_CONTROL'!$C$130*CHOOSE('1_PANEL_CONTROL'!$C$4, '1_PANEL_CONTROL'!$C$131, '1_PANEL_CONTROL'!$C$132, '1_PANEL_CONTROL'!$C$133)</f>
        <v>107.184</v>
      </c>
      <c r="L33" s="33">
        <f>L18*'1_PANEL_CONTROL'!$C$129*'1_PANEL_CONTROL'!$C$130*CHOOSE('1_PANEL_CONTROL'!$C$4, '1_PANEL_CONTROL'!$C$131, '1_PANEL_CONTROL'!$C$132, '1_PANEL_CONTROL'!$C$133)</f>
        <v>123.288</v>
      </c>
      <c r="M33" s="33">
        <f>M18*'1_PANEL_CONTROL'!$C$129*'1_PANEL_CONTROL'!$C$130*CHOOSE('1_PANEL_CONTROL'!$C$4, '1_PANEL_CONTROL'!$C$131, '1_PANEL_CONTROL'!$C$132, '1_PANEL_CONTROL'!$C$133)</f>
        <v>140.184</v>
      </c>
      <c r="N33" s="33">
        <f>N18*'1_PANEL_CONTROL'!$C$129*'1_PANEL_CONTROL'!$C$130*CHOOSE('1_PANEL_CONTROL'!$C$4, '1_PANEL_CONTROL'!$C$131, '1_PANEL_CONTROL'!$C$132, '1_PANEL_CONTROL'!$C$133)</f>
        <v>158.136</v>
      </c>
      <c r="O33" s="33">
        <f>O18*'1_PANEL_CONTROL'!$C$129*'1_PANEL_CONTROL'!$C$130*CHOOSE('1_PANEL_CONTROL'!$C$4, '1_PANEL_CONTROL'!$C$131, '1_PANEL_CONTROL'!$C$132, '1_PANEL_CONTROL'!$C$133)</f>
        <v>176.87999999999997</v>
      </c>
      <c r="P33" s="33">
        <f>P18*'1_PANEL_CONTROL'!$C$129*'1_PANEL_CONTROL'!$C$130*CHOOSE('1_PANEL_CONTROL'!$C$4, '1_PANEL_CONTROL'!$C$131, '1_PANEL_CONTROL'!$C$132, '1_PANEL_CONTROL'!$C$133)</f>
        <v>196.67999999999998</v>
      </c>
      <c r="Q33" s="33">
        <f>Q18*'1_PANEL_CONTROL'!$C$129*'1_PANEL_CONTROL'!$C$130*CHOOSE('1_PANEL_CONTROL'!$C$4, '1_PANEL_CONTROL'!$C$131, '1_PANEL_CONTROL'!$C$132, '1_PANEL_CONTROL'!$C$133)</f>
        <v>217.536</v>
      </c>
      <c r="R33" s="33">
        <f>R18*'1_PANEL_CONTROL'!$C$129*'1_PANEL_CONTROL'!$C$130*CHOOSE('1_PANEL_CONTROL'!$C$4, '1_PANEL_CONTROL'!$C$131, '1_PANEL_CONTROL'!$C$132, '1_PANEL_CONTROL'!$C$133)</f>
        <v>239.71199999999999</v>
      </c>
      <c r="S33" s="33">
        <f>S18*'1_PANEL_CONTROL'!$C$129*'1_PANEL_CONTROL'!$C$130*CHOOSE('1_PANEL_CONTROL'!$C$4, '1_PANEL_CONTROL'!$C$131, '1_PANEL_CONTROL'!$C$132, '1_PANEL_CONTROL'!$C$133)</f>
        <v>263.47199999999998</v>
      </c>
      <c r="T33" s="33">
        <f>T18*'1_PANEL_CONTROL'!$C$129*'1_PANEL_CONTROL'!$C$130*CHOOSE('1_PANEL_CONTROL'!$C$4, '1_PANEL_CONTROL'!$C$131, '1_PANEL_CONTROL'!$C$132, '1_PANEL_CONTROL'!$C$133)</f>
        <v>288.81599999999997</v>
      </c>
      <c r="U33" s="33">
        <f>U18*'1_PANEL_CONTROL'!$C$129*'1_PANEL_CONTROL'!$C$130*CHOOSE('1_PANEL_CONTROL'!$C$4, '1_PANEL_CONTROL'!$C$131, '1_PANEL_CONTROL'!$C$132, '1_PANEL_CONTROL'!$C$133)</f>
        <v>315.74399999999997</v>
      </c>
      <c r="V33" s="33">
        <f>V18*'1_PANEL_CONTROL'!$C$129*'1_PANEL_CONTROL'!$C$130*CHOOSE('1_PANEL_CONTROL'!$C$4, '1_PANEL_CONTROL'!$C$131, '1_PANEL_CONTROL'!$C$132, '1_PANEL_CONTROL'!$C$133)</f>
        <v>344.78400000000005</v>
      </c>
      <c r="W33" s="33">
        <f>W18*'1_PANEL_CONTROL'!$C$129*'1_PANEL_CONTROL'!$C$130*CHOOSE('1_PANEL_CONTROL'!$C$4, '1_PANEL_CONTROL'!$C$131, '1_PANEL_CONTROL'!$C$132, '1_PANEL_CONTROL'!$C$133)</f>
        <v>375.67199999999997</v>
      </c>
      <c r="X33" s="33">
        <f>X18*'1_PANEL_CONTROL'!$C$129*'1_PANEL_CONTROL'!$C$130*CHOOSE('1_PANEL_CONTROL'!$C$4, '1_PANEL_CONTROL'!$C$131, '1_PANEL_CONTROL'!$C$132, '1_PANEL_CONTROL'!$C$133)</f>
        <v>408.93599999999998</v>
      </c>
      <c r="Y33" s="33">
        <f>Y18*'1_PANEL_CONTROL'!$C$129*'1_PANEL_CONTROL'!$C$130*CHOOSE('1_PANEL_CONTROL'!$C$4, '1_PANEL_CONTROL'!$C$131, '1_PANEL_CONTROL'!$C$132, '1_PANEL_CONTROL'!$C$133)</f>
        <v>444.57600000000002</v>
      </c>
      <c r="Z33" s="33">
        <f>Z18*'1_PANEL_CONTROL'!$C$129*'1_PANEL_CONTROL'!$C$130*CHOOSE('1_PANEL_CONTROL'!$C$4, '1_PANEL_CONTROL'!$C$131, '1_PANEL_CONTROL'!$C$132, '1_PANEL_CONTROL'!$C$133)</f>
        <v>482.59199999999998</v>
      </c>
      <c r="AA33" s="33">
        <f>AA18*'1_PANEL_CONTROL'!$C$129*'1_PANEL_CONTROL'!$C$130*CHOOSE('1_PANEL_CONTROL'!$C$4, '1_PANEL_CONTROL'!$C$131, '1_PANEL_CONTROL'!$C$132, '1_PANEL_CONTROL'!$C$133)</f>
        <v>523.51199999999994</v>
      </c>
      <c r="AB33" s="33">
        <f>AB18*'1_PANEL_CONTROL'!$C$129*'1_PANEL_CONTROL'!$C$130*CHOOSE('1_PANEL_CONTROL'!$C$4, '1_PANEL_CONTROL'!$C$131, '1_PANEL_CONTROL'!$C$132, '1_PANEL_CONTROL'!$C$133)</f>
        <v>567.6</v>
      </c>
      <c r="AC33" s="33">
        <f>AC18*'1_PANEL_CONTROL'!$C$129*'1_PANEL_CONTROL'!$C$130*CHOOSE('1_PANEL_CONTROL'!$C$4, '1_PANEL_CONTROL'!$C$131, '1_PANEL_CONTROL'!$C$132, '1_PANEL_CONTROL'!$C$133)</f>
        <v>615.11999999999989</v>
      </c>
      <c r="AD33" s="33">
        <f>AD18*'1_PANEL_CONTROL'!$C$129*'1_PANEL_CONTROL'!$C$130*CHOOSE('1_PANEL_CONTROL'!$C$4, '1_PANEL_CONTROL'!$C$131, '1_PANEL_CONTROL'!$C$132, '1_PANEL_CONTROL'!$C$133)</f>
        <v>666.072</v>
      </c>
      <c r="AE33" s="33">
        <f>AE18*'1_PANEL_CONTROL'!$C$129*'1_PANEL_CONTROL'!$C$130*CHOOSE('1_PANEL_CONTROL'!$C$4, '1_PANEL_CONTROL'!$C$131, '1_PANEL_CONTROL'!$C$132, '1_PANEL_CONTROL'!$C$133)</f>
        <v>720.98399999999992</v>
      </c>
      <c r="AF33" s="33">
        <f>AF18*'1_PANEL_CONTROL'!$C$129*'1_PANEL_CONTROL'!$C$130*CHOOSE('1_PANEL_CONTROL'!$C$4, '1_PANEL_CONTROL'!$C$131, '1_PANEL_CONTROL'!$C$132, '1_PANEL_CONTROL'!$C$133)</f>
        <v>780.11999999999989</v>
      </c>
      <c r="AG33" s="33">
        <f>AG18*'1_PANEL_CONTROL'!$C$129*'1_PANEL_CONTROL'!$C$130*CHOOSE('1_PANEL_CONTROL'!$C$4, '1_PANEL_CONTROL'!$C$131, '1_PANEL_CONTROL'!$C$132, '1_PANEL_CONTROL'!$C$133)</f>
        <v>843.74399999999991</v>
      </c>
      <c r="AH33" s="33">
        <f>AH18*'1_PANEL_CONTROL'!$C$129*'1_PANEL_CONTROL'!$C$130*CHOOSE('1_PANEL_CONTROL'!$C$4, '1_PANEL_CONTROL'!$C$131, '1_PANEL_CONTROL'!$C$132, '1_PANEL_CONTROL'!$C$133)</f>
        <v>912.38400000000001</v>
      </c>
      <c r="AI33" s="33">
        <f>AI18*'1_PANEL_CONTROL'!$C$129*'1_PANEL_CONTROL'!$C$130*CHOOSE('1_PANEL_CONTROL'!$C$4, '1_PANEL_CONTROL'!$C$131, '1_PANEL_CONTROL'!$C$132, '1_PANEL_CONTROL'!$C$133)</f>
        <v>986.30399999999997</v>
      </c>
      <c r="AJ33" s="33">
        <f>AJ18*'1_PANEL_CONTROL'!$C$129*'1_PANEL_CONTROL'!$C$130*CHOOSE('1_PANEL_CONTROL'!$C$4, '1_PANEL_CONTROL'!$C$131, '1_PANEL_CONTROL'!$C$132, '1_PANEL_CONTROL'!$C$133)</f>
        <v>1066.0319999999999</v>
      </c>
      <c r="AK33" s="33">
        <f>AK18*'1_PANEL_CONTROL'!$C$129*'1_PANEL_CONTROL'!$C$130*CHOOSE('1_PANEL_CONTROL'!$C$4, '1_PANEL_CONTROL'!$C$131, '1_PANEL_CONTROL'!$C$132, '1_PANEL_CONTROL'!$C$133)</f>
        <v>1151.8319999999999</v>
      </c>
      <c r="AL33" s="33">
        <f>AL18*'1_PANEL_CONTROL'!$C$129*'1_PANEL_CONTROL'!$C$130*CHOOSE('1_PANEL_CONTROL'!$C$4, '1_PANEL_CONTROL'!$C$131, '1_PANEL_CONTROL'!$C$132, '1_PANEL_CONTROL'!$C$133)</f>
        <v>1244.4959999999999</v>
      </c>
      <c r="AM33" s="33">
        <f>AM18*'1_PANEL_CONTROL'!$C$129*'1_PANEL_CONTROL'!$C$130*CHOOSE('1_PANEL_CONTROL'!$C$4, '1_PANEL_CONTROL'!$C$131, '1_PANEL_CONTROL'!$C$132, '1_PANEL_CONTROL'!$C$133)</f>
        <v>1344.288</v>
      </c>
      <c r="AN33" s="33">
        <f>AN18*'1_PANEL_CONTROL'!$C$129*'1_PANEL_CONTROL'!$C$130*CHOOSE('1_PANEL_CONTROL'!$C$4, '1_PANEL_CONTROL'!$C$131, '1_PANEL_CONTROL'!$C$132, '1_PANEL_CONTROL'!$C$133)</f>
        <v>1452</v>
      </c>
      <c r="AO33" s="33">
        <f>AO18*'1_PANEL_CONTROL'!$C$129*'1_PANEL_CONTROL'!$C$130*CHOOSE('1_PANEL_CONTROL'!$C$4, '1_PANEL_CONTROL'!$C$131, '1_PANEL_CONTROL'!$C$132, '1_PANEL_CONTROL'!$C$133)</f>
        <v>1568.16</v>
      </c>
      <c r="AP33" s="33">
        <f>AP18*'1_PANEL_CONTROL'!$C$129*'1_PANEL_CONTROL'!$C$130*CHOOSE('1_PANEL_CONTROL'!$C$4, '1_PANEL_CONTROL'!$C$131, '1_PANEL_CONTROL'!$C$132, '1_PANEL_CONTROL'!$C$133)</f>
        <v>1693.56</v>
      </c>
      <c r="AQ33" s="33">
        <f>AQ18*'1_PANEL_CONTROL'!$C$129*'1_PANEL_CONTROL'!$C$130*CHOOSE('1_PANEL_CONTROL'!$C$4, '1_PANEL_CONTROL'!$C$131, '1_PANEL_CONTROL'!$C$132, '1_PANEL_CONTROL'!$C$133)</f>
        <v>1828.7279999999998</v>
      </c>
      <c r="AR33" s="33">
        <f>AR18*'1_PANEL_CONTROL'!$C$129*'1_PANEL_CONTROL'!$C$130*CHOOSE('1_PANEL_CONTROL'!$C$4, '1_PANEL_CONTROL'!$C$131, '1_PANEL_CONTROL'!$C$132, '1_PANEL_CONTROL'!$C$133)</f>
        <v>1974.9839999999999</v>
      </c>
      <c r="AS33" s="33">
        <f>AS18*'1_PANEL_CONTROL'!$C$129*'1_PANEL_CONTROL'!$C$130*CHOOSE('1_PANEL_CONTROL'!$C$4, '1_PANEL_CONTROL'!$C$131, '1_PANEL_CONTROL'!$C$132, '1_PANEL_CONTROL'!$C$133)</f>
        <v>2132.5920000000001</v>
      </c>
      <c r="AT33" s="33">
        <f>AT18*'1_PANEL_CONTROL'!$C$129*'1_PANEL_CONTROL'!$C$130*CHOOSE('1_PANEL_CONTROL'!$C$4, '1_PANEL_CONTROL'!$C$131, '1_PANEL_CONTROL'!$C$132, '1_PANEL_CONTROL'!$C$133)</f>
        <v>2302.6079999999997</v>
      </c>
      <c r="AU33" s="33">
        <f>AU18*'1_PANEL_CONTROL'!$C$129*'1_PANEL_CONTROL'!$C$130*CHOOSE('1_PANEL_CONTROL'!$C$4, '1_PANEL_CONTROL'!$C$131, '1_PANEL_CONTROL'!$C$132, '1_PANEL_CONTROL'!$C$133)</f>
        <v>2486.0879999999997</v>
      </c>
      <c r="AV33" s="33">
        <f>AV18*'1_PANEL_CONTROL'!$C$129*'1_PANEL_CONTROL'!$C$130*CHOOSE('1_PANEL_CONTROL'!$C$4, '1_PANEL_CONTROL'!$C$131, '1_PANEL_CONTROL'!$C$132, '1_PANEL_CONTROL'!$C$133)</f>
        <v>2684.3519999999994</v>
      </c>
      <c r="AW33" s="33">
        <f>AW18*'1_PANEL_CONTROL'!$C$129*'1_PANEL_CONTROL'!$C$130*CHOOSE('1_PANEL_CONTROL'!$C$4, '1_PANEL_CONTROL'!$C$131, '1_PANEL_CONTROL'!$C$132, '1_PANEL_CONTROL'!$C$133)</f>
        <v>2898.4559999999997</v>
      </c>
      <c r="AX33" s="33">
        <f>AX18*'1_PANEL_CONTROL'!$C$129*'1_PANEL_CONTROL'!$C$130*CHOOSE('1_PANEL_CONTROL'!$C$4, '1_PANEL_CONTROL'!$C$131, '1_PANEL_CONTROL'!$C$132, '1_PANEL_CONTROL'!$C$133)</f>
        <v>3129.7200000000003</v>
      </c>
      <c r="AY33" s="33">
        <f>AY18*'1_PANEL_CONTROL'!$C$129*'1_PANEL_CONTROL'!$C$130*CHOOSE('1_PANEL_CONTROL'!$C$4, '1_PANEL_CONTROL'!$C$131, '1_PANEL_CONTROL'!$C$132, '1_PANEL_CONTROL'!$C$133)</f>
        <v>3379.2000000000003</v>
      </c>
      <c r="AZ33" s="33">
        <f>AZ18*'1_PANEL_CONTROL'!$C$129*'1_PANEL_CONTROL'!$C$130*CHOOSE('1_PANEL_CONTROL'!$C$4, '1_PANEL_CONTROL'!$C$131, '1_PANEL_CONTROL'!$C$132, '1_PANEL_CONTROL'!$C$133)</f>
        <v>3648.7440000000001</v>
      </c>
      <c r="BA33" s="33">
        <f>BA18*'1_PANEL_CONTROL'!$C$129*'1_PANEL_CONTROL'!$C$130*CHOOSE('1_PANEL_CONTROL'!$C$4, '1_PANEL_CONTROL'!$C$131, '1_PANEL_CONTROL'!$C$132, '1_PANEL_CONTROL'!$C$133)</f>
        <v>3939.9359999999997</v>
      </c>
      <c r="BB33" s="33">
        <f>BB18*'1_PANEL_CONTROL'!$C$129*'1_PANEL_CONTROL'!$C$130*CHOOSE('1_PANEL_CONTROL'!$C$4, '1_PANEL_CONTROL'!$C$131, '1_PANEL_CONTROL'!$C$132, '1_PANEL_CONTROL'!$C$133)</f>
        <v>4254.0959999999995</v>
      </c>
      <c r="BC33" s="33">
        <f>BC18*'1_PANEL_CONTROL'!$C$129*'1_PANEL_CONTROL'!$C$130*CHOOSE('1_PANEL_CONTROL'!$C$4, '1_PANEL_CONTROL'!$C$131, '1_PANEL_CONTROL'!$C$132, '1_PANEL_CONTROL'!$C$133)</f>
        <v>4593.6000000000004</v>
      </c>
      <c r="BD33" s="33">
        <f>BD18*'1_PANEL_CONTROL'!$C$129*'1_PANEL_CONTROL'!$C$130*CHOOSE('1_PANEL_CONTROL'!$C$4, '1_PANEL_CONTROL'!$C$131, '1_PANEL_CONTROL'!$C$132, '1_PANEL_CONTROL'!$C$133)</f>
        <v>4960.0320000000002</v>
      </c>
      <c r="BE33" s="33">
        <f>BE18*'1_PANEL_CONTROL'!$C$129*'1_PANEL_CONTROL'!$C$130*CHOOSE('1_PANEL_CONTROL'!$C$4, '1_PANEL_CONTROL'!$C$131, '1_PANEL_CONTROL'!$C$132, '1_PANEL_CONTROL'!$C$133)</f>
        <v>5355.503999999999</v>
      </c>
      <c r="BF33" s="33">
        <f>BF18*'1_PANEL_CONTROL'!$C$129*'1_PANEL_CONTROL'!$C$130*CHOOSE('1_PANEL_CONTROL'!$C$4, '1_PANEL_CONTROL'!$C$131, '1_PANEL_CONTROL'!$C$132, '1_PANEL_CONTROL'!$C$133)</f>
        <v>5782.6559999999999</v>
      </c>
      <c r="BG33" s="33">
        <f>BG18*'1_PANEL_CONTROL'!$C$129*'1_PANEL_CONTROL'!$C$130*CHOOSE('1_PANEL_CONTROL'!$C$4, '1_PANEL_CONTROL'!$C$131, '1_PANEL_CONTROL'!$C$132, '1_PANEL_CONTROL'!$C$133)</f>
        <v>6244.1279999999997</v>
      </c>
      <c r="BH33" s="33">
        <f>BH18*'1_PANEL_CONTROL'!$C$129*'1_PANEL_CONTROL'!$C$130*CHOOSE('1_PANEL_CONTROL'!$C$4, '1_PANEL_CONTROL'!$C$131, '1_PANEL_CONTROL'!$C$132, '1_PANEL_CONTROL'!$C$133)</f>
        <v>6742.2960000000003</v>
      </c>
      <c r="BI33" s="33">
        <f>BI18*'1_PANEL_CONTROL'!$C$129*'1_PANEL_CONTROL'!$C$130*CHOOSE('1_PANEL_CONTROL'!$C$4, '1_PANEL_CONTROL'!$C$131, '1_PANEL_CONTROL'!$C$132, '1_PANEL_CONTROL'!$C$133)</f>
        <v>7280.3279999999995</v>
      </c>
      <c r="BJ33" s="33">
        <f>BJ18*'1_PANEL_CONTROL'!$C$129*'1_PANEL_CONTROL'!$C$130*CHOOSE('1_PANEL_CONTROL'!$C$4, '1_PANEL_CONTROL'!$C$131, '1_PANEL_CONTROL'!$C$132, '1_PANEL_CONTROL'!$C$133)</f>
        <v>7861.1279999999997</v>
      </c>
      <c r="BK33" s="33">
        <f>BK18*'1_PANEL_CONTROL'!$C$129*'1_PANEL_CONTROL'!$C$130*CHOOSE('1_PANEL_CONTROL'!$C$4, '1_PANEL_CONTROL'!$C$131, '1_PANEL_CONTROL'!$C$132, '1_PANEL_CONTROL'!$C$133)</f>
        <v>8488.655999999999</v>
      </c>
      <c r="BL33" s="33">
        <f>BL18*'1_PANEL_CONTROL'!$C$129*'1_PANEL_CONTROL'!$C$130*CHOOSE('1_PANEL_CONTROL'!$C$4, '1_PANEL_CONTROL'!$C$131, '1_PANEL_CONTROL'!$C$132, '1_PANEL_CONTROL'!$C$133)</f>
        <v>9166.3439999999991</v>
      </c>
      <c r="BM33" s="33">
        <f>BM18*'1_PANEL_CONTROL'!$C$129*'1_PANEL_CONTROL'!$C$130*CHOOSE('1_PANEL_CONTROL'!$C$4, '1_PANEL_CONTROL'!$C$131, '1_PANEL_CONTROL'!$C$132, '1_PANEL_CONTROL'!$C$133)</f>
        <v>9897.8880000000008</v>
      </c>
      <c r="BN33" s="33">
        <f>BN18*'1_PANEL_CONTROL'!$C$129*'1_PANEL_CONTROL'!$C$130*CHOOSE('1_PANEL_CONTROL'!$C$4, '1_PANEL_CONTROL'!$C$131, '1_PANEL_CONTROL'!$C$132, '1_PANEL_CONTROL'!$C$133)</f>
        <v>10688.04</v>
      </c>
      <c r="BO33" s="33">
        <f>BO18*'1_PANEL_CONTROL'!$C$129*'1_PANEL_CONTROL'!$C$130*CHOOSE('1_PANEL_CONTROL'!$C$4, '1_PANEL_CONTROL'!$C$131, '1_PANEL_CONTROL'!$C$132, '1_PANEL_CONTROL'!$C$133)</f>
        <v>11541.552</v>
      </c>
      <c r="BP33" s="33">
        <f>BP18*'1_PANEL_CONTROL'!$C$129*'1_PANEL_CONTROL'!$C$130*CHOOSE('1_PANEL_CONTROL'!$C$4, '1_PANEL_CONTROL'!$C$131, '1_PANEL_CONTROL'!$C$132, '1_PANEL_CONTROL'!$C$133)</f>
        <v>12463.44</v>
      </c>
      <c r="BQ33" s="33">
        <f>BQ18*'1_PANEL_CONTROL'!$C$129*'1_PANEL_CONTROL'!$C$130*CHOOSE('1_PANEL_CONTROL'!$C$4, '1_PANEL_CONTROL'!$C$131, '1_PANEL_CONTROL'!$C$132, '1_PANEL_CONTROL'!$C$133)</f>
        <v>13458.983999999999</v>
      </c>
      <c r="BR33" s="33">
        <f>BR18*'1_PANEL_CONTROL'!$C$129*'1_PANEL_CONTROL'!$C$130*CHOOSE('1_PANEL_CONTROL'!$C$4, '1_PANEL_CONTROL'!$C$131, '1_PANEL_CONTROL'!$C$132, '1_PANEL_CONTROL'!$C$133)</f>
        <v>14533.992</v>
      </c>
      <c r="BS33" s="33">
        <f>BS18*'1_PANEL_CONTROL'!$C$129*'1_PANEL_CONTROL'!$C$130*CHOOSE('1_PANEL_CONTROL'!$C$4, '1_PANEL_CONTROL'!$C$131, '1_PANEL_CONTROL'!$C$132, '1_PANEL_CONTROL'!$C$133)</f>
        <v>15694.800000000001</v>
      </c>
      <c r="BT33" s="33">
        <f>BT18*'1_PANEL_CONTROL'!$C$129*'1_PANEL_CONTROL'!$C$130*CHOOSE('1_PANEL_CONTROL'!$C$4, '1_PANEL_CONTROL'!$C$131, '1_PANEL_CONTROL'!$C$132, '1_PANEL_CONTROL'!$C$133)</f>
        <v>16948.536</v>
      </c>
      <c r="BU33" s="33">
        <f>BU18*'1_PANEL_CONTROL'!$C$129*'1_PANEL_CONTROL'!$C$130*CHOOSE('1_PANEL_CONTROL'!$C$4, '1_PANEL_CONTROL'!$C$131, '1_PANEL_CONTROL'!$C$132, '1_PANEL_CONTROL'!$C$133)</f>
        <v>18302.592000000001</v>
      </c>
      <c r="BV33" s="33">
        <f>BV18*'1_PANEL_CONTROL'!$C$129*'1_PANEL_CONTROL'!$C$130*CHOOSE('1_PANEL_CONTROL'!$C$4, '1_PANEL_CONTROL'!$C$131, '1_PANEL_CONTROL'!$C$132, '1_PANEL_CONTROL'!$C$133)</f>
        <v>19764.887999999999</v>
      </c>
      <c r="BW33" s="33">
        <f>BW18*'1_PANEL_CONTROL'!$C$129*'1_PANEL_CONTROL'!$C$130*CHOOSE('1_PANEL_CONTROL'!$C$4, '1_PANEL_CONTROL'!$C$131, '1_PANEL_CONTROL'!$C$132, '1_PANEL_CONTROL'!$C$133)</f>
        <v>21344.135999999995</v>
      </c>
      <c r="BX33" s="33">
        <f>BX18*'1_PANEL_CONTROL'!$C$129*'1_PANEL_CONTROL'!$C$130*CHOOSE('1_PANEL_CONTROL'!$C$4, '1_PANEL_CONTROL'!$C$131, '1_PANEL_CONTROL'!$C$132, '1_PANEL_CONTROL'!$C$133)</f>
        <v>23049.839999999997</v>
      </c>
      <c r="BY33" s="33">
        <f>BY18*'1_PANEL_CONTROL'!$C$129*'1_PANEL_CONTROL'!$C$130*CHOOSE('1_PANEL_CONTROL'!$C$4, '1_PANEL_CONTROL'!$C$131, '1_PANEL_CONTROL'!$C$132, '1_PANEL_CONTROL'!$C$133)</f>
        <v>24892.031999999999</v>
      </c>
      <c r="BZ33" s="33">
        <f>BZ18*'1_PANEL_CONTROL'!$C$129*'1_PANEL_CONTROL'!$C$130*CHOOSE('1_PANEL_CONTROL'!$C$4, '1_PANEL_CONTROL'!$C$131, '1_PANEL_CONTROL'!$C$132, '1_PANEL_CONTROL'!$C$133)</f>
        <v>26881.535999999996</v>
      </c>
      <c r="CA33" s="33">
        <f>CA18*'1_PANEL_CONTROL'!$C$129*'1_PANEL_CONTROL'!$C$130*CHOOSE('1_PANEL_CONTROL'!$C$4, '1_PANEL_CONTROL'!$C$131, '1_PANEL_CONTROL'!$C$132, '1_PANEL_CONTROL'!$C$133)</f>
        <v>29030.231999999996</v>
      </c>
      <c r="CB33" s="33">
        <f>CB18*'1_PANEL_CONTROL'!$C$129*'1_PANEL_CONTROL'!$C$130*CHOOSE('1_PANEL_CONTROL'!$C$4, '1_PANEL_CONTROL'!$C$131, '1_PANEL_CONTROL'!$C$132, '1_PANEL_CONTROL'!$C$133)</f>
        <v>31350.791999999998</v>
      </c>
      <c r="CC33" s="33">
        <f>CC18*'1_PANEL_CONTROL'!$C$129*'1_PANEL_CONTROL'!$C$130*CHOOSE('1_PANEL_CONTROL'!$C$4, '1_PANEL_CONTROL'!$C$131, '1_PANEL_CONTROL'!$C$132, '1_PANEL_CONTROL'!$C$133)</f>
        <v>33856.944000000003</v>
      </c>
      <c r="CD33" s="33">
        <f>CD18*'1_PANEL_CONTROL'!$C$129*'1_PANEL_CONTROL'!$C$130*CHOOSE('1_PANEL_CONTROL'!$C$4, '1_PANEL_CONTROL'!$C$131, '1_PANEL_CONTROL'!$C$132, '1_PANEL_CONTROL'!$C$133)</f>
        <v>36563.736000000004</v>
      </c>
      <c r="CE33" s="33">
        <f>CE18*'1_PANEL_CONTROL'!$C$129*'1_PANEL_CONTROL'!$C$130*CHOOSE('1_PANEL_CONTROL'!$C$4, '1_PANEL_CONTROL'!$C$131, '1_PANEL_CONTROL'!$C$132, '1_PANEL_CONTROL'!$C$133)</f>
        <v>39487.008000000002</v>
      </c>
      <c r="CF33" s="33">
        <f>CF18*'1_PANEL_CONTROL'!$C$129*'1_PANEL_CONTROL'!$C$130*CHOOSE('1_PANEL_CONTROL'!$C$4, '1_PANEL_CONTROL'!$C$131, '1_PANEL_CONTROL'!$C$132, '1_PANEL_CONTROL'!$C$133)</f>
        <v>42644.183999999994</v>
      </c>
      <c r="CG33" s="33">
        <f>CG18*'1_PANEL_CONTROL'!$C$129*'1_PANEL_CONTROL'!$C$130*CHOOSE('1_PANEL_CONTROL'!$C$4, '1_PANEL_CONTROL'!$C$131, '1_PANEL_CONTROL'!$C$132, '1_PANEL_CONTROL'!$C$133)</f>
        <v>46054.008000000002</v>
      </c>
      <c r="CH33" s="33">
        <f>CH18*'1_PANEL_CONTROL'!$C$129*'1_PANEL_CONTROL'!$C$130*CHOOSE('1_PANEL_CONTROL'!$C$4, '1_PANEL_CONTROL'!$C$131, '1_PANEL_CONTROL'!$C$132, '1_PANEL_CONTROL'!$C$133)</f>
        <v>49736.544000000002</v>
      </c>
      <c r="CI33" s="33">
        <f>CI18*'1_PANEL_CONTROL'!$C$129*'1_PANEL_CONTROL'!$C$130*CHOOSE('1_PANEL_CONTROL'!$C$4, '1_PANEL_CONTROL'!$C$131, '1_PANEL_CONTROL'!$C$132, '1_PANEL_CONTROL'!$C$133)</f>
        <v>53713.440000000002</v>
      </c>
    </row>
    <row r="34" spans="1:87" ht="16.5">
      <c r="A34" s="6" t="s">
        <v>549</v>
      </c>
      <c r="B34" s="30" t="s">
        <v>465</v>
      </c>
      <c r="C34" s="17" t="s">
        <v>550</v>
      </c>
      <c r="D34" s="33">
        <f>MAX(0, D10-D18)*'1_PANEL_CONTROL'!$C$135</f>
        <v>356.58</v>
      </c>
      <c r="E34" s="33">
        <f>MAX(0, E10-E18)*'1_PANEL_CONTROL'!$C$135</f>
        <v>377.30880000000002</v>
      </c>
      <c r="F34" s="33">
        <f>MAX(0, F10-F18)*'1_PANEL_CONTROL'!$C$135</f>
        <v>400.19270400000011</v>
      </c>
      <c r="G34" s="33">
        <f>MAX(0, G10-G18)*'1_PANEL_CONTROL'!$C$135</f>
        <v>425.41852032000014</v>
      </c>
      <c r="H34" s="33">
        <f>MAX(0, H10-H18)*'1_PANEL_CONTROL'!$C$135</f>
        <v>453.00800194560014</v>
      </c>
      <c r="I34" s="33">
        <f>MAX(0, I10-I18)*'1_PANEL_CONTROL'!$C$135</f>
        <v>483.17904210124823</v>
      </c>
      <c r="J34" s="33">
        <f>MAX(0, J10-J18)*'1_PANEL_CONTROL'!$C$135</f>
        <v>516.16696546934816</v>
      </c>
      <c r="K34" s="33">
        <f>MAX(0, K10-K18)*'1_PANEL_CONTROL'!$C$135</f>
        <v>552.22592270689597</v>
      </c>
      <c r="L34" s="33">
        <f>MAX(0, L10-L18)*'1_PANEL_CONTROL'!$C$135</f>
        <v>591.27039652344774</v>
      </c>
      <c r="M34" s="33">
        <f>MAX(0, M10-M18)*'1_PANEL_CONTROL'!$C$135</f>
        <v>633.7768282453236</v>
      </c>
      <c r="N34" s="33">
        <f>MAX(0, N10-N18)*'1_PANEL_CONTROL'!$C$135</f>
        <v>679.88537450494937</v>
      </c>
      <c r="O34" s="33">
        <f>MAX(0, O10-O18)*'1_PANEL_CONTROL'!$C$135</f>
        <v>730.12180446534535</v>
      </c>
      <c r="P34" s="33">
        <f>MAX(0, P10-P18)*'1_PANEL_CONTROL'!$C$135</f>
        <v>784.67954882257311</v>
      </c>
      <c r="Q34" s="33">
        <f>MAX(0, Q10-Q18)*'1_PANEL_CONTROL'!$C$135</f>
        <v>843.96191272837905</v>
      </c>
      <c r="R34" s="33">
        <f>MAX(0, R10-R18)*'1_PANEL_CONTROL'!$C$135</f>
        <v>908.22446574664934</v>
      </c>
      <c r="S34" s="33">
        <f>MAX(0, S10-S18)*'1_PANEL_CONTROL'!$C$135</f>
        <v>977.75762300638144</v>
      </c>
      <c r="T34" s="33">
        <f>MAX(0, T10-T18)*'1_PANEL_CONTROL'!$C$135</f>
        <v>1053.0694328468921</v>
      </c>
      <c r="U34" s="33">
        <f>MAX(0, U10-U18)*'1_PANEL_CONTROL'!$C$135</f>
        <v>1134.7085874746435</v>
      </c>
      <c r="V34" s="33">
        <f>MAX(0, V10-V18)*'1_PANEL_CONTROL'!$C$135</f>
        <v>1222.9076744726151</v>
      </c>
      <c r="W34" s="33">
        <f>MAX(0, W10-W18)*'1_PANEL_CONTROL'!$C$135</f>
        <v>1318.4866884304245</v>
      </c>
      <c r="X34" s="33">
        <f>MAX(0, X10-X18)*'1_PANEL_CONTROL'!$C$135</f>
        <v>1421.7768235048586</v>
      </c>
      <c r="Y34" s="33">
        <f>MAX(0, Y10-Y18)*'1_PANEL_CONTROL'!$C$135</f>
        <v>1533.5245693852476</v>
      </c>
      <c r="Z34" s="33">
        <f>MAX(0, Z10-Z18)*'1_PANEL_CONTROL'!$C$135</f>
        <v>1654.5361349360676</v>
      </c>
      <c r="AA34" s="33">
        <f>MAX(0, AA10-AA18)*'1_PANEL_CONTROL'!$C$135</f>
        <v>1785.3222257309531</v>
      </c>
      <c r="AB34" s="33">
        <f>MAX(0, AB10-AB18)*'1_PANEL_CONTROL'!$C$135</f>
        <v>1926.6432037894292</v>
      </c>
      <c r="AC34" s="33">
        <f>MAX(0, AC10-AC18)*'1_PANEL_CONTROL'!$C$135</f>
        <v>2079.3346600925838</v>
      </c>
      <c r="AD34" s="33">
        <f>MAX(0, AD10-AD18)*'1_PANEL_CONTROL'!$C$135</f>
        <v>2244.4934328999907</v>
      </c>
      <c r="AE34" s="33">
        <f>MAX(0, AE10-AE18)*'1_PANEL_CONTROL'!$C$135</f>
        <v>2422.9441075319901</v>
      </c>
      <c r="AF34" s="33">
        <f>MAX(0, AF10-AF18)*'1_PANEL_CONTROL'!$C$135</f>
        <v>2615.7860361345492</v>
      </c>
      <c r="AG34" s="33">
        <f>MAX(0, AG10-AG18)*'1_PANEL_CONTROL'!$C$135</f>
        <v>2824.2209190253129</v>
      </c>
      <c r="AH34" s="33">
        <f>MAX(0, AH10-AH18)*'1_PANEL_CONTROL'!$C$135</f>
        <v>3049.3809925473379</v>
      </c>
      <c r="AI34" s="33">
        <f>MAX(0, AI10-AI18)*'1_PANEL_CONTROL'!$C$135</f>
        <v>3292.6978719511253</v>
      </c>
      <c r="AJ34" s="33">
        <f>MAX(0, AJ10-AJ18)*'1_PANEL_CONTROL'!$C$135</f>
        <v>3555.5521017072156</v>
      </c>
      <c r="AK34" s="33">
        <f>MAX(0, AK10-AK18)*'1_PANEL_CONTROL'!$C$135</f>
        <v>3839.6434698437929</v>
      </c>
      <c r="AL34" s="33">
        <f>MAX(0, AL10-AL18)*'1_PANEL_CONTROL'!$C$135</f>
        <v>4146.4621474312971</v>
      </c>
      <c r="AM34" s="33">
        <f>MAX(0, AM10-AM18)*'1_PANEL_CONTROL'!$C$135</f>
        <v>4478.0207192258013</v>
      </c>
      <c r="AN34" s="33">
        <f>MAX(0, AN10-AN18)*'1_PANEL_CONTROL'!$C$135</f>
        <v>4836.1471767638659</v>
      </c>
      <c r="AO34" s="33">
        <f>MAX(0, AO10-AO18)*'1_PANEL_CONTROL'!$C$135</f>
        <v>5223.0389509049755</v>
      </c>
      <c r="AP34" s="33">
        <f>MAX(0, AP10-AP18)*'1_PANEL_CONTROL'!$C$135</f>
        <v>5640.9180669773732</v>
      </c>
      <c r="AQ34" s="33">
        <f>MAX(0, AQ10-AQ18)*'1_PANEL_CONTROL'!$C$135</f>
        <v>6092.4075123355633</v>
      </c>
      <c r="AR34" s="33">
        <f>MAX(0, AR10-AR18)*'1_PANEL_CONTROL'!$C$135</f>
        <v>6579.8289133224098</v>
      </c>
      <c r="AS34" s="33">
        <f>MAX(0, AS10-AS18)*'1_PANEL_CONTROL'!$C$135</f>
        <v>7106.481626388203</v>
      </c>
      <c r="AT34" s="33">
        <f>MAX(0, AT10-AT18)*'1_PANEL_CONTROL'!$C$135</f>
        <v>7675.4033564992606</v>
      </c>
      <c r="AU34" s="33">
        <f>MAX(0, AU10-AU18)*'1_PANEL_CONTROL'!$C$135</f>
        <v>8289.9324250192021</v>
      </c>
      <c r="AV34" s="33">
        <f>MAX(0, AV10-AV18)*'1_PANEL_CONTROL'!$C$135</f>
        <v>8953.5518190207385</v>
      </c>
      <c r="AW34" s="33">
        <f>MAX(0, AW10-AW18)*'1_PANEL_CONTROL'!$C$135</f>
        <v>9670.2751645423978</v>
      </c>
      <c r="AX34" s="33">
        <f>MAX(0, AX10-AX18)*'1_PANEL_CONTROL'!$C$135</f>
        <v>10444.314777705789</v>
      </c>
      <c r="AY34" s="33">
        <f>MAX(0, AY10-AY18)*'1_PANEL_CONTROL'!$C$135</f>
        <v>11280.471959922254</v>
      </c>
      <c r="AZ34" s="33">
        <f>MAX(0, AZ10-AZ18)*'1_PANEL_CONTROL'!$C$135</f>
        <v>12183.449716716033</v>
      </c>
      <c r="BA34" s="33">
        <f>MAX(0, BA10-BA18)*'1_PANEL_CONTROL'!$C$135</f>
        <v>13158.608094053317</v>
      </c>
      <c r="BB34" s="33">
        <f>MAX(0, BB10-BB18)*'1_PANEL_CONTROL'!$C$135</f>
        <v>14212.002341577587</v>
      </c>
      <c r="BC34" s="33">
        <f>MAX(0, BC10-BC18)*'1_PANEL_CONTROL'!$C$135</f>
        <v>15349.524128903795</v>
      </c>
      <c r="BD34" s="33">
        <f>MAX(0, BD10-BD18)*'1_PANEL_CONTROL'!$C$135</f>
        <v>16578.2060592161</v>
      </c>
      <c r="BE34" s="33">
        <f>MAX(0, BE10-BE18)*'1_PANEL_CONTROL'!$C$135</f>
        <v>17905.36974395339</v>
      </c>
      <c r="BF34" s="33">
        <f>MAX(0, BF10-BF18)*'1_PANEL_CONTROL'!$C$135</f>
        <v>19338.677723469664</v>
      </c>
      <c r="BG34" s="33">
        <f>MAX(0, BG10-BG18)*'1_PANEL_CONTROL'!$C$135</f>
        <v>20886.549541347238</v>
      </c>
      <c r="BH34" s="33">
        <f>MAX(0, BH10-BH18)*'1_PANEL_CONTROL'!$C$135</f>
        <v>22558.402304655017</v>
      </c>
      <c r="BI34" s="33">
        <f>MAX(0, BI10-BI18)*'1_PANEL_CONTROL'!$C$135</f>
        <v>24363.99608902742</v>
      </c>
      <c r="BJ34" s="33">
        <f>MAX(0, BJ10-BJ18)*'1_PANEL_CONTROL'!$C$135</f>
        <v>26314.224576149612</v>
      </c>
      <c r="BK34" s="33">
        <f>MAX(0, BK10-BK18)*'1_PANEL_CONTROL'!$C$135</f>
        <v>28420.291342241584</v>
      </c>
      <c r="BL34" s="33">
        <f>MAX(0, BL10-BL18)*'1_PANEL_CONTROL'!$C$135</f>
        <v>30694.872249620916</v>
      </c>
      <c r="BM34" s="33">
        <f>MAX(0, BM10-BM18)*'1_PANEL_CONTROL'!$C$135</f>
        <v>33151.664429590586</v>
      </c>
      <c r="BN34" s="33">
        <f>MAX(0, BN10-BN18)*'1_PANEL_CONTROL'!$C$135</f>
        <v>35804.942383957838</v>
      </c>
      <c r="BO34" s="33">
        <f>MAX(0, BO10-BO18)*'1_PANEL_CONTROL'!$C$135</f>
        <v>38670.381774674468</v>
      </c>
      <c r="BP34" s="33">
        <f>MAX(0, BP10-BP18)*'1_PANEL_CONTROL'!$C$135</f>
        <v>41764.991516648435</v>
      </c>
      <c r="BQ34" s="33">
        <f>MAX(0, BQ10-BQ18)*'1_PANEL_CONTROL'!$C$135</f>
        <v>45107.234837980315</v>
      </c>
      <c r="BR34" s="33">
        <f>MAX(0, BR10-BR18)*'1_PANEL_CONTROL'!$C$135</f>
        <v>48716.98002501874</v>
      </c>
      <c r="BS34" s="33">
        <f>MAX(0, BS10-BS18)*'1_PANEL_CONTROL'!$C$135</f>
        <v>52615.641627020246</v>
      </c>
      <c r="BT34" s="33">
        <f>MAX(0, BT10-BT18)*'1_PANEL_CONTROL'!$C$135</f>
        <v>56826.152957181868</v>
      </c>
      <c r="BU34" s="33">
        <f>MAX(0, BU10-BU18)*'1_PANEL_CONTROL'!$C$135</f>
        <v>61373.490793756428</v>
      </c>
      <c r="BV34" s="33">
        <f>MAX(0, BV10-BV18)*'1_PANEL_CONTROL'!$C$135</f>
        <v>66284.673257256945</v>
      </c>
      <c r="BW34" s="33">
        <f>MAX(0, BW10-BW18)*'1_PANEL_CONTROL'!$C$135</f>
        <v>71588.771917837512</v>
      </c>
      <c r="BX34" s="33">
        <f>MAX(0, BX10-BX18)*'1_PANEL_CONTROL'!$C$135</f>
        <v>77317.119271264513</v>
      </c>
      <c r="BY34" s="33">
        <f>MAX(0, BY10-BY18)*'1_PANEL_CONTROL'!$C$135</f>
        <v>83503.712812965678</v>
      </c>
      <c r="BZ34" s="33">
        <f>MAX(0, BZ10-BZ18)*'1_PANEL_CONTROL'!$C$135</f>
        <v>90185.27703800294</v>
      </c>
      <c r="CA34" s="33">
        <f>MAX(0, CA10-CA18)*'1_PANEL_CONTROL'!$C$135</f>
        <v>97401.344801043175</v>
      </c>
      <c r="CB34" s="33">
        <f>MAX(0, CB10-CB18)*'1_PANEL_CONTROL'!$C$135</f>
        <v>105194.71958512663</v>
      </c>
      <c r="CC34" s="33">
        <f>MAX(0, CC10-CC18)*'1_PANEL_CONTROL'!$C$135</f>
        <v>113611.60035193678</v>
      </c>
      <c r="CD34" s="33">
        <f>MAX(0, CD10-CD18)*'1_PANEL_CONTROL'!$C$135</f>
        <v>122701.73078009173</v>
      </c>
      <c r="CE34" s="33">
        <f>MAX(0, CE10-CE18)*'1_PANEL_CONTROL'!$C$135</f>
        <v>132519.11484249908</v>
      </c>
      <c r="CF34" s="33">
        <f>MAX(0, CF10-CF18)*'1_PANEL_CONTROL'!$C$135</f>
        <v>143121.86082989903</v>
      </c>
      <c r="CG34" s="33">
        <f>MAX(0, CG10-CG18)*'1_PANEL_CONTROL'!$C$135</f>
        <v>154572.77609629097</v>
      </c>
      <c r="CH34" s="33">
        <f>MAX(0, CH10-CH18)*'1_PANEL_CONTROL'!$C$135</f>
        <v>166939.81498399426</v>
      </c>
      <c r="CI34" s="33">
        <f>MAX(0, CI10-CI18)*'1_PANEL_CONTROL'!$C$135</f>
        <v>180296.38258271379</v>
      </c>
    </row>
    <row r="35" spans="1:87" ht="16.5">
      <c r="A35" s="6" t="s">
        <v>551</v>
      </c>
      <c r="B35" s="30" t="s">
        <v>465</v>
      </c>
      <c r="C35" s="17" t="s">
        <v>552</v>
      </c>
      <c r="D35" s="33">
        <f>CHOOSE('1_PANEL_CONTROL'!$C$4, 0, 4742.6233, 20000)</f>
        <v>4742.6233000000002</v>
      </c>
      <c r="E35" s="33">
        <f>CHOOSE('1_PANEL_CONTROL'!$C$4, 0, 4742.6233, 20000)</f>
        <v>4742.6233000000002</v>
      </c>
      <c r="F35" s="33">
        <f>CHOOSE('1_PANEL_CONTROL'!$C$4, 0, 4742.6233, 20000)</f>
        <v>4742.6233000000002</v>
      </c>
      <c r="G35" s="33">
        <f>CHOOSE('1_PANEL_CONTROL'!$C$4, 0, 4742.6233, 20000)</f>
        <v>4742.6233000000002</v>
      </c>
      <c r="H35" s="33">
        <f>CHOOSE('1_PANEL_CONTROL'!$C$4, 0, 4742.6233, 20000)</f>
        <v>4742.6233000000002</v>
      </c>
      <c r="I35" s="33">
        <f>CHOOSE('1_PANEL_CONTROL'!$C$4, 0, 4742.6233, 20000)</f>
        <v>4742.6233000000002</v>
      </c>
      <c r="J35" s="33">
        <f>CHOOSE('1_PANEL_CONTROL'!$C$4, 0, 4742.6233, 20000)</f>
        <v>4742.6233000000002</v>
      </c>
      <c r="K35" s="33">
        <f>CHOOSE('1_PANEL_CONTROL'!$C$4, 0, 4742.6233, 20000)</f>
        <v>4742.6233000000002</v>
      </c>
      <c r="L35" s="33">
        <f>CHOOSE('1_PANEL_CONTROL'!$C$4, 0, 4742.6233, 20000)</f>
        <v>4742.6233000000002</v>
      </c>
      <c r="M35" s="33">
        <f>CHOOSE('1_PANEL_CONTROL'!$C$4, 0, 4742.6233, 20000)</f>
        <v>4742.6233000000002</v>
      </c>
      <c r="N35" s="33">
        <f>CHOOSE('1_PANEL_CONTROL'!$C$4, 0, 4742.6233, 20000)</f>
        <v>4742.6233000000002</v>
      </c>
      <c r="O35" s="33">
        <f>CHOOSE('1_PANEL_CONTROL'!$C$4, 0, 4742.6233, 20000)</f>
        <v>4742.6233000000002</v>
      </c>
      <c r="P35" s="33">
        <f>CHOOSE('1_PANEL_CONTROL'!$C$4, 0, 4742.6233, 20000)</f>
        <v>4742.6233000000002</v>
      </c>
      <c r="Q35" s="33">
        <f>CHOOSE('1_PANEL_CONTROL'!$C$4, 0, 4742.6233, 20000)</f>
        <v>4742.6233000000002</v>
      </c>
      <c r="R35" s="33">
        <f>CHOOSE('1_PANEL_CONTROL'!$C$4, 0, 4742.6233, 20000)</f>
        <v>4742.6233000000002</v>
      </c>
      <c r="S35" s="33">
        <f>CHOOSE('1_PANEL_CONTROL'!$C$4, 0, 4742.6233, 20000)</f>
        <v>4742.6233000000002</v>
      </c>
      <c r="T35" s="33">
        <f>CHOOSE('1_PANEL_CONTROL'!$C$4, 0, 4742.6233, 20000)</f>
        <v>4742.6233000000002</v>
      </c>
      <c r="U35" s="33">
        <f>CHOOSE('1_PANEL_CONTROL'!$C$4, 0, 4742.6233, 20000)</f>
        <v>4742.6233000000002</v>
      </c>
      <c r="V35" s="33">
        <f>CHOOSE('1_PANEL_CONTROL'!$C$4, 0, 4742.6233, 20000)</f>
        <v>4742.6233000000002</v>
      </c>
      <c r="W35" s="33">
        <f>CHOOSE('1_PANEL_CONTROL'!$C$4, 0, 4742.6233, 20000)</f>
        <v>4742.6233000000002</v>
      </c>
      <c r="X35" s="33">
        <f>CHOOSE('1_PANEL_CONTROL'!$C$4, 0, 4742.6233, 20000)</f>
        <v>4742.6233000000002</v>
      </c>
      <c r="Y35" s="33">
        <f>CHOOSE('1_PANEL_CONTROL'!$C$4, 0, 4742.6233, 20000)</f>
        <v>4742.6233000000002</v>
      </c>
      <c r="Z35" s="33">
        <f>CHOOSE('1_PANEL_CONTROL'!$C$4, 0, 4742.6233, 20000)</f>
        <v>4742.6233000000002</v>
      </c>
      <c r="AA35" s="33">
        <f>CHOOSE('1_PANEL_CONTROL'!$C$4, 0, 4742.6233, 20000)</f>
        <v>4742.6233000000002</v>
      </c>
      <c r="AB35" s="33">
        <f>CHOOSE('1_PANEL_CONTROL'!$C$4, 0, 4742.6233, 20000)</f>
        <v>4742.6233000000002</v>
      </c>
      <c r="AC35" s="33">
        <f>CHOOSE('1_PANEL_CONTROL'!$C$4, 0, 4742.6233, 20000)</f>
        <v>4742.6233000000002</v>
      </c>
      <c r="AD35" s="33">
        <f>CHOOSE('1_PANEL_CONTROL'!$C$4, 0, 4742.6233, 20000)</f>
        <v>4742.6233000000002</v>
      </c>
      <c r="AE35" s="33">
        <f>CHOOSE('1_PANEL_CONTROL'!$C$4, 0, 4742.6233, 20000)</f>
        <v>4742.6233000000002</v>
      </c>
      <c r="AF35" s="33">
        <f>CHOOSE('1_PANEL_CONTROL'!$C$4, 0, 4742.6233, 20000)</f>
        <v>4742.6233000000002</v>
      </c>
      <c r="AG35" s="33">
        <f>CHOOSE('1_PANEL_CONTROL'!$C$4, 0, 4742.6233, 20000)</f>
        <v>4742.6233000000002</v>
      </c>
      <c r="AH35" s="33">
        <f>CHOOSE('1_PANEL_CONTROL'!$C$4, 0, 4742.6233, 20000)</f>
        <v>4742.6233000000002</v>
      </c>
      <c r="AI35" s="33">
        <f>CHOOSE('1_PANEL_CONTROL'!$C$4, 0, 4742.6233, 20000)</f>
        <v>4742.6233000000002</v>
      </c>
      <c r="AJ35" s="33">
        <f>CHOOSE('1_PANEL_CONTROL'!$C$4, 0, 4742.6233, 20000)</f>
        <v>4742.6233000000002</v>
      </c>
      <c r="AK35" s="33">
        <f>CHOOSE('1_PANEL_CONTROL'!$C$4, 0, 4742.6233, 20000)</f>
        <v>4742.6233000000002</v>
      </c>
      <c r="AL35" s="33">
        <f>CHOOSE('1_PANEL_CONTROL'!$C$4, 0, 4742.6233, 20000)</f>
        <v>4742.6233000000002</v>
      </c>
      <c r="AM35" s="33">
        <f>CHOOSE('1_PANEL_CONTROL'!$C$4, 0, 4742.6233, 20000)</f>
        <v>4742.6233000000002</v>
      </c>
      <c r="AN35" s="33">
        <f>CHOOSE('1_PANEL_CONTROL'!$C$4, 0, 4742.6233, 20000)</f>
        <v>4742.6233000000002</v>
      </c>
      <c r="AO35" s="33">
        <f>CHOOSE('1_PANEL_CONTROL'!$C$4, 0, 4742.6233, 20000)</f>
        <v>4742.6233000000002</v>
      </c>
      <c r="AP35" s="33">
        <f>CHOOSE('1_PANEL_CONTROL'!$C$4, 0, 4742.6233, 20000)</f>
        <v>4742.6233000000002</v>
      </c>
      <c r="AQ35" s="33">
        <f>CHOOSE('1_PANEL_CONTROL'!$C$4, 0, 4742.6233, 20000)</f>
        <v>4742.6233000000002</v>
      </c>
      <c r="AR35" s="33">
        <f>CHOOSE('1_PANEL_CONTROL'!$C$4, 0, 4742.6233, 20000)</f>
        <v>4742.6233000000002</v>
      </c>
      <c r="AS35" s="33">
        <f>CHOOSE('1_PANEL_CONTROL'!$C$4, 0, 4742.6233, 20000)</f>
        <v>4742.6233000000002</v>
      </c>
      <c r="AT35" s="33">
        <f>CHOOSE('1_PANEL_CONTROL'!$C$4, 0, 4742.6233, 20000)</f>
        <v>4742.6233000000002</v>
      </c>
      <c r="AU35" s="33">
        <f>CHOOSE('1_PANEL_CONTROL'!$C$4, 0, 4742.6233, 20000)</f>
        <v>4742.6233000000002</v>
      </c>
      <c r="AV35" s="33">
        <f>CHOOSE('1_PANEL_CONTROL'!$C$4, 0, 4742.6233, 20000)</f>
        <v>4742.6233000000002</v>
      </c>
      <c r="AW35" s="33">
        <f>CHOOSE('1_PANEL_CONTROL'!$C$4, 0, 4742.6233, 20000)</f>
        <v>4742.6233000000002</v>
      </c>
      <c r="AX35" s="33">
        <f>CHOOSE('1_PANEL_CONTROL'!$C$4, 0, 4742.6233, 20000)</f>
        <v>4742.6233000000002</v>
      </c>
      <c r="AY35" s="33">
        <f>CHOOSE('1_PANEL_CONTROL'!$C$4, 0, 4742.6233, 20000)</f>
        <v>4742.6233000000002</v>
      </c>
      <c r="AZ35" s="33">
        <f>CHOOSE('1_PANEL_CONTROL'!$C$4, 0, 4742.6233, 20000)</f>
        <v>4742.6233000000002</v>
      </c>
      <c r="BA35" s="33">
        <f>CHOOSE('1_PANEL_CONTROL'!$C$4, 0, 4742.6233, 20000)</f>
        <v>4742.6233000000002</v>
      </c>
      <c r="BB35" s="33">
        <f>CHOOSE('1_PANEL_CONTROL'!$C$4, 0, 4742.6233, 20000)</f>
        <v>4742.6233000000002</v>
      </c>
      <c r="BC35" s="33">
        <f>CHOOSE('1_PANEL_CONTROL'!$C$4, 0, 4742.6233, 20000)</f>
        <v>4742.6233000000002</v>
      </c>
      <c r="BD35" s="33">
        <f>CHOOSE('1_PANEL_CONTROL'!$C$4, 0, 4742.6233, 20000)</f>
        <v>4742.6233000000002</v>
      </c>
      <c r="BE35" s="33">
        <f>CHOOSE('1_PANEL_CONTROL'!$C$4, 0, 4742.6233, 20000)</f>
        <v>4742.6233000000002</v>
      </c>
      <c r="BF35" s="33">
        <f>CHOOSE('1_PANEL_CONTROL'!$C$4, 0, 4742.6233, 20000)</f>
        <v>4742.6233000000002</v>
      </c>
      <c r="BG35" s="33">
        <f>CHOOSE('1_PANEL_CONTROL'!$C$4, 0, 4742.6233, 20000)</f>
        <v>4742.6233000000002</v>
      </c>
      <c r="BH35" s="33">
        <f>CHOOSE('1_PANEL_CONTROL'!$C$4, 0, 4742.6233, 20000)</f>
        <v>4742.6233000000002</v>
      </c>
      <c r="BI35" s="33">
        <f>CHOOSE('1_PANEL_CONTROL'!$C$4, 0, 4742.6233, 20000)</f>
        <v>4742.6233000000002</v>
      </c>
      <c r="BJ35" s="33">
        <f>CHOOSE('1_PANEL_CONTROL'!$C$4, 0, 4742.6233, 20000)</f>
        <v>4742.6233000000002</v>
      </c>
      <c r="BK35" s="33">
        <f>CHOOSE('1_PANEL_CONTROL'!$C$4, 0, 4742.6233, 20000)</f>
        <v>4742.6233000000002</v>
      </c>
      <c r="BL35" s="33">
        <f>CHOOSE('1_PANEL_CONTROL'!$C$4, 0, 4742.6233, 20000)</f>
        <v>4742.6233000000002</v>
      </c>
      <c r="BM35" s="33">
        <f>CHOOSE('1_PANEL_CONTROL'!$C$4, 0, 4742.6233, 20000)</f>
        <v>4742.6233000000002</v>
      </c>
      <c r="BN35" s="33">
        <f>CHOOSE('1_PANEL_CONTROL'!$C$4, 0, 4742.6233, 20000)</f>
        <v>4742.6233000000002</v>
      </c>
      <c r="BO35" s="33">
        <f>CHOOSE('1_PANEL_CONTROL'!$C$4, 0, 4742.6233, 20000)</f>
        <v>4742.6233000000002</v>
      </c>
      <c r="BP35" s="33">
        <f>CHOOSE('1_PANEL_CONTROL'!$C$4, 0, 4742.6233, 20000)</f>
        <v>4742.6233000000002</v>
      </c>
      <c r="BQ35" s="33">
        <f>CHOOSE('1_PANEL_CONTROL'!$C$4, 0, 4742.6233, 20000)</f>
        <v>4742.6233000000002</v>
      </c>
      <c r="BR35" s="33">
        <f>CHOOSE('1_PANEL_CONTROL'!$C$4, 0, 4742.6233, 20000)</f>
        <v>4742.6233000000002</v>
      </c>
      <c r="BS35" s="33">
        <f>CHOOSE('1_PANEL_CONTROL'!$C$4, 0, 4742.6233, 20000)</f>
        <v>4742.6233000000002</v>
      </c>
      <c r="BT35" s="33">
        <f>CHOOSE('1_PANEL_CONTROL'!$C$4, 0, 4742.6233, 20000)</f>
        <v>4742.6233000000002</v>
      </c>
      <c r="BU35" s="33">
        <f>CHOOSE('1_PANEL_CONTROL'!$C$4, 0, 4742.6233, 20000)</f>
        <v>4742.6233000000002</v>
      </c>
      <c r="BV35" s="33">
        <f>CHOOSE('1_PANEL_CONTROL'!$C$4, 0, 4742.6233, 20000)</f>
        <v>4742.6233000000002</v>
      </c>
      <c r="BW35" s="33">
        <f>CHOOSE('1_PANEL_CONTROL'!$C$4, 0, 4742.6233, 20000)</f>
        <v>4742.6233000000002</v>
      </c>
      <c r="BX35" s="33">
        <f>CHOOSE('1_PANEL_CONTROL'!$C$4, 0, 4742.6233, 20000)</f>
        <v>4742.6233000000002</v>
      </c>
      <c r="BY35" s="33">
        <f>CHOOSE('1_PANEL_CONTROL'!$C$4, 0, 4742.6233, 20000)</f>
        <v>4742.6233000000002</v>
      </c>
      <c r="BZ35" s="33">
        <f>CHOOSE('1_PANEL_CONTROL'!$C$4, 0, 4742.6233, 20000)</f>
        <v>4742.6233000000002</v>
      </c>
      <c r="CA35" s="33">
        <f>CHOOSE('1_PANEL_CONTROL'!$C$4, 0, 4742.6233, 20000)</f>
        <v>4742.6233000000002</v>
      </c>
      <c r="CB35" s="33">
        <f>CHOOSE('1_PANEL_CONTROL'!$C$4, 0, 4742.6233, 20000)</f>
        <v>4742.6233000000002</v>
      </c>
      <c r="CC35" s="33">
        <f>CHOOSE('1_PANEL_CONTROL'!$C$4, 0, 4742.6233, 20000)</f>
        <v>4742.6233000000002</v>
      </c>
      <c r="CD35" s="33">
        <f>CHOOSE('1_PANEL_CONTROL'!$C$4, 0, 4742.6233, 20000)</f>
        <v>4742.6233000000002</v>
      </c>
      <c r="CE35" s="33">
        <f>CHOOSE('1_PANEL_CONTROL'!$C$4, 0, 4742.6233, 20000)</f>
        <v>4742.6233000000002</v>
      </c>
      <c r="CF35" s="33">
        <f>CHOOSE('1_PANEL_CONTROL'!$C$4, 0, 4742.6233, 20000)</f>
        <v>4742.6233000000002</v>
      </c>
      <c r="CG35" s="33">
        <f>CHOOSE('1_PANEL_CONTROL'!$C$4, 0, 4742.6233, 20000)</f>
        <v>4742.6233000000002</v>
      </c>
      <c r="CH35" s="33">
        <f>CHOOSE('1_PANEL_CONTROL'!$C$4, 0, 4742.6233, 20000)</f>
        <v>4742.6233000000002</v>
      </c>
      <c r="CI35" s="33">
        <f>CHOOSE('1_PANEL_CONTROL'!$C$4, 0, 4742.6233, 20000)</f>
        <v>4742.6233000000002</v>
      </c>
    </row>
    <row r="36" spans="1:87" ht="16.5">
      <c r="A36" s="6" t="s">
        <v>553</v>
      </c>
      <c r="B36" s="30" t="s">
        <v>465</v>
      </c>
      <c r="C36" s="17" t="s">
        <v>554</v>
      </c>
      <c r="D36" s="36">
        <f t="shared" ref="D36:AI36" si="0">SUM(D31:D35)</f>
        <v>6031.3173000000006</v>
      </c>
      <c r="E36" s="36">
        <f t="shared" si="0"/>
        <v>6184.4441000000006</v>
      </c>
      <c r="F36" s="36">
        <f t="shared" si="0"/>
        <v>6339.9900040000002</v>
      </c>
      <c r="G36" s="36">
        <f t="shared" si="0"/>
        <v>6498.141820320001</v>
      </c>
      <c r="H36" s="36">
        <f t="shared" si="0"/>
        <v>6699.1753019456009</v>
      </c>
      <c r="I36" s="36">
        <f t="shared" si="0"/>
        <v>6863.3283421012484</v>
      </c>
      <c r="J36" s="36">
        <f t="shared" si="0"/>
        <v>7030.8262654693481</v>
      </c>
      <c r="K36" s="36">
        <f t="shared" si="0"/>
        <v>7321.9132227068967</v>
      </c>
      <c r="L36" s="36">
        <f t="shared" si="0"/>
        <v>7497.0516965234474</v>
      </c>
      <c r="M36" s="36">
        <f t="shared" si="0"/>
        <v>7716.4341282453242</v>
      </c>
      <c r="N36" s="36">
        <f t="shared" si="0"/>
        <v>7900.4846745049499</v>
      </c>
      <c r="O36" s="36">
        <f t="shared" si="0"/>
        <v>8209.445104465347</v>
      </c>
      <c r="P36" s="36">
        <f t="shared" si="0"/>
        <v>8443.7828488225732</v>
      </c>
      <c r="Q36" s="36">
        <f t="shared" si="0"/>
        <v>8683.921212728379</v>
      </c>
      <c r="R36" s="36">
        <f t="shared" si="0"/>
        <v>8930.3597657466489</v>
      </c>
      <c r="S36" s="36">
        <f t="shared" si="0"/>
        <v>9103.6529230063825</v>
      </c>
      <c r="T36" s="36">
        <f t="shared" si="0"/>
        <v>9284.3087328468937</v>
      </c>
      <c r="U36" s="36">
        <f t="shared" si="0"/>
        <v>9392.8758874746454</v>
      </c>
      <c r="V36" s="36">
        <f t="shared" si="0"/>
        <v>9510.1149744726154</v>
      </c>
      <c r="W36" s="36">
        <f t="shared" si="0"/>
        <v>9636.5819884304256</v>
      </c>
      <c r="X36" s="36">
        <f t="shared" si="0"/>
        <v>9773.1361235048589</v>
      </c>
      <c r="Y36" s="36">
        <f t="shared" si="0"/>
        <v>9920.523869385248</v>
      </c>
      <c r="Z36" s="36">
        <f t="shared" si="0"/>
        <v>10079.551434936067</v>
      </c>
      <c r="AA36" s="36">
        <f t="shared" si="0"/>
        <v>10251.257525730955</v>
      </c>
      <c r="AB36" s="36">
        <f t="shared" si="0"/>
        <v>10436.666503789431</v>
      </c>
      <c r="AC36" s="36">
        <f t="shared" si="0"/>
        <v>10636.877960092585</v>
      </c>
      <c r="AD36" s="36">
        <f t="shared" si="0"/>
        <v>10852.98873289999</v>
      </c>
      <c r="AE36" s="36">
        <f t="shared" si="0"/>
        <v>11086.351407531991</v>
      </c>
      <c r="AF36" s="36">
        <f t="shared" si="0"/>
        <v>11338.32933613455</v>
      </c>
      <c r="AG36" s="36">
        <f t="shared" si="0"/>
        <v>11610.388219025313</v>
      </c>
      <c r="AH36" s="36">
        <f t="shared" si="0"/>
        <v>11904.188292547338</v>
      </c>
      <c r="AI36" s="36">
        <f t="shared" si="0"/>
        <v>12221.425171951127</v>
      </c>
      <c r="AJ36" s="36">
        <f t="shared" ref="AJ36:BO36" si="1">SUM(AJ31:AJ35)</f>
        <v>12564.007401707215</v>
      </c>
      <c r="AK36" s="36">
        <f t="shared" si="1"/>
        <v>12933.898769843792</v>
      </c>
      <c r="AL36" s="36">
        <f t="shared" si="1"/>
        <v>13333.381447431297</v>
      </c>
      <c r="AM36" s="36">
        <f t="shared" si="1"/>
        <v>13764.732019225801</v>
      </c>
      <c r="AN36" s="36">
        <f t="shared" si="1"/>
        <v>14230.570476763867</v>
      </c>
      <c r="AO36" s="36">
        <f t="shared" si="1"/>
        <v>14733.622250904977</v>
      </c>
      <c r="AP36" s="36">
        <f t="shared" si="1"/>
        <v>15276.901366977374</v>
      </c>
      <c r="AQ36" s="36">
        <f t="shared" si="1"/>
        <v>15863.558812335563</v>
      </c>
      <c r="AR36" s="36">
        <f t="shared" si="1"/>
        <v>16497.236213322409</v>
      </c>
      <c r="AS36" s="36">
        <f t="shared" si="1"/>
        <v>17181.496926388201</v>
      </c>
      <c r="AT36" s="36">
        <f t="shared" si="1"/>
        <v>17920.434656499259</v>
      </c>
      <c r="AU36" s="36">
        <f t="shared" si="1"/>
        <v>18718.443725019202</v>
      </c>
      <c r="AV36" s="36">
        <f t="shared" si="1"/>
        <v>19580.327119020738</v>
      </c>
      <c r="AW36" s="36">
        <f t="shared" si="1"/>
        <v>20511.154464542396</v>
      </c>
      <c r="AX36" s="36">
        <f t="shared" si="1"/>
        <v>21516.458077705789</v>
      </c>
      <c r="AY36" s="36">
        <f t="shared" si="1"/>
        <v>22602.095259922251</v>
      </c>
      <c r="AZ36" s="36">
        <f t="shared" si="1"/>
        <v>23774.617016716031</v>
      </c>
      <c r="BA36" s="36">
        <f t="shared" si="1"/>
        <v>25040.967394053318</v>
      </c>
      <c r="BB36" s="36">
        <f t="shared" si="1"/>
        <v>26408.521641577587</v>
      </c>
      <c r="BC36" s="36">
        <f t="shared" si="1"/>
        <v>27885.547428903796</v>
      </c>
      <c r="BD36" s="36">
        <f t="shared" si="1"/>
        <v>29480.661359216101</v>
      </c>
      <c r="BE36" s="36">
        <f t="shared" si="1"/>
        <v>31203.297043953389</v>
      </c>
      <c r="BF36" s="36">
        <f t="shared" si="1"/>
        <v>33063.757023469661</v>
      </c>
      <c r="BG36" s="36">
        <f t="shared" si="1"/>
        <v>35073.100841347237</v>
      </c>
      <c r="BH36" s="36">
        <f t="shared" si="1"/>
        <v>37243.121604655018</v>
      </c>
      <c r="BI36" s="36">
        <f t="shared" si="1"/>
        <v>39586.74738902742</v>
      </c>
      <c r="BJ36" s="36">
        <f t="shared" si="1"/>
        <v>42117.775876149615</v>
      </c>
      <c r="BK36" s="36">
        <f t="shared" si="1"/>
        <v>44851.370642241578</v>
      </c>
      <c r="BL36" s="36">
        <f t="shared" si="1"/>
        <v>47803.639549620915</v>
      </c>
      <c r="BM36" s="36">
        <f t="shared" si="1"/>
        <v>50991.975729590587</v>
      </c>
      <c r="BN36" s="36">
        <f t="shared" si="1"/>
        <v>54435.405683957833</v>
      </c>
      <c r="BO36" s="36">
        <f t="shared" si="1"/>
        <v>58154.357074674466</v>
      </c>
      <c r="BP36" s="36">
        <f t="shared" ref="BP36:CU36" si="2">SUM(BP31:BP35)</f>
        <v>62170.854816648432</v>
      </c>
      <c r="BQ36" s="36">
        <f t="shared" si="2"/>
        <v>66508.642137980321</v>
      </c>
      <c r="BR36" s="36">
        <f t="shared" si="2"/>
        <v>71193.395325018748</v>
      </c>
      <c r="BS36" s="36">
        <f t="shared" si="2"/>
        <v>76252.864927020259</v>
      </c>
      <c r="BT36" s="36">
        <f t="shared" si="2"/>
        <v>81717.112257181871</v>
      </c>
      <c r="BU36" s="36">
        <f t="shared" si="2"/>
        <v>87618.506093756441</v>
      </c>
      <c r="BV36" s="36">
        <f t="shared" si="2"/>
        <v>93991.984557256947</v>
      </c>
      <c r="BW36" s="36">
        <f t="shared" si="2"/>
        <v>100875.33121783752</v>
      </c>
      <c r="BX36" s="36">
        <f t="shared" si="2"/>
        <v>108309.38257126452</v>
      </c>
      <c r="BY36" s="36">
        <f t="shared" si="2"/>
        <v>116338.16811296568</v>
      </c>
      <c r="BZ36" s="36">
        <f t="shared" si="2"/>
        <v>125009.23633800294</v>
      </c>
      <c r="CA36" s="36">
        <f t="shared" si="2"/>
        <v>134374.00010104317</v>
      </c>
      <c r="CB36" s="36">
        <f t="shared" si="2"/>
        <v>144487.93488512663</v>
      </c>
      <c r="CC36" s="36">
        <f t="shared" si="2"/>
        <v>155410.96765193678</v>
      </c>
      <c r="CD36" s="36">
        <f t="shared" si="2"/>
        <v>167207.89008009175</v>
      </c>
      <c r="CE36" s="36">
        <f t="shared" si="2"/>
        <v>179948.54614249911</v>
      </c>
      <c r="CF36" s="36">
        <f t="shared" si="2"/>
        <v>193708.46812989903</v>
      </c>
      <c r="CG36" s="36">
        <f t="shared" si="2"/>
        <v>208569.20739629099</v>
      </c>
      <c r="CH36" s="36">
        <f t="shared" si="2"/>
        <v>224618.78228399428</v>
      </c>
      <c r="CI36" s="36">
        <f t="shared" si="2"/>
        <v>241952.24588271379</v>
      </c>
    </row>
    <row r="37" spans="1:87" ht="16.5">
      <c r="A37" s="6" t="s">
        <v>555</v>
      </c>
      <c r="B37" s="30" t="s">
        <v>465</v>
      </c>
      <c r="C37" s="17" t="s">
        <v>556</v>
      </c>
      <c r="D37" s="36">
        <f t="shared" ref="D37:AI37" si="3">SUM(D26:D30)+D36</f>
        <v>12116.7173</v>
      </c>
      <c r="E37" s="36">
        <f t="shared" si="3"/>
        <v>14168.269100000001</v>
      </c>
      <c r="F37" s="36">
        <f t="shared" si="3"/>
        <v>16247.140004000001</v>
      </c>
      <c r="G37" s="36">
        <f t="shared" si="3"/>
        <v>18539.141820320001</v>
      </c>
      <c r="H37" s="36">
        <f t="shared" si="3"/>
        <v>20856.325301945602</v>
      </c>
      <c r="I37" s="36">
        <f t="shared" si="3"/>
        <v>23300.803342101248</v>
      </c>
      <c r="J37" s="36">
        <f t="shared" si="3"/>
        <v>25787.801265469345</v>
      </c>
      <c r="K37" s="36">
        <f t="shared" si="3"/>
        <v>28478.8132227069</v>
      </c>
      <c r="L37" s="36">
        <f t="shared" si="3"/>
        <v>31350.351696523445</v>
      </c>
      <c r="M37" s="36">
        <f t="shared" si="3"/>
        <v>34360.834128245326</v>
      </c>
      <c r="N37" s="36">
        <f t="shared" si="3"/>
        <v>37562.459674504949</v>
      </c>
      <c r="O37" s="36">
        <f t="shared" si="3"/>
        <v>40974.945104465347</v>
      </c>
      <c r="P37" s="36">
        <f t="shared" si="3"/>
        <v>44516.157848822571</v>
      </c>
      <c r="Q37" s="36">
        <f t="shared" si="3"/>
        <v>48204.646212728374</v>
      </c>
      <c r="R37" s="36">
        <f t="shared" si="3"/>
        <v>52229.559765746642</v>
      </c>
      <c r="S37" s="36">
        <f t="shared" si="3"/>
        <v>56465.10292300638</v>
      </c>
      <c r="T37" s="36">
        <f t="shared" si="3"/>
        <v>60893.658732846889</v>
      </c>
      <c r="U37" s="36">
        <f t="shared" si="3"/>
        <v>65608.900887474636</v>
      </c>
      <c r="V37" s="36">
        <f t="shared" si="3"/>
        <v>70677.639974472608</v>
      </c>
      <c r="W37" s="36">
        <f t="shared" si="3"/>
        <v>76071.781988430419</v>
      </c>
      <c r="X37" s="36">
        <f t="shared" si="3"/>
        <v>81925.736123504859</v>
      </c>
      <c r="Y37" s="36">
        <f t="shared" si="3"/>
        <v>88163.99886938525</v>
      </c>
      <c r="Z37" s="36">
        <f t="shared" si="3"/>
        <v>94792.376434936072</v>
      </c>
      <c r="AA37" s="36">
        <f t="shared" si="3"/>
        <v>102047.33252573095</v>
      </c>
      <c r="AB37" s="36">
        <f t="shared" si="3"/>
        <v>109855.41650378943</v>
      </c>
      <c r="AC37" s="36">
        <f t="shared" si="3"/>
        <v>118278.25296009259</v>
      </c>
      <c r="AD37" s="36">
        <f t="shared" si="3"/>
        <v>127293.81373289999</v>
      </c>
      <c r="AE37" s="36">
        <f t="shared" si="3"/>
        <v>136980.12640753199</v>
      </c>
      <c r="AF37" s="36">
        <f t="shared" si="3"/>
        <v>147459.70433613454</v>
      </c>
      <c r="AG37" s="36">
        <f t="shared" si="3"/>
        <v>158748.9132190253</v>
      </c>
      <c r="AH37" s="36">
        <f t="shared" si="3"/>
        <v>170920.46329254733</v>
      </c>
      <c r="AI37" s="36">
        <f t="shared" si="3"/>
        <v>184027.82517195112</v>
      </c>
      <c r="AJ37" s="36">
        <f t="shared" ref="AJ37:BO37" si="4">SUM(AJ26:AJ30)+AJ36</f>
        <v>198185.83240170722</v>
      </c>
      <c r="AK37" s="36">
        <f t="shared" si="4"/>
        <v>213379.47376984378</v>
      </c>
      <c r="AL37" s="36">
        <f t="shared" si="4"/>
        <v>229845.73144743126</v>
      </c>
      <c r="AM37" s="36">
        <f t="shared" si="4"/>
        <v>247550.53201922579</v>
      </c>
      <c r="AN37" s="36">
        <f t="shared" si="4"/>
        <v>266758.07047676388</v>
      </c>
      <c r="AO37" s="36">
        <f t="shared" si="4"/>
        <v>287384.62225090497</v>
      </c>
      <c r="AP37" s="36">
        <f t="shared" si="4"/>
        <v>309752.90136697737</v>
      </c>
      <c r="AQ37" s="36">
        <f t="shared" si="4"/>
        <v>333768.35881233553</v>
      </c>
      <c r="AR37" s="36">
        <f t="shared" si="4"/>
        <v>359871.6362133224</v>
      </c>
      <c r="AS37" s="36">
        <f t="shared" si="4"/>
        <v>387898.69692638813</v>
      </c>
      <c r="AT37" s="36">
        <f t="shared" si="4"/>
        <v>418095.73465649923</v>
      </c>
      <c r="AU37" s="36">
        <f t="shared" si="4"/>
        <v>450812.99372501922</v>
      </c>
      <c r="AV37" s="36">
        <f t="shared" si="4"/>
        <v>486165.4021190207</v>
      </c>
      <c r="AW37" s="36">
        <f t="shared" si="4"/>
        <v>524278.87946454238</v>
      </c>
      <c r="AX37" s="36">
        <f t="shared" si="4"/>
        <v>565482.83307770581</v>
      </c>
      <c r="AY37" s="36">
        <f t="shared" si="4"/>
        <v>609883.34525992221</v>
      </c>
      <c r="AZ37" s="36">
        <f t="shared" si="4"/>
        <v>657925.64201671595</v>
      </c>
      <c r="BA37" s="36">
        <f t="shared" si="4"/>
        <v>709881.06739405333</v>
      </c>
      <c r="BB37" s="36">
        <f t="shared" si="4"/>
        <v>765732.12164157757</v>
      </c>
      <c r="BC37" s="36">
        <f t="shared" si="4"/>
        <v>826309.92242890375</v>
      </c>
      <c r="BD37" s="36">
        <f t="shared" si="4"/>
        <v>891536.23635921604</v>
      </c>
      <c r="BE37" s="36">
        <f t="shared" si="4"/>
        <v>962015.94704395335</v>
      </c>
      <c r="BF37" s="36">
        <f t="shared" si="4"/>
        <v>1038187.1070234696</v>
      </c>
      <c r="BG37" s="36">
        <f t="shared" si="4"/>
        <v>1120372.2758413469</v>
      </c>
      <c r="BH37" s="36">
        <f t="shared" si="4"/>
        <v>1209109.221604655</v>
      </c>
      <c r="BI37" s="36">
        <f t="shared" si="4"/>
        <v>1305069.0473890272</v>
      </c>
      <c r="BJ37" s="36">
        <f t="shared" si="4"/>
        <v>1408517.5758761493</v>
      </c>
      <c r="BK37" s="36">
        <f t="shared" si="4"/>
        <v>1520398.4706422416</v>
      </c>
      <c r="BL37" s="36">
        <f t="shared" si="4"/>
        <v>1641124.0395496208</v>
      </c>
      <c r="BM37" s="36">
        <f t="shared" si="4"/>
        <v>1771499.0257295903</v>
      </c>
      <c r="BN37" s="36">
        <f t="shared" si="4"/>
        <v>1912387.5306839577</v>
      </c>
      <c r="BO37" s="36">
        <f t="shared" si="4"/>
        <v>2064460.0570746744</v>
      </c>
      <c r="BP37" s="36">
        <f t="shared" ref="BP37:CU37" si="5">SUM(BP26:BP30)+BP36</f>
        <v>2228778.6048166486</v>
      </c>
      <c r="BQ37" s="36">
        <f t="shared" si="5"/>
        <v>2406249.9171379805</v>
      </c>
      <c r="BR37" s="36">
        <f t="shared" si="5"/>
        <v>2597784.9703250187</v>
      </c>
      <c r="BS37" s="36">
        <f t="shared" si="5"/>
        <v>2804682.8649270204</v>
      </c>
      <c r="BT37" s="36">
        <f t="shared" si="5"/>
        <v>3028187.8372571813</v>
      </c>
      <c r="BU37" s="36">
        <f t="shared" si="5"/>
        <v>3269557.581093756</v>
      </c>
      <c r="BV37" s="36">
        <f t="shared" si="5"/>
        <v>3530129.6595572568</v>
      </c>
      <c r="BW37" s="36">
        <f t="shared" si="5"/>
        <v>3811606.6812178371</v>
      </c>
      <c r="BX37" s="36">
        <f t="shared" si="5"/>
        <v>4115672.1325712646</v>
      </c>
      <c r="BY37" s="36">
        <f t="shared" si="5"/>
        <v>4444019.9931129646</v>
      </c>
      <c r="BZ37" s="36">
        <f t="shared" si="5"/>
        <v>4798604.3363380022</v>
      </c>
      <c r="CA37" s="36">
        <f t="shared" si="5"/>
        <v>5181607.0751010422</v>
      </c>
      <c r="CB37" s="36">
        <f t="shared" si="5"/>
        <v>5595180.1348851258</v>
      </c>
      <c r="CC37" s="36">
        <f t="shared" si="5"/>
        <v>6041850.7426519375</v>
      </c>
      <c r="CD37" s="36">
        <f t="shared" si="5"/>
        <v>6524362.3650800912</v>
      </c>
      <c r="CE37" s="36">
        <f t="shared" si="5"/>
        <v>7045421.9711424988</v>
      </c>
      <c r="CF37" s="36">
        <f t="shared" si="5"/>
        <v>7608105.3681298988</v>
      </c>
      <c r="CG37" s="36">
        <f t="shared" si="5"/>
        <v>8215875.132396291</v>
      </c>
      <c r="CH37" s="36">
        <f t="shared" si="5"/>
        <v>8872251.6822839919</v>
      </c>
      <c r="CI37" s="36">
        <f t="shared" si="5"/>
        <v>9581065.6208827142</v>
      </c>
    </row>
    <row r="39" spans="1:87" ht="24" customHeight="1">
      <c r="B39" s="109" t="s">
        <v>557</v>
      </c>
      <c r="C39" s="110"/>
      <c r="D39" s="110"/>
      <c r="E39" s="110"/>
      <c r="F39" s="110"/>
      <c r="G39" s="110"/>
      <c r="H39" s="110"/>
    </row>
    <row r="40" spans="1:87" ht="19" customHeight="1">
      <c r="B40" s="102" t="s">
        <v>558</v>
      </c>
      <c r="C40" s="103"/>
      <c r="D40" s="103"/>
      <c r="E40" s="103"/>
      <c r="F40" s="103"/>
      <c r="G40" s="103"/>
      <c r="H40" s="104"/>
    </row>
    <row r="41" spans="1:87" ht="19" customHeight="1">
      <c r="B41" s="105"/>
      <c r="C41" s="103"/>
      <c r="D41" s="103"/>
      <c r="E41" s="103"/>
      <c r="F41" s="103"/>
      <c r="G41" s="103"/>
      <c r="H41" s="104"/>
    </row>
    <row r="42" spans="1:87" ht="19" customHeight="1">
      <c r="B42" s="105"/>
      <c r="C42" s="103"/>
      <c r="D42" s="103"/>
      <c r="E42" s="103"/>
      <c r="F42" s="103"/>
      <c r="G42" s="103"/>
      <c r="H42" s="104"/>
    </row>
    <row r="43" spans="1:87" ht="19" customHeight="1">
      <c r="B43" s="105"/>
      <c r="C43" s="103"/>
      <c r="D43" s="103"/>
      <c r="E43" s="103"/>
      <c r="F43" s="103"/>
      <c r="G43" s="103"/>
      <c r="H43" s="104"/>
    </row>
    <row r="44" spans="1:87" ht="19" customHeight="1">
      <c r="B44" s="105"/>
      <c r="C44" s="103"/>
      <c r="D44" s="103"/>
      <c r="E44" s="103"/>
      <c r="F44" s="103"/>
      <c r="G44" s="103"/>
      <c r="H44" s="104"/>
    </row>
    <row r="45" spans="1:87" ht="19" customHeight="1">
      <c r="B45" s="105"/>
      <c r="C45" s="103"/>
      <c r="D45" s="103"/>
      <c r="E45" s="103"/>
      <c r="F45" s="103"/>
      <c r="G45" s="103"/>
      <c r="H45" s="104"/>
    </row>
    <row r="46" spans="1:87" ht="19" customHeight="1">
      <c r="B46" s="105"/>
      <c r="C46" s="103"/>
      <c r="D46" s="103"/>
      <c r="E46" s="103"/>
      <c r="F46" s="103"/>
      <c r="G46" s="103"/>
      <c r="H46" s="104"/>
    </row>
    <row r="47" spans="1:87" ht="19" customHeight="1">
      <c r="B47" s="106"/>
      <c r="C47" s="107"/>
      <c r="D47" s="107"/>
      <c r="E47" s="107"/>
      <c r="F47" s="107"/>
      <c r="G47" s="107"/>
      <c r="H47" s="108"/>
    </row>
  </sheetData>
  <mergeCells count="4">
    <mergeCell ref="B40:H47"/>
    <mergeCell ref="B5:C5"/>
    <mergeCell ref="D5:O5"/>
    <mergeCell ref="B39:H3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2626"/>
  </sheetPr>
  <dimension ref="A4:CI25"/>
  <sheetViews>
    <sheetView workbookViewId="0">
      <pane xSplit="3" ySplit="7" topLeftCell="D8" activePane="bottomRight" state="frozen"/>
      <selection pane="topRight"/>
      <selection pane="bottomLeft"/>
      <selection pane="bottomRight"/>
    </sheetView>
  </sheetViews>
  <sheetFormatPr baseColWidth="10" defaultColWidth="8.7265625" defaultRowHeight="14.5"/>
  <cols>
    <col min="1" max="1" width="32" customWidth="1"/>
    <col min="2" max="2" width="12" customWidth="1"/>
    <col min="3" max="3" width="38" customWidth="1"/>
    <col min="4" max="87" width="12" customWidth="1"/>
  </cols>
  <sheetData>
    <row r="4" spans="1:87" ht="21">
      <c r="A4" s="40" t="s">
        <v>559</v>
      </c>
    </row>
    <row r="5" spans="1:87" ht="50" customHeight="1">
      <c r="A5" s="38" t="s">
        <v>296</v>
      </c>
      <c r="B5" s="130" t="str">
        <f>CHOOSE('1_PANEL_CONTROL'!$C$4, "🔴 1: NEGATIVO", "🟡 2: EQUILIBRIO", "🟢 3: POSITIVO")</f>
        <v>🟡 2: EQUILIBRIO</v>
      </c>
      <c r="C5" s="113"/>
      <c r="D5" s="116" t="str">
        <f>CHOOSE('1_PANEL_CONTROL'!$C$4, "[NEGATIVO] COSTES DIRECTOS DE VENTAS. En el primer año, el procesamiento Stripe cuesta " &amp; TEXT('6_COSTES_COGS'!O11, "#.##0,00 €") &amp; " y las licencias de APIs de IA ascienden a " &amp; TEXT('6_COSTES_COGS'!O12, "#.##0,00 €") &amp; " en el mes 12.", "[EQUILIBRIO] COSTES DIRECTOS DE VENTAS. Servidores base e IoT suponen " &amp; TEXT('6_COSTES_COGS'!O10, "#.##0,00 €") &amp; " y la fabricación del Smart Collar totaliza " &amp; TEXT('6_COSTES_COGS'!O13, "#.##0,00 €") &amp; " en el mes 12 comercial.", "[POSITIVO] COSTES DIRECTOS DE VENTAS. El elevado volumen de venta de hardware eleva el coste directo total, sumando un acumulado de COGS en el año 1 de " &amp; TEXT(SUM('6_COSTES_COGS'!$D$15:$O$15), "#.##0 €") &amp; ". ")</f>
        <v>[EQUILIBRIO] COSTES DIRECTOS DE VENTAS. Servidores base e IoT suponen 402,00 € y la fabricación del Smart Collar totaliza 3.500,00 € en el mes 12 comercial.</v>
      </c>
      <c r="E5" s="112"/>
      <c r="F5" s="112"/>
      <c r="G5" s="112"/>
      <c r="H5" s="112"/>
      <c r="I5" s="112"/>
      <c r="J5" s="112"/>
      <c r="K5" s="112"/>
      <c r="L5" s="112"/>
      <c r="M5" s="112"/>
      <c r="N5" s="112"/>
      <c r="O5" s="113"/>
    </row>
    <row r="7" spans="1:87" ht="16">
      <c r="A7" t="s">
        <v>560</v>
      </c>
      <c r="B7" t="s">
        <v>367</v>
      </c>
      <c r="C7" t="s">
        <v>561</v>
      </c>
      <c r="D7" s="29" t="s">
        <v>369</v>
      </c>
      <c r="E7" s="29" t="s">
        <v>370</v>
      </c>
      <c r="F7" s="29" t="s">
        <v>371</v>
      </c>
      <c r="G7" s="29" t="s">
        <v>372</v>
      </c>
      <c r="H7" s="29" t="s">
        <v>373</v>
      </c>
      <c r="I7" s="29" t="s">
        <v>374</v>
      </c>
      <c r="J7" s="29" t="s">
        <v>375</v>
      </c>
      <c r="K7" s="29" t="s">
        <v>376</v>
      </c>
      <c r="L7" s="29" t="s">
        <v>377</v>
      </c>
      <c r="M7" s="29" t="s">
        <v>378</v>
      </c>
      <c r="N7" s="29" t="s">
        <v>379</v>
      </c>
      <c r="O7" s="29" t="s">
        <v>380</v>
      </c>
      <c r="P7" s="29" t="s">
        <v>381</v>
      </c>
      <c r="Q7" s="29" t="s">
        <v>382</v>
      </c>
      <c r="R7" s="29" t="s">
        <v>383</v>
      </c>
      <c r="S7" s="29" t="s">
        <v>384</v>
      </c>
      <c r="T7" s="29" t="s">
        <v>385</v>
      </c>
      <c r="U7" s="29" t="s">
        <v>386</v>
      </c>
      <c r="V7" s="29" t="s">
        <v>387</v>
      </c>
      <c r="W7" s="29" t="s">
        <v>388</v>
      </c>
      <c r="X7" s="29" t="s">
        <v>389</v>
      </c>
      <c r="Y7" s="29" t="s">
        <v>390</v>
      </c>
      <c r="Z7" s="29" t="s">
        <v>391</v>
      </c>
      <c r="AA7" s="29" t="s">
        <v>392</v>
      </c>
      <c r="AB7" s="29" t="s">
        <v>393</v>
      </c>
      <c r="AC7" s="29" t="s">
        <v>394</v>
      </c>
      <c r="AD7" s="29" t="s">
        <v>395</v>
      </c>
      <c r="AE7" s="29" t="s">
        <v>396</v>
      </c>
      <c r="AF7" s="29" t="s">
        <v>397</v>
      </c>
      <c r="AG7" s="29" t="s">
        <v>398</v>
      </c>
      <c r="AH7" s="29" t="s">
        <v>399</v>
      </c>
      <c r="AI7" s="29" t="s">
        <v>400</v>
      </c>
      <c r="AJ7" s="29" t="s">
        <v>401</v>
      </c>
      <c r="AK7" s="29" t="s">
        <v>402</v>
      </c>
      <c r="AL7" s="29" t="s">
        <v>403</v>
      </c>
      <c r="AM7" s="29" t="s">
        <v>404</v>
      </c>
      <c r="AN7" s="29" t="s">
        <v>405</v>
      </c>
      <c r="AO7" s="29" t="s">
        <v>406</v>
      </c>
      <c r="AP7" s="29" t="s">
        <v>407</v>
      </c>
      <c r="AQ7" s="29" t="s">
        <v>408</v>
      </c>
      <c r="AR7" s="29" t="s">
        <v>409</v>
      </c>
      <c r="AS7" s="29" t="s">
        <v>410</v>
      </c>
      <c r="AT7" s="29" t="s">
        <v>411</v>
      </c>
      <c r="AU7" s="29" t="s">
        <v>412</v>
      </c>
      <c r="AV7" s="29" t="s">
        <v>413</v>
      </c>
      <c r="AW7" s="29" t="s">
        <v>414</v>
      </c>
      <c r="AX7" s="29" t="s">
        <v>415</v>
      </c>
      <c r="AY7" s="29" t="s">
        <v>416</v>
      </c>
      <c r="AZ7" s="29" t="s">
        <v>417</v>
      </c>
      <c r="BA7" s="29" t="s">
        <v>418</v>
      </c>
      <c r="BB7" s="29" t="s">
        <v>419</v>
      </c>
      <c r="BC7" s="29" t="s">
        <v>420</v>
      </c>
      <c r="BD7" s="29" t="s">
        <v>421</v>
      </c>
      <c r="BE7" s="29" t="s">
        <v>422</v>
      </c>
      <c r="BF7" s="29" t="s">
        <v>423</v>
      </c>
      <c r="BG7" s="29" t="s">
        <v>424</v>
      </c>
      <c r="BH7" s="29" t="s">
        <v>425</v>
      </c>
      <c r="BI7" s="29" t="s">
        <v>426</v>
      </c>
      <c r="BJ7" s="29" t="s">
        <v>427</v>
      </c>
      <c r="BK7" s="29" t="s">
        <v>428</v>
      </c>
      <c r="BL7" s="29" t="s">
        <v>429</v>
      </c>
      <c r="BM7" s="29" t="s">
        <v>430</v>
      </c>
      <c r="BN7" s="29" t="s">
        <v>431</v>
      </c>
      <c r="BO7" s="29" t="s">
        <v>432</v>
      </c>
      <c r="BP7" s="29" t="s">
        <v>433</v>
      </c>
      <c r="BQ7" s="29" t="s">
        <v>434</v>
      </c>
      <c r="BR7" s="29" t="s">
        <v>435</v>
      </c>
      <c r="BS7" s="29" t="s">
        <v>436</v>
      </c>
      <c r="BT7" s="29" t="s">
        <v>437</v>
      </c>
      <c r="BU7" s="29" t="s">
        <v>438</v>
      </c>
      <c r="BV7" s="29" t="s">
        <v>439</v>
      </c>
      <c r="BW7" s="29" t="s">
        <v>440</v>
      </c>
      <c r="BX7" s="29" t="s">
        <v>441</v>
      </c>
      <c r="BY7" s="29" t="s">
        <v>442</v>
      </c>
      <c r="BZ7" s="29" t="s">
        <v>443</v>
      </c>
      <c r="CA7" s="29" t="s">
        <v>444</v>
      </c>
      <c r="CB7" s="29" t="s">
        <v>445</v>
      </c>
      <c r="CC7" s="29" t="s">
        <v>446</v>
      </c>
      <c r="CD7" s="29" t="s">
        <v>447</v>
      </c>
      <c r="CE7" s="29" t="s">
        <v>448</v>
      </c>
      <c r="CF7" s="29" t="s">
        <v>449</v>
      </c>
      <c r="CG7" s="29" t="s">
        <v>450</v>
      </c>
      <c r="CH7" s="29" t="s">
        <v>451</v>
      </c>
      <c r="CI7" s="29" t="s">
        <v>452</v>
      </c>
    </row>
    <row r="10" spans="1:87" ht="16.5">
      <c r="A10" s="6" t="s">
        <v>562</v>
      </c>
      <c r="B10" s="30" t="s">
        <v>465</v>
      </c>
      <c r="C10" s="17" t="s">
        <v>563</v>
      </c>
      <c r="D10" s="33">
        <f>'5_DETALLE_INGRESOS'!D18*'1_PANEL_CONTROL'!$C$26</f>
        <v>27.599999999999998</v>
      </c>
      <c r="E10" s="33">
        <f>'5_DETALLE_INGRESOS'!E18*'1_PANEL_CONTROL'!$C$26</f>
        <v>55.8</v>
      </c>
      <c r="F10" s="33">
        <f>'5_DETALLE_INGRESOS'!F18*'1_PANEL_CONTROL'!$C$26</f>
        <v>84.6</v>
      </c>
      <c r="G10" s="33">
        <f>'5_DETALLE_INGRESOS'!G18*'1_PANEL_CONTROL'!$C$26</f>
        <v>114</v>
      </c>
      <c r="H10" s="33">
        <f>'5_DETALLE_INGRESOS'!H18*'1_PANEL_CONTROL'!$C$26</f>
        <v>144.6</v>
      </c>
      <c r="I10" s="33">
        <f>'5_DETALLE_INGRESOS'!I18*'1_PANEL_CONTROL'!$C$26</f>
        <v>176.4</v>
      </c>
      <c r="J10" s="33">
        <f>'5_DETALLE_INGRESOS'!J18*'1_PANEL_CONTROL'!$C$26</f>
        <v>209.4</v>
      </c>
      <c r="K10" s="33">
        <f>'5_DETALLE_INGRESOS'!K18*'1_PANEL_CONTROL'!$C$26</f>
        <v>243.6</v>
      </c>
      <c r="L10" s="33">
        <f>'5_DETALLE_INGRESOS'!L18*'1_PANEL_CONTROL'!$C$26</f>
        <v>280.2</v>
      </c>
      <c r="M10" s="33">
        <f>'5_DETALLE_INGRESOS'!M18*'1_PANEL_CONTROL'!$C$26</f>
        <v>318.59999999999997</v>
      </c>
      <c r="N10" s="33">
        <f>'5_DETALLE_INGRESOS'!N18*'1_PANEL_CONTROL'!$C$26</f>
        <v>359.4</v>
      </c>
      <c r="O10" s="33">
        <f>'5_DETALLE_INGRESOS'!O18*'1_PANEL_CONTROL'!$C$26</f>
        <v>402</v>
      </c>
      <c r="P10" s="33">
        <f>'5_DETALLE_INGRESOS'!P18*'1_PANEL_CONTROL'!$C$26</f>
        <v>447</v>
      </c>
      <c r="Q10" s="33">
        <f>'5_DETALLE_INGRESOS'!Q18*'1_PANEL_CONTROL'!$C$26</f>
        <v>494.4</v>
      </c>
      <c r="R10" s="33">
        <f>'5_DETALLE_INGRESOS'!R18*'1_PANEL_CONTROL'!$C$26</f>
        <v>544.79999999999995</v>
      </c>
      <c r="S10" s="33">
        <f>'5_DETALLE_INGRESOS'!S18*'1_PANEL_CONTROL'!$C$26</f>
        <v>598.79999999999995</v>
      </c>
      <c r="T10" s="33">
        <f>'5_DETALLE_INGRESOS'!T18*'1_PANEL_CONTROL'!$C$26</f>
        <v>656.4</v>
      </c>
      <c r="U10" s="33">
        <f>'5_DETALLE_INGRESOS'!U18*'1_PANEL_CONTROL'!$C$26</f>
        <v>717.6</v>
      </c>
      <c r="V10" s="33">
        <f>'5_DETALLE_INGRESOS'!V18*'1_PANEL_CONTROL'!$C$26</f>
        <v>783.6</v>
      </c>
      <c r="W10" s="33">
        <f>'5_DETALLE_INGRESOS'!W18*'1_PANEL_CONTROL'!$C$26</f>
        <v>853.8</v>
      </c>
      <c r="X10" s="33">
        <f>'5_DETALLE_INGRESOS'!X18*'1_PANEL_CONTROL'!$C$26</f>
        <v>929.4</v>
      </c>
      <c r="Y10" s="33">
        <f>'5_DETALLE_INGRESOS'!Y18*'1_PANEL_CONTROL'!$C$26</f>
        <v>1010.4</v>
      </c>
      <c r="Z10" s="33">
        <f>'5_DETALLE_INGRESOS'!Z18*'1_PANEL_CONTROL'!$C$26</f>
        <v>1096.8</v>
      </c>
      <c r="AA10" s="33">
        <f>'5_DETALLE_INGRESOS'!AA18*'1_PANEL_CONTROL'!$C$26</f>
        <v>1189.8</v>
      </c>
      <c r="AB10" s="33">
        <f>'5_DETALLE_INGRESOS'!AB18*'1_PANEL_CONTROL'!$C$26</f>
        <v>1290</v>
      </c>
      <c r="AC10" s="33">
        <f>'5_DETALLE_INGRESOS'!AC18*'1_PANEL_CONTROL'!$C$26</f>
        <v>1398</v>
      </c>
      <c r="AD10" s="33">
        <f>'5_DETALLE_INGRESOS'!AD18*'1_PANEL_CONTROL'!$C$26</f>
        <v>1513.8</v>
      </c>
      <c r="AE10" s="33">
        <f>'5_DETALLE_INGRESOS'!AE18*'1_PANEL_CONTROL'!$C$26</f>
        <v>1638.6</v>
      </c>
      <c r="AF10" s="33">
        <f>'5_DETALLE_INGRESOS'!AF18*'1_PANEL_CONTROL'!$C$26</f>
        <v>1773</v>
      </c>
      <c r="AG10" s="33">
        <f>'5_DETALLE_INGRESOS'!AG18*'1_PANEL_CONTROL'!$C$26</f>
        <v>1917.6</v>
      </c>
      <c r="AH10" s="33">
        <f>'5_DETALLE_INGRESOS'!AH18*'1_PANEL_CONTROL'!$C$26</f>
        <v>2073.6</v>
      </c>
      <c r="AI10" s="33">
        <f>'5_DETALLE_INGRESOS'!AI18*'1_PANEL_CONTROL'!$C$26</f>
        <v>2241.6</v>
      </c>
      <c r="AJ10" s="33">
        <f>'5_DETALLE_INGRESOS'!AJ18*'1_PANEL_CONTROL'!$C$26</f>
        <v>2422.7999999999997</v>
      </c>
      <c r="AK10" s="33">
        <f>'5_DETALLE_INGRESOS'!AK18*'1_PANEL_CONTROL'!$C$26</f>
        <v>2617.7999999999997</v>
      </c>
      <c r="AL10" s="33">
        <f>'5_DETALLE_INGRESOS'!AL18*'1_PANEL_CONTROL'!$C$26</f>
        <v>2828.4</v>
      </c>
      <c r="AM10" s="33">
        <f>'5_DETALLE_INGRESOS'!AM18*'1_PANEL_CONTROL'!$C$26</f>
        <v>3055.2</v>
      </c>
      <c r="AN10" s="33">
        <f>'5_DETALLE_INGRESOS'!AN18*'1_PANEL_CONTROL'!$C$26</f>
        <v>3300</v>
      </c>
      <c r="AO10" s="33">
        <f>'5_DETALLE_INGRESOS'!AO18*'1_PANEL_CONTROL'!$C$26</f>
        <v>3564</v>
      </c>
      <c r="AP10" s="33">
        <f>'5_DETALLE_INGRESOS'!AP18*'1_PANEL_CONTROL'!$C$26</f>
        <v>3849</v>
      </c>
      <c r="AQ10" s="33">
        <f>'5_DETALLE_INGRESOS'!AQ18*'1_PANEL_CONTROL'!$C$26</f>
        <v>4156.2</v>
      </c>
      <c r="AR10" s="33">
        <f>'5_DETALLE_INGRESOS'!AR18*'1_PANEL_CONTROL'!$C$26</f>
        <v>4488.5999999999995</v>
      </c>
      <c r="AS10" s="33">
        <f>'5_DETALLE_INGRESOS'!AS18*'1_PANEL_CONTROL'!$C$26</f>
        <v>4846.8</v>
      </c>
      <c r="AT10" s="33">
        <f>'5_DETALLE_INGRESOS'!AT18*'1_PANEL_CONTROL'!$C$26</f>
        <v>5233.2</v>
      </c>
      <c r="AU10" s="33">
        <f>'5_DETALLE_INGRESOS'!AU18*'1_PANEL_CONTROL'!$C$26</f>
        <v>5650.2</v>
      </c>
      <c r="AV10" s="33">
        <f>'5_DETALLE_INGRESOS'!AV18*'1_PANEL_CONTROL'!$C$26</f>
        <v>6100.8</v>
      </c>
      <c r="AW10" s="33">
        <f>'5_DETALLE_INGRESOS'!AW18*'1_PANEL_CONTROL'!$C$26</f>
        <v>6587.4</v>
      </c>
      <c r="AX10" s="33">
        <f>'5_DETALLE_INGRESOS'!AX18*'1_PANEL_CONTROL'!$C$26</f>
        <v>7113</v>
      </c>
      <c r="AY10" s="33">
        <f>'5_DETALLE_INGRESOS'!AY18*'1_PANEL_CONTROL'!$C$26</f>
        <v>7680</v>
      </c>
      <c r="AZ10" s="33">
        <f>'5_DETALLE_INGRESOS'!AZ18*'1_PANEL_CONTROL'!$C$26</f>
        <v>8292.6</v>
      </c>
      <c r="BA10" s="33">
        <f>'5_DETALLE_INGRESOS'!BA18*'1_PANEL_CONTROL'!$C$26</f>
        <v>8954.4</v>
      </c>
      <c r="BB10" s="33">
        <f>'5_DETALLE_INGRESOS'!BB18*'1_PANEL_CONTROL'!$C$26</f>
        <v>9668.4</v>
      </c>
      <c r="BC10" s="33">
        <f>'5_DETALLE_INGRESOS'!BC18*'1_PANEL_CONTROL'!$C$26</f>
        <v>10440</v>
      </c>
      <c r="BD10" s="33">
        <f>'5_DETALLE_INGRESOS'!BD18*'1_PANEL_CONTROL'!$C$26</f>
        <v>11272.8</v>
      </c>
      <c r="BE10" s="33">
        <f>'5_DETALLE_INGRESOS'!BE18*'1_PANEL_CONTROL'!$C$26</f>
        <v>12171.6</v>
      </c>
      <c r="BF10" s="33">
        <f>'5_DETALLE_INGRESOS'!BF18*'1_PANEL_CONTROL'!$C$26</f>
        <v>13142.4</v>
      </c>
      <c r="BG10" s="33">
        <f>'5_DETALLE_INGRESOS'!BG18*'1_PANEL_CONTROL'!$C$26</f>
        <v>14191.199999999999</v>
      </c>
      <c r="BH10" s="33">
        <f>'5_DETALLE_INGRESOS'!BH18*'1_PANEL_CONTROL'!$C$26</f>
        <v>15323.4</v>
      </c>
      <c r="BI10" s="33">
        <f>'5_DETALLE_INGRESOS'!BI18*'1_PANEL_CONTROL'!$C$26</f>
        <v>16546.2</v>
      </c>
      <c r="BJ10" s="33">
        <f>'5_DETALLE_INGRESOS'!BJ18*'1_PANEL_CONTROL'!$C$26</f>
        <v>17866.2</v>
      </c>
      <c r="BK10" s="33">
        <f>'5_DETALLE_INGRESOS'!BK18*'1_PANEL_CONTROL'!$C$26</f>
        <v>19292.399999999998</v>
      </c>
      <c r="BL10" s="33">
        <f>'5_DETALLE_INGRESOS'!BL18*'1_PANEL_CONTROL'!$C$26</f>
        <v>20832.599999999999</v>
      </c>
      <c r="BM10" s="33">
        <f>'5_DETALLE_INGRESOS'!BM18*'1_PANEL_CONTROL'!$C$26</f>
        <v>22495.200000000001</v>
      </c>
      <c r="BN10" s="33">
        <f>'5_DETALLE_INGRESOS'!BN18*'1_PANEL_CONTROL'!$C$26</f>
        <v>24291</v>
      </c>
      <c r="BO10" s="33">
        <f>'5_DETALLE_INGRESOS'!BO18*'1_PANEL_CONTROL'!$C$26</f>
        <v>26230.799999999999</v>
      </c>
      <c r="BP10" s="33">
        <f>'5_DETALLE_INGRESOS'!BP18*'1_PANEL_CONTROL'!$C$26</f>
        <v>28326</v>
      </c>
      <c r="BQ10" s="33">
        <f>'5_DETALLE_INGRESOS'!BQ18*'1_PANEL_CONTROL'!$C$26</f>
        <v>30588.6</v>
      </c>
      <c r="BR10" s="33">
        <f>'5_DETALLE_INGRESOS'!BR18*'1_PANEL_CONTROL'!$C$26</f>
        <v>33031.799999999996</v>
      </c>
      <c r="BS10" s="33">
        <f>'5_DETALLE_INGRESOS'!BS18*'1_PANEL_CONTROL'!$C$26</f>
        <v>35670</v>
      </c>
      <c r="BT10" s="33">
        <f>'5_DETALLE_INGRESOS'!BT18*'1_PANEL_CONTROL'!$C$26</f>
        <v>38519.4</v>
      </c>
      <c r="BU10" s="33">
        <f>'5_DETALLE_INGRESOS'!BU18*'1_PANEL_CONTROL'!$C$26</f>
        <v>41596.799999999996</v>
      </c>
      <c r="BV10" s="33">
        <f>'5_DETALLE_INGRESOS'!BV18*'1_PANEL_CONTROL'!$C$26</f>
        <v>44920.2</v>
      </c>
      <c r="BW10" s="33">
        <f>'5_DETALLE_INGRESOS'!BW18*'1_PANEL_CONTROL'!$C$26</f>
        <v>48509.4</v>
      </c>
      <c r="BX10" s="33">
        <f>'5_DETALLE_INGRESOS'!BX18*'1_PANEL_CONTROL'!$C$26</f>
        <v>52386</v>
      </c>
      <c r="BY10" s="33">
        <f>'5_DETALLE_INGRESOS'!BY18*'1_PANEL_CONTROL'!$C$26</f>
        <v>56572.799999999996</v>
      </c>
      <c r="BZ10" s="33">
        <f>'5_DETALLE_INGRESOS'!BZ18*'1_PANEL_CONTROL'!$C$26</f>
        <v>61094.399999999994</v>
      </c>
      <c r="CA10" s="33">
        <f>'5_DETALLE_INGRESOS'!CA18*'1_PANEL_CONTROL'!$C$26</f>
        <v>65977.8</v>
      </c>
      <c r="CB10" s="33">
        <f>'5_DETALLE_INGRESOS'!CB18*'1_PANEL_CONTROL'!$C$26</f>
        <v>71251.8</v>
      </c>
      <c r="CC10" s="33">
        <f>'5_DETALLE_INGRESOS'!CC18*'1_PANEL_CONTROL'!$C$26</f>
        <v>76947.599999999991</v>
      </c>
      <c r="CD10" s="33">
        <f>'5_DETALLE_INGRESOS'!CD18*'1_PANEL_CONTROL'!$C$26</f>
        <v>83099.399999999994</v>
      </c>
      <c r="CE10" s="33">
        <f>'5_DETALLE_INGRESOS'!CE18*'1_PANEL_CONTROL'!$C$26</f>
        <v>89743.2</v>
      </c>
      <c r="CF10" s="33">
        <f>'5_DETALLE_INGRESOS'!CF18*'1_PANEL_CONTROL'!$C$26</f>
        <v>96918.599999999991</v>
      </c>
      <c r="CG10" s="33">
        <f>'5_DETALLE_INGRESOS'!CG18*'1_PANEL_CONTROL'!$C$26</f>
        <v>104668.2</v>
      </c>
      <c r="CH10" s="33">
        <f>'5_DETALLE_INGRESOS'!CH18*'1_PANEL_CONTROL'!$C$26</f>
        <v>113037.59999999999</v>
      </c>
      <c r="CI10" s="33">
        <f>'5_DETALLE_INGRESOS'!CI18*'1_PANEL_CONTROL'!$C$26</f>
        <v>122076</v>
      </c>
    </row>
    <row r="11" spans="1:87" ht="16.5">
      <c r="A11" s="6" t="s">
        <v>564</v>
      </c>
      <c r="B11" s="30" t="s">
        <v>465</v>
      </c>
      <c r="C11" s="17" t="s">
        <v>565</v>
      </c>
      <c r="D11" s="33">
        <f>'5_DETALLE_INGRESOS'!D37*'1_PANEL_CONTROL'!$C$27</f>
        <v>302.91793250000001</v>
      </c>
      <c r="E11" s="33">
        <f>'5_DETALLE_INGRESOS'!E37*'1_PANEL_CONTROL'!$C$27</f>
        <v>354.20672750000006</v>
      </c>
      <c r="F11" s="33">
        <f>'5_DETALLE_INGRESOS'!F37*'1_PANEL_CONTROL'!$C$27</f>
        <v>406.17850010000006</v>
      </c>
      <c r="G11" s="33">
        <f>'5_DETALLE_INGRESOS'!G37*'1_PANEL_CONTROL'!$C$27</f>
        <v>463.47854550800002</v>
      </c>
      <c r="H11" s="33">
        <f>'5_DETALLE_INGRESOS'!H37*'1_PANEL_CONTROL'!$C$27</f>
        <v>521.40813254864008</v>
      </c>
      <c r="I11" s="33">
        <f>'5_DETALLE_INGRESOS'!I37*'1_PANEL_CONTROL'!$C$27</f>
        <v>582.52008355253122</v>
      </c>
      <c r="J11" s="33">
        <f>'5_DETALLE_INGRESOS'!J37*'1_PANEL_CONTROL'!$C$27</f>
        <v>644.69503163673369</v>
      </c>
      <c r="K11" s="33">
        <f>'5_DETALLE_INGRESOS'!K37*'1_PANEL_CONTROL'!$C$27</f>
        <v>711.97033056767259</v>
      </c>
      <c r="L11" s="33">
        <f>'5_DETALLE_INGRESOS'!L37*'1_PANEL_CONTROL'!$C$27</f>
        <v>783.75879241308621</v>
      </c>
      <c r="M11" s="33">
        <f>'5_DETALLE_INGRESOS'!M37*'1_PANEL_CONTROL'!$C$27</f>
        <v>859.02085320613321</v>
      </c>
      <c r="N11" s="33">
        <f>'5_DETALLE_INGRESOS'!N37*'1_PANEL_CONTROL'!$C$27</f>
        <v>939.06149186262382</v>
      </c>
      <c r="O11" s="33">
        <f>'5_DETALLE_INGRESOS'!O37*'1_PANEL_CONTROL'!$C$27</f>
        <v>1024.3736276116338</v>
      </c>
      <c r="P11" s="33">
        <f>'5_DETALLE_INGRESOS'!P37*'1_PANEL_CONTROL'!$C$27</f>
        <v>1112.9039462205644</v>
      </c>
      <c r="Q11" s="33">
        <f>'5_DETALLE_INGRESOS'!Q37*'1_PANEL_CONTROL'!$C$27</f>
        <v>1205.1161553182094</v>
      </c>
      <c r="R11" s="33">
        <f>'5_DETALLE_INGRESOS'!R37*'1_PANEL_CONTROL'!$C$27</f>
        <v>1305.7389941436661</v>
      </c>
      <c r="S11" s="33">
        <f>'5_DETALLE_INGRESOS'!S37*'1_PANEL_CONTROL'!$C$27</f>
        <v>1411.6275730751595</v>
      </c>
      <c r="T11" s="33">
        <f>'5_DETALLE_INGRESOS'!T37*'1_PANEL_CONTROL'!$C$27</f>
        <v>1522.3414683211722</v>
      </c>
      <c r="U11" s="33">
        <f>'5_DETALLE_INGRESOS'!U37*'1_PANEL_CONTROL'!$C$27</f>
        <v>1640.2225221868659</v>
      </c>
      <c r="V11" s="33">
        <f>'5_DETALLE_INGRESOS'!V37*'1_PANEL_CONTROL'!$C$27</f>
        <v>1766.9409993618153</v>
      </c>
      <c r="W11" s="33">
        <f>'5_DETALLE_INGRESOS'!W37*'1_PANEL_CONTROL'!$C$27</f>
        <v>1901.7945497107605</v>
      </c>
      <c r="X11" s="33">
        <f>'5_DETALLE_INGRESOS'!X37*'1_PANEL_CONTROL'!$C$27</f>
        <v>2048.1434030876217</v>
      </c>
      <c r="Y11" s="33">
        <f>'5_DETALLE_INGRESOS'!Y37*'1_PANEL_CONTROL'!$C$27</f>
        <v>2204.0999717346313</v>
      </c>
      <c r="Z11" s="33">
        <f>'5_DETALLE_INGRESOS'!Z37*'1_PANEL_CONTROL'!$C$27</f>
        <v>2369.8094108734017</v>
      </c>
      <c r="AA11" s="33">
        <f>'5_DETALLE_INGRESOS'!AA37*'1_PANEL_CONTROL'!$C$27</f>
        <v>2551.1833131432741</v>
      </c>
      <c r="AB11" s="33">
        <f>'5_DETALLE_INGRESOS'!AB37*'1_PANEL_CONTROL'!$C$27</f>
        <v>2746.385412594736</v>
      </c>
      <c r="AC11" s="33">
        <f>'5_DETALLE_INGRESOS'!AC37*'1_PANEL_CONTROL'!$C$27</f>
        <v>2956.9563240023149</v>
      </c>
      <c r="AD11" s="33">
        <f>'5_DETALLE_INGRESOS'!AD37*'1_PANEL_CONTROL'!$C$27</f>
        <v>3182.3453433225</v>
      </c>
      <c r="AE11" s="33">
        <f>'5_DETALLE_INGRESOS'!AE37*'1_PANEL_CONTROL'!$C$27</f>
        <v>3424.5031601883002</v>
      </c>
      <c r="AF11" s="33">
        <f>'5_DETALLE_INGRESOS'!AF37*'1_PANEL_CONTROL'!$C$27</f>
        <v>3686.4926084033636</v>
      </c>
      <c r="AG11" s="33">
        <f>'5_DETALLE_INGRESOS'!AG37*'1_PANEL_CONTROL'!$C$27</f>
        <v>3968.7228304756327</v>
      </c>
      <c r="AH11" s="33">
        <f>'5_DETALLE_INGRESOS'!AH37*'1_PANEL_CONTROL'!$C$27</f>
        <v>4273.011582313683</v>
      </c>
      <c r="AI11" s="33">
        <f>'5_DETALLE_INGRESOS'!AI37*'1_PANEL_CONTROL'!$C$27</f>
        <v>4600.6956292987779</v>
      </c>
      <c r="AJ11" s="33">
        <f>'5_DETALLE_INGRESOS'!AJ37*'1_PANEL_CONTROL'!$C$27</f>
        <v>4954.6458100426808</v>
      </c>
      <c r="AK11" s="33">
        <f>'5_DETALLE_INGRESOS'!AK37*'1_PANEL_CONTROL'!$C$27</f>
        <v>5334.4868442460947</v>
      </c>
      <c r="AL11" s="33">
        <f>'5_DETALLE_INGRESOS'!AL37*'1_PANEL_CONTROL'!$C$27</f>
        <v>5746.143286185782</v>
      </c>
      <c r="AM11" s="33">
        <f>'5_DETALLE_INGRESOS'!AM37*'1_PANEL_CONTROL'!$C$27</f>
        <v>6188.7633004806448</v>
      </c>
      <c r="AN11" s="33">
        <f>'5_DETALLE_INGRESOS'!AN37*'1_PANEL_CONTROL'!$C$27</f>
        <v>6668.9517619190974</v>
      </c>
      <c r="AO11" s="33">
        <f>'5_DETALLE_INGRESOS'!AO37*'1_PANEL_CONTROL'!$C$27</f>
        <v>7184.6155562726244</v>
      </c>
      <c r="AP11" s="33">
        <f>'5_DETALLE_INGRESOS'!AP37*'1_PANEL_CONTROL'!$C$27</f>
        <v>7743.8225341744346</v>
      </c>
      <c r="AQ11" s="33">
        <f>'5_DETALLE_INGRESOS'!AQ37*'1_PANEL_CONTROL'!$C$27</f>
        <v>8344.2089703083893</v>
      </c>
      <c r="AR11" s="33">
        <f>'5_DETALLE_INGRESOS'!AR37*'1_PANEL_CONTROL'!$C$27</f>
        <v>8996.7909053330604</v>
      </c>
      <c r="AS11" s="33">
        <f>'5_DETALLE_INGRESOS'!AS37*'1_PANEL_CONTROL'!$C$27</f>
        <v>9697.4674231597037</v>
      </c>
      <c r="AT11" s="33">
        <f>'5_DETALLE_INGRESOS'!AT37*'1_PANEL_CONTROL'!$C$27</f>
        <v>10452.393366412482</v>
      </c>
      <c r="AU11" s="33">
        <f>'5_DETALLE_INGRESOS'!AU37*'1_PANEL_CONTROL'!$C$27</f>
        <v>11270.324843125481</v>
      </c>
      <c r="AV11" s="33">
        <f>'5_DETALLE_INGRESOS'!AV37*'1_PANEL_CONTROL'!$C$27</f>
        <v>12154.135052975518</v>
      </c>
      <c r="AW11" s="33">
        <f>'5_DETALLE_INGRESOS'!AW37*'1_PANEL_CONTROL'!$C$27</f>
        <v>13106.97198661356</v>
      </c>
      <c r="AX11" s="33">
        <f>'5_DETALLE_INGRESOS'!AX37*'1_PANEL_CONTROL'!$C$27</f>
        <v>14137.070826942647</v>
      </c>
      <c r="AY11" s="33">
        <f>'5_DETALLE_INGRESOS'!AY37*'1_PANEL_CONTROL'!$C$27</f>
        <v>15247.083631498055</v>
      </c>
      <c r="AZ11" s="33">
        <f>'5_DETALLE_INGRESOS'!AZ37*'1_PANEL_CONTROL'!$C$27</f>
        <v>16448.1410504179</v>
      </c>
      <c r="BA11" s="33">
        <f>'5_DETALLE_INGRESOS'!BA37*'1_PANEL_CONTROL'!$C$27</f>
        <v>17747.026684851335</v>
      </c>
      <c r="BB11" s="33">
        <f>'5_DETALLE_INGRESOS'!BB37*'1_PANEL_CONTROL'!$C$27</f>
        <v>19143.303041039439</v>
      </c>
      <c r="BC11" s="33">
        <f>'5_DETALLE_INGRESOS'!BC37*'1_PANEL_CONTROL'!$C$27</f>
        <v>20657.748060722595</v>
      </c>
      <c r="BD11" s="33">
        <f>'5_DETALLE_INGRESOS'!BD37*'1_PANEL_CONTROL'!$C$27</f>
        <v>22288.405908980403</v>
      </c>
      <c r="BE11" s="33">
        <f>'5_DETALLE_INGRESOS'!BE37*'1_PANEL_CONTROL'!$C$27</f>
        <v>24050.398676098834</v>
      </c>
      <c r="BF11" s="33">
        <f>'5_DETALLE_INGRESOS'!BF37*'1_PANEL_CONTROL'!$C$27</f>
        <v>25954.677675586743</v>
      </c>
      <c r="BG11" s="33">
        <f>'5_DETALLE_INGRESOS'!BG37*'1_PANEL_CONTROL'!$C$27</f>
        <v>28009.306896033675</v>
      </c>
      <c r="BH11" s="33">
        <f>'5_DETALLE_INGRESOS'!BH37*'1_PANEL_CONTROL'!$C$27</f>
        <v>30227.730540116376</v>
      </c>
      <c r="BI11" s="33">
        <f>'5_DETALLE_INGRESOS'!BI37*'1_PANEL_CONTROL'!$C$27</f>
        <v>32626.726184725681</v>
      </c>
      <c r="BJ11" s="33">
        <f>'5_DETALLE_INGRESOS'!BJ37*'1_PANEL_CONTROL'!$C$27</f>
        <v>35212.939396903734</v>
      </c>
      <c r="BK11" s="33">
        <f>'5_DETALLE_INGRESOS'!BK37*'1_PANEL_CONTROL'!$C$27</f>
        <v>38009.96176605604</v>
      </c>
      <c r="BL11" s="33">
        <f>'5_DETALLE_INGRESOS'!BL37*'1_PANEL_CONTROL'!$C$27</f>
        <v>41028.100988740523</v>
      </c>
      <c r="BM11" s="33">
        <f>'5_DETALLE_INGRESOS'!BM37*'1_PANEL_CONTROL'!$C$27</f>
        <v>44287.475643239763</v>
      </c>
      <c r="BN11" s="33">
        <f>'5_DETALLE_INGRESOS'!BN37*'1_PANEL_CONTROL'!$C$27</f>
        <v>47809.688267098943</v>
      </c>
      <c r="BO11" s="33">
        <f>'5_DETALLE_INGRESOS'!BO37*'1_PANEL_CONTROL'!$C$27</f>
        <v>51611.50142686686</v>
      </c>
      <c r="BP11" s="33">
        <f>'5_DETALLE_INGRESOS'!BP37*'1_PANEL_CONTROL'!$C$27</f>
        <v>55719.465120416222</v>
      </c>
      <c r="BQ11" s="33">
        <f>'5_DETALLE_INGRESOS'!BQ37*'1_PANEL_CONTROL'!$C$27</f>
        <v>60156.247928449513</v>
      </c>
      <c r="BR11" s="33">
        <f>'5_DETALLE_INGRESOS'!BR37*'1_PANEL_CONTROL'!$C$27</f>
        <v>64944.62425812547</v>
      </c>
      <c r="BS11" s="33">
        <f>'5_DETALLE_INGRESOS'!BS37*'1_PANEL_CONTROL'!$C$27</f>
        <v>70117.071623175507</v>
      </c>
      <c r="BT11" s="33">
        <f>'5_DETALLE_INGRESOS'!BT37*'1_PANEL_CONTROL'!$C$27</f>
        <v>75704.695931429538</v>
      </c>
      <c r="BU11" s="33">
        <f>'5_DETALLE_INGRESOS'!BU37*'1_PANEL_CONTROL'!$C$27</f>
        <v>81738.9395273439</v>
      </c>
      <c r="BV11" s="33">
        <f>'5_DETALLE_INGRESOS'!BV37*'1_PANEL_CONTROL'!$C$27</f>
        <v>88253.241488931424</v>
      </c>
      <c r="BW11" s="33">
        <f>'5_DETALLE_INGRESOS'!BW37*'1_PANEL_CONTROL'!$C$27</f>
        <v>95290.16703044594</v>
      </c>
      <c r="BX11" s="33">
        <f>'5_DETALLE_INGRESOS'!BX37*'1_PANEL_CONTROL'!$C$27</f>
        <v>102891.80331428163</v>
      </c>
      <c r="BY11" s="33">
        <f>'5_DETALLE_INGRESOS'!BY37*'1_PANEL_CONTROL'!$C$27</f>
        <v>111100.49982782413</v>
      </c>
      <c r="BZ11" s="33">
        <f>'5_DETALLE_INGRESOS'!BZ37*'1_PANEL_CONTROL'!$C$27</f>
        <v>119965.10840845006</v>
      </c>
      <c r="CA11" s="33">
        <f>'5_DETALLE_INGRESOS'!CA37*'1_PANEL_CONTROL'!$C$27</f>
        <v>129540.17687752606</v>
      </c>
      <c r="CB11" s="33">
        <f>'5_DETALLE_INGRESOS'!CB37*'1_PANEL_CONTROL'!$C$27</f>
        <v>139879.50337212815</v>
      </c>
      <c r="CC11" s="33">
        <f>'5_DETALLE_INGRESOS'!CC37*'1_PANEL_CONTROL'!$C$27</f>
        <v>151046.26856629844</v>
      </c>
      <c r="CD11" s="33">
        <f>'5_DETALLE_INGRESOS'!CD37*'1_PANEL_CONTROL'!$C$27</f>
        <v>163109.05912700229</v>
      </c>
      <c r="CE11" s="33">
        <f>'5_DETALLE_INGRESOS'!CE37*'1_PANEL_CONTROL'!$C$27</f>
        <v>176135.54927856248</v>
      </c>
      <c r="CF11" s="33">
        <f>'5_DETALLE_INGRESOS'!CF37*'1_PANEL_CONTROL'!$C$27</f>
        <v>190202.63420324749</v>
      </c>
      <c r="CG11" s="33">
        <f>'5_DETALLE_INGRESOS'!CG37*'1_PANEL_CONTROL'!$C$27</f>
        <v>205396.87830990728</v>
      </c>
      <c r="CH11" s="33">
        <f>'5_DETALLE_INGRESOS'!CH37*'1_PANEL_CONTROL'!$C$27</f>
        <v>221806.29205709981</v>
      </c>
      <c r="CI11" s="33">
        <f>'5_DETALLE_INGRESOS'!CI37*'1_PANEL_CONTROL'!$C$27</f>
        <v>239526.64052206787</v>
      </c>
    </row>
    <row r="12" spans="1:87" ht="16.5">
      <c r="A12" s="6" t="s">
        <v>566</v>
      </c>
      <c r="B12" s="30" t="s">
        <v>465</v>
      </c>
      <c r="C12" s="17" t="s">
        <v>567</v>
      </c>
      <c r="D12" s="33">
        <f>'1_PANEL_CONTROL'!$C$28+('5_DETALLE_INGRESOS'!D18*'1_PANEL_CONTROL'!$C$29)</f>
        <v>117.02</v>
      </c>
      <c r="E12" s="33">
        <f>'1_PANEL_CONTROL'!$C$28+('5_DETALLE_INGRESOS'!E18*'1_PANEL_CONTROL'!$C$29)</f>
        <v>134.41</v>
      </c>
      <c r="F12" s="33">
        <f>'1_PANEL_CONTROL'!$C$28+('5_DETALLE_INGRESOS'!F18*'1_PANEL_CONTROL'!$C$29)</f>
        <v>152.17000000000002</v>
      </c>
      <c r="G12" s="33">
        <f>'1_PANEL_CONTROL'!$C$28+('5_DETALLE_INGRESOS'!G18*'1_PANEL_CONTROL'!$C$29)</f>
        <v>170.3</v>
      </c>
      <c r="H12" s="33">
        <f>'1_PANEL_CONTROL'!$C$28+('5_DETALLE_INGRESOS'!H18*'1_PANEL_CONTROL'!$C$29)</f>
        <v>189.17000000000002</v>
      </c>
      <c r="I12" s="33">
        <f>'1_PANEL_CONTROL'!$C$28+('5_DETALLE_INGRESOS'!I18*'1_PANEL_CONTROL'!$C$29)</f>
        <v>208.78</v>
      </c>
      <c r="J12" s="33">
        <f>'1_PANEL_CONTROL'!$C$28+('5_DETALLE_INGRESOS'!J18*'1_PANEL_CONTROL'!$C$29)</f>
        <v>229.13</v>
      </c>
      <c r="K12" s="33">
        <f>'1_PANEL_CONTROL'!$C$28+('5_DETALLE_INGRESOS'!K18*'1_PANEL_CONTROL'!$C$29)</f>
        <v>250.22</v>
      </c>
      <c r="L12" s="33">
        <f>'1_PANEL_CONTROL'!$C$28+('5_DETALLE_INGRESOS'!L18*'1_PANEL_CONTROL'!$C$29)</f>
        <v>272.78999999999996</v>
      </c>
      <c r="M12" s="33">
        <f>'1_PANEL_CONTROL'!$C$28+('5_DETALLE_INGRESOS'!M18*'1_PANEL_CONTROL'!$C$29)</f>
        <v>296.47000000000003</v>
      </c>
      <c r="N12" s="33">
        <f>'1_PANEL_CONTROL'!$C$28+('5_DETALLE_INGRESOS'!N18*'1_PANEL_CONTROL'!$C$29)</f>
        <v>321.63</v>
      </c>
      <c r="O12" s="33">
        <f>'1_PANEL_CONTROL'!$C$28+('5_DETALLE_INGRESOS'!O18*'1_PANEL_CONTROL'!$C$29)</f>
        <v>347.9</v>
      </c>
      <c r="P12" s="33">
        <f>'1_PANEL_CONTROL'!$C$28+('5_DETALLE_INGRESOS'!P18*'1_PANEL_CONTROL'!$C$29)</f>
        <v>375.65</v>
      </c>
      <c r="Q12" s="33">
        <f>'1_PANEL_CONTROL'!$C$28+('5_DETALLE_INGRESOS'!Q18*'1_PANEL_CONTROL'!$C$29)</f>
        <v>404.88</v>
      </c>
      <c r="R12" s="33">
        <f>'1_PANEL_CONTROL'!$C$28+('5_DETALLE_INGRESOS'!R18*'1_PANEL_CONTROL'!$C$29)</f>
        <v>435.96</v>
      </c>
      <c r="S12" s="33">
        <f>'1_PANEL_CONTROL'!$C$28+('5_DETALLE_INGRESOS'!S18*'1_PANEL_CONTROL'!$C$29)</f>
        <v>469.26</v>
      </c>
      <c r="T12" s="33">
        <f>'1_PANEL_CONTROL'!$C$28+('5_DETALLE_INGRESOS'!T18*'1_PANEL_CONTROL'!$C$29)</f>
        <v>504.78</v>
      </c>
      <c r="U12" s="33">
        <f>'1_PANEL_CONTROL'!$C$28+('5_DETALLE_INGRESOS'!U18*'1_PANEL_CONTROL'!$C$29)</f>
        <v>542.52</v>
      </c>
      <c r="V12" s="33">
        <f>'1_PANEL_CONTROL'!$C$28+('5_DETALLE_INGRESOS'!V18*'1_PANEL_CONTROL'!$C$29)</f>
        <v>583.22</v>
      </c>
      <c r="W12" s="33">
        <f>'1_PANEL_CONTROL'!$C$28+('5_DETALLE_INGRESOS'!W18*'1_PANEL_CONTROL'!$C$29)</f>
        <v>626.51</v>
      </c>
      <c r="X12" s="33">
        <f>'1_PANEL_CONTROL'!$C$28+('5_DETALLE_INGRESOS'!X18*'1_PANEL_CONTROL'!$C$29)</f>
        <v>673.13</v>
      </c>
      <c r="Y12" s="33">
        <f>'1_PANEL_CONTROL'!$C$28+('5_DETALLE_INGRESOS'!Y18*'1_PANEL_CONTROL'!$C$29)</f>
        <v>723.08</v>
      </c>
      <c r="Z12" s="33">
        <f>'1_PANEL_CONTROL'!$C$28+('5_DETALLE_INGRESOS'!Z18*'1_PANEL_CONTROL'!$C$29)</f>
        <v>776.36</v>
      </c>
      <c r="AA12" s="33">
        <f>'1_PANEL_CONTROL'!$C$28+('5_DETALLE_INGRESOS'!AA18*'1_PANEL_CONTROL'!$C$29)</f>
        <v>833.71</v>
      </c>
      <c r="AB12" s="33">
        <f>'1_PANEL_CONTROL'!$C$28+('5_DETALLE_INGRESOS'!AB18*'1_PANEL_CONTROL'!$C$29)</f>
        <v>895.5</v>
      </c>
      <c r="AC12" s="33">
        <f>'1_PANEL_CONTROL'!$C$28+('5_DETALLE_INGRESOS'!AC18*'1_PANEL_CONTROL'!$C$29)</f>
        <v>962.1</v>
      </c>
      <c r="AD12" s="33">
        <f>'1_PANEL_CONTROL'!$C$28+('5_DETALLE_INGRESOS'!AD18*'1_PANEL_CONTROL'!$C$29)</f>
        <v>1033.51</v>
      </c>
      <c r="AE12" s="33">
        <f>'1_PANEL_CONTROL'!$C$28+('5_DETALLE_INGRESOS'!AE18*'1_PANEL_CONTROL'!$C$29)</f>
        <v>1110.47</v>
      </c>
      <c r="AF12" s="33">
        <f>'1_PANEL_CONTROL'!$C$28+('5_DETALLE_INGRESOS'!AF18*'1_PANEL_CONTROL'!$C$29)</f>
        <v>1193.3499999999999</v>
      </c>
      <c r="AG12" s="33">
        <f>'1_PANEL_CONTROL'!$C$28+('5_DETALLE_INGRESOS'!AG18*'1_PANEL_CONTROL'!$C$29)</f>
        <v>1282.52</v>
      </c>
      <c r="AH12" s="33">
        <f>'1_PANEL_CONTROL'!$C$28+('5_DETALLE_INGRESOS'!AH18*'1_PANEL_CONTROL'!$C$29)</f>
        <v>1378.72</v>
      </c>
      <c r="AI12" s="33">
        <f>'1_PANEL_CONTROL'!$C$28+('5_DETALLE_INGRESOS'!AI18*'1_PANEL_CONTROL'!$C$29)</f>
        <v>1482.32</v>
      </c>
      <c r="AJ12" s="33">
        <f>'1_PANEL_CONTROL'!$C$28+('5_DETALLE_INGRESOS'!AJ18*'1_PANEL_CONTROL'!$C$29)</f>
        <v>1594.06</v>
      </c>
      <c r="AK12" s="33">
        <f>'1_PANEL_CONTROL'!$C$28+('5_DETALLE_INGRESOS'!AK18*'1_PANEL_CONTROL'!$C$29)</f>
        <v>1714.31</v>
      </c>
      <c r="AL12" s="33">
        <f>'1_PANEL_CONTROL'!$C$28+('5_DETALLE_INGRESOS'!AL18*'1_PANEL_CONTROL'!$C$29)</f>
        <v>1844.18</v>
      </c>
      <c r="AM12" s="33">
        <f>'1_PANEL_CONTROL'!$C$28+('5_DETALLE_INGRESOS'!AM18*'1_PANEL_CONTROL'!$C$29)</f>
        <v>1984.04</v>
      </c>
      <c r="AN12" s="33">
        <f>'1_PANEL_CONTROL'!$C$28+('5_DETALLE_INGRESOS'!AN18*'1_PANEL_CONTROL'!$C$29)</f>
        <v>2135</v>
      </c>
      <c r="AO12" s="33">
        <f>'1_PANEL_CONTROL'!$C$28+('5_DETALLE_INGRESOS'!AO18*'1_PANEL_CONTROL'!$C$29)</f>
        <v>2297.8000000000002</v>
      </c>
      <c r="AP12" s="33">
        <f>'1_PANEL_CONTROL'!$C$28+('5_DETALLE_INGRESOS'!AP18*'1_PANEL_CONTROL'!$C$29)</f>
        <v>2473.5500000000002</v>
      </c>
      <c r="AQ12" s="33">
        <f>'1_PANEL_CONTROL'!$C$28+('5_DETALLE_INGRESOS'!AQ18*'1_PANEL_CONTROL'!$C$29)</f>
        <v>2662.99</v>
      </c>
      <c r="AR12" s="33">
        <f>'1_PANEL_CONTROL'!$C$28+('5_DETALLE_INGRESOS'!AR18*'1_PANEL_CONTROL'!$C$29)</f>
        <v>2867.97</v>
      </c>
      <c r="AS12" s="33">
        <f>'1_PANEL_CONTROL'!$C$28+('5_DETALLE_INGRESOS'!AS18*'1_PANEL_CONTROL'!$C$29)</f>
        <v>3088.86</v>
      </c>
      <c r="AT12" s="33">
        <f>'1_PANEL_CONTROL'!$C$28+('5_DETALLE_INGRESOS'!AT18*'1_PANEL_CONTROL'!$C$29)</f>
        <v>3327.14</v>
      </c>
      <c r="AU12" s="33">
        <f>'1_PANEL_CONTROL'!$C$28+('5_DETALLE_INGRESOS'!AU18*'1_PANEL_CONTROL'!$C$29)</f>
        <v>3584.29</v>
      </c>
      <c r="AV12" s="33">
        <f>'1_PANEL_CONTROL'!$C$28+('5_DETALLE_INGRESOS'!AV18*'1_PANEL_CONTROL'!$C$29)</f>
        <v>3862.16</v>
      </c>
      <c r="AW12" s="33">
        <f>'1_PANEL_CONTROL'!$C$28+('5_DETALLE_INGRESOS'!AW18*'1_PANEL_CONTROL'!$C$29)</f>
        <v>4162.2299999999996</v>
      </c>
      <c r="AX12" s="33">
        <f>'1_PANEL_CONTROL'!$C$28+('5_DETALLE_INGRESOS'!AX18*'1_PANEL_CONTROL'!$C$29)</f>
        <v>4486.3500000000004</v>
      </c>
      <c r="AY12" s="33">
        <f>'1_PANEL_CONTROL'!$C$28+('5_DETALLE_INGRESOS'!AY18*'1_PANEL_CONTROL'!$C$29)</f>
        <v>4836</v>
      </c>
      <c r="AZ12" s="33">
        <f>'1_PANEL_CONTROL'!$C$28+('5_DETALLE_INGRESOS'!AZ18*'1_PANEL_CONTROL'!$C$29)</f>
        <v>5213.7699999999995</v>
      </c>
      <c r="BA12" s="33">
        <f>'1_PANEL_CONTROL'!$C$28+('5_DETALLE_INGRESOS'!BA18*'1_PANEL_CONTROL'!$C$29)</f>
        <v>5621.88</v>
      </c>
      <c r="BB12" s="33">
        <f>'1_PANEL_CONTROL'!$C$28+('5_DETALLE_INGRESOS'!BB18*'1_PANEL_CONTROL'!$C$29)</f>
        <v>6062.18</v>
      </c>
      <c r="BC12" s="33">
        <f>'1_PANEL_CONTROL'!$C$28+('5_DETALLE_INGRESOS'!BC18*'1_PANEL_CONTROL'!$C$29)</f>
        <v>6538</v>
      </c>
      <c r="BD12" s="33">
        <f>'1_PANEL_CONTROL'!$C$28+('5_DETALLE_INGRESOS'!BD18*'1_PANEL_CONTROL'!$C$29)</f>
        <v>7051.5599999999995</v>
      </c>
      <c r="BE12" s="33">
        <f>'1_PANEL_CONTROL'!$C$28+('5_DETALLE_INGRESOS'!BE18*'1_PANEL_CONTROL'!$C$29)</f>
        <v>7605.82</v>
      </c>
      <c r="BF12" s="33">
        <f>'1_PANEL_CONTROL'!$C$28+('5_DETALLE_INGRESOS'!BF18*'1_PANEL_CONTROL'!$C$29)</f>
        <v>8204.48</v>
      </c>
      <c r="BG12" s="33">
        <f>'1_PANEL_CONTROL'!$C$28+('5_DETALLE_INGRESOS'!BG18*'1_PANEL_CONTROL'!$C$29)</f>
        <v>8851.24</v>
      </c>
      <c r="BH12" s="33">
        <f>'1_PANEL_CONTROL'!$C$28+('5_DETALLE_INGRESOS'!BH18*'1_PANEL_CONTROL'!$C$29)</f>
        <v>9549.43</v>
      </c>
      <c r="BI12" s="33">
        <f>'1_PANEL_CONTROL'!$C$28+('5_DETALLE_INGRESOS'!BI18*'1_PANEL_CONTROL'!$C$29)</f>
        <v>10303.49</v>
      </c>
      <c r="BJ12" s="33">
        <f>'1_PANEL_CONTROL'!$C$28+('5_DETALLE_INGRESOS'!BJ18*'1_PANEL_CONTROL'!$C$29)</f>
        <v>11117.49</v>
      </c>
      <c r="BK12" s="33">
        <f>'1_PANEL_CONTROL'!$C$28+('5_DETALLE_INGRESOS'!BK18*'1_PANEL_CONTROL'!$C$29)</f>
        <v>11996.98</v>
      </c>
      <c r="BL12" s="33">
        <f>'1_PANEL_CONTROL'!$C$28+('5_DETALLE_INGRESOS'!BL18*'1_PANEL_CONTROL'!$C$29)</f>
        <v>12946.77</v>
      </c>
      <c r="BM12" s="33">
        <f>'1_PANEL_CONTROL'!$C$28+('5_DETALLE_INGRESOS'!BM18*'1_PANEL_CONTROL'!$C$29)</f>
        <v>13972.039999999999</v>
      </c>
      <c r="BN12" s="33">
        <f>'1_PANEL_CONTROL'!$C$28+('5_DETALLE_INGRESOS'!BN18*'1_PANEL_CONTROL'!$C$29)</f>
        <v>15079.45</v>
      </c>
      <c r="BO12" s="33">
        <f>'1_PANEL_CONTROL'!$C$28+('5_DETALLE_INGRESOS'!BO18*'1_PANEL_CONTROL'!$C$29)</f>
        <v>16275.66</v>
      </c>
      <c r="BP12" s="33">
        <f>'1_PANEL_CONTROL'!$C$28+('5_DETALLE_INGRESOS'!BP18*'1_PANEL_CONTROL'!$C$29)</f>
        <v>17567.7</v>
      </c>
      <c r="BQ12" s="33">
        <f>'1_PANEL_CONTROL'!$C$28+('5_DETALLE_INGRESOS'!BQ18*'1_PANEL_CONTROL'!$C$29)</f>
        <v>18962.97</v>
      </c>
      <c r="BR12" s="33">
        <f>'1_PANEL_CONTROL'!$C$28+('5_DETALLE_INGRESOS'!BR18*'1_PANEL_CONTROL'!$C$29)</f>
        <v>20469.61</v>
      </c>
      <c r="BS12" s="33">
        <f>'1_PANEL_CONTROL'!$C$28+('5_DETALLE_INGRESOS'!BS18*'1_PANEL_CONTROL'!$C$29)</f>
        <v>22096.5</v>
      </c>
      <c r="BT12" s="33">
        <f>'1_PANEL_CONTROL'!$C$28+('5_DETALLE_INGRESOS'!BT18*'1_PANEL_CONTROL'!$C$29)</f>
        <v>23853.63</v>
      </c>
      <c r="BU12" s="33">
        <f>'1_PANEL_CONTROL'!$C$28+('5_DETALLE_INGRESOS'!BU18*'1_PANEL_CONTROL'!$C$29)</f>
        <v>25751.360000000001</v>
      </c>
      <c r="BV12" s="33">
        <f>'1_PANEL_CONTROL'!$C$28+('5_DETALLE_INGRESOS'!BV18*'1_PANEL_CONTROL'!$C$29)</f>
        <v>27800.79</v>
      </c>
      <c r="BW12" s="33">
        <f>'1_PANEL_CONTROL'!$C$28+('5_DETALLE_INGRESOS'!BW18*'1_PANEL_CONTROL'!$C$29)</f>
        <v>30014.13</v>
      </c>
      <c r="BX12" s="33">
        <f>'1_PANEL_CONTROL'!$C$28+('5_DETALLE_INGRESOS'!BX18*'1_PANEL_CONTROL'!$C$29)</f>
        <v>32404.7</v>
      </c>
      <c r="BY12" s="33">
        <f>'1_PANEL_CONTROL'!$C$28+('5_DETALLE_INGRESOS'!BY18*'1_PANEL_CONTROL'!$C$29)</f>
        <v>34986.559999999998</v>
      </c>
      <c r="BZ12" s="33">
        <f>'1_PANEL_CONTROL'!$C$28+('5_DETALLE_INGRESOS'!BZ18*'1_PANEL_CONTROL'!$C$29)</f>
        <v>37774.879999999997</v>
      </c>
      <c r="CA12" s="33">
        <f>'1_PANEL_CONTROL'!$C$28+('5_DETALLE_INGRESOS'!CA18*'1_PANEL_CONTROL'!$C$29)</f>
        <v>40786.31</v>
      </c>
      <c r="CB12" s="33">
        <f>'1_PANEL_CONTROL'!$C$28+('5_DETALLE_INGRESOS'!CB18*'1_PANEL_CONTROL'!$C$29)</f>
        <v>44038.61</v>
      </c>
      <c r="CC12" s="33">
        <f>'1_PANEL_CONTROL'!$C$28+('5_DETALLE_INGRESOS'!CC18*'1_PANEL_CONTROL'!$C$29)</f>
        <v>47551.02</v>
      </c>
      <c r="CD12" s="33">
        <f>'1_PANEL_CONTROL'!$C$28+('5_DETALLE_INGRESOS'!CD18*'1_PANEL_CONTROL'!$C$29)</f>
        <v>51344.63</v>
      </c>
      <c r="CE12" s="33">
        <f>'1_PANEL_CONTROL'!$C$28+('5_DETALLE_INGRESOS'!CE18*'1_PANEL_CONTROL'!$C$29)</f>
        <v>55441.64</v>
      </c>
      <c r="CF12" s="33">
        <f>'1_PANEL_CONTROL'!$C$28+('5_DETALLE_INGRESOS'!CF18*'1_PANEL_CONTROL'!$C$29)</f>
        <v>59866.47</v>
      </c>
      <c r="CG12" s="33">
        <f>'1_PANEL_CONTROL'!$C$28+('5_DETALLE_INGRESOS'!CG18*'1_PANEL_CONTROL'!$C$29)</f>
        <v>64645.39</v>
      </c>
      <c r="CH12" s="33">
        <f>'1_PANEL_CONTROL'!$C$28+('5_DETALLE_INGRESOS'!CH18*'1_PANEL_CONTROL'!$C$29)</f>
        <v>69806.52</v>
      </c>
      <c r="CI12" s="33">
        <f>'1_PANEL_CONTROL'!$C$28+('5_DETALLE_INGRESOS'!CI18*'1_PANEL_CONTROL'!$C$29)</f>
        <v>75380.2</v>
      </c>
    </row>
    <row r="13" spans="1:87" ht="16.5">
      <c r="A13" s="6" t="s">
        <v>568</v>
      </c>
      <c r="B13" s="30" t="s">
        <v>465</v>
      </c>
      <c r="C13" s="17" t="s">
        <v>569</v>
      </c>
      <c r="D13" s="33">
        <f>'5_DETALLE_INGRESOS'!D20*'1_PANEL_CONTROL'!$C$24</f>
        <v>1610</v>
      </c>
      <c r="E13" s="33">
        <f>'5_DETALLE_INGRESOS'!E20*'1_PANEL_CONTROL'!$C$24</f>
        <v>1715</v>
      </c>
      <c r="F13" s="33">
        <f>'5_DETALLE_INGRESOS'!F20*'1_PANEL_CONTROL'!$C$24</f>
        <v>1820</v>
      </c>
      <c r="G13" s="33">
        <f>'5_DETALLE_INGRESOS'!G20*'1_PANEL_CONTROL'!$C$24</f>
        <v>1960</v>
      </c>
      <c r="H13" s="33">
        <f>'5_DETALLE_INGRESOS'!H20*'1_PANEL_CONTROL'!$C$24</f>
        <v>2100</v>
      </c>
      <c r="I13" s="33">
        <f>'5_DETALLE_INGRESOS'!I20*'1_PANEL_CONTROL'!$C$24</f>
        <v>2275</v>
      </c>
      <c r="J13" s="33">
        <f>'5_DETALLE_INGRESOS'!J20*'1_PANEL_CONTROL'!$C$24</f>
        <v>2415</v>
      </c>
      <c r="K13" s="33">
        <f>'5_DETALLE_INGRESOS'!K20*'1_PANEL_CONTROL'!$C$24</f>
        <v>2590</v>
      </c>
      <c r="L13" s="33">
        <f>'5_DETALLE_INGRESOS'!L20*'1_PANEL_CONTROL'!$C$24</f>
        <v>2800</v>
      </c>
      <c r="M13" s="33">
        <f>'5_DETALLE_INGRESOS'!M20*'1_PANEL_CONTROL'!$C$24</f>
        <v>3010</v>
      </c>
      <c r="N13" s="33">
        <f>'5_DETALLE_INGRESOS'!N20*'1_PANEL_CONTROL'!$C$24</f>
        <v>3255</v>
      </c>
      <c r="O13" s="33">
        <f>'5_DETALLE_INGRESOS'!O20*'1_PANEL_CONTROL'!$C$24</f>
        <v>3500</v>
      </c>
      <c r="P13" s="33">
        <f>'5_DETALLE_INGRESOS'!P20*'1_PANEL_CONTROL'!$C$24</f>
        <v>3745</v>
      </c>
      <c r="Q13" s="33">
        <f>'5_DETALLE_INGRESOS'!Q20*'1_PANEL_CONTROL'!$C$24</f>
        <v>4025</v>
      </c>
      <c r="R13" s="33">
        <f>'5_DETALLE_INGRESOS'!R20*'1_PANEL_CONTROL'!$C$24</f>
        <v>4340</v>
      </c>
      <c r="S13" s="33">
        <f>'5_DETALLE_INGRESOS'!S20*'1_PANEL_CONTROL'!$C$24</f>
        <v>4690</v>
      </c>
      <c r="T13" s="33">
        <f>'5_DETALLE_INGRESOS'!T20*'1_PANEL_CONTROL'!$C$24</f>
        <v>5040</v>
      </c>
      <c r="U13" s="33">
        <f>'5_DETALLE_INGRESOS'!U20*'1_PANEL_CONTROL'!$C$24</f>
        <v>5425</v>
      </c>
      <c r="V13" s="33">
        <f>'5_DETALLE_INGRESOS'!V20*'1_PANEL_CONTROL'!$C$24</f>
        <v>5845</v>
      </c>
      <c r="W13" s="33">
        <f>'5_DETALLE_INGRESOS'!W20*'1_PANEL_CONTROL'!$C$24</f>
        <v>6300</v>
      </c>
      <c r="X13" s="33">
        <f>'5_DETALLE_INGRESOS'!X20*'1_PANEL_CONTROL'!$C$24</f>
        <v>6790</v>
      </c>
      <c r="Y13" s="33">
        <f>'5_DETALLE_INGRESOS'!Y20*'1_PANEL_CONTROL'!$C$24</f>
        <v>7315</v>
      </c>
      <c r="Z13" s="33">
        <f>'5_DETALLE_INGRESOS'!Z20*'1_PANEL_CONTROL'!$C$24</f>
        <v>7875</v>
      </c>
      <c r="AA13" s="33">
        <f>'5_DETALLE_INGRESOS'!AA20*'1_PANEL_CONTROL'!$C$24</f>
        <v>8505</v>
      </c>
      <c r="AB13" s="33">
        <f>'5_DETALLE_INGRESOS'!AB20*'1_PANEL_CONTROL'!$C$24</f>
        <v>9170</v>
      </c>
      <c r="AC13" s="33">
        <f>'5_DETALLE_INGRESOS'!AC20*'1_PANEL_CONTROL'!$C$24</f>
        <v>9905</v>
      </c>
      <c r="AD13" s="33">
        <f>'5_DETALLE_INGRESOS'!AD20*'1_PANEL_CONTROL'!$C$24</f>
        <v>10675</v>
      </c>
      <c r="AE13" s="33">
        <f>'5_DETALLE_INGRESOS'!AE20*'1_PANEL_CONTROL'!$C$24</f>
        <v>11515</v>
      </c>
      <c r="AF13" s="33">
        <f>'5_DETALLE_INGRESOS'!AF20*'1_PANEL_CONTROL'!$C$24</f>
        <v>12425</v>
      </c>
      <c r="AG13" s="33">
        <f>'5_DETALLE_INGRESOS'!AG20*'1_PANEL_CONTROL'!$C$24</f>
        <v>13405</v>
      </c>
      <c r="AH13" s="33">
        <f>'5_DETALLE_INGRESOS'!AH20*'1_PANEL_CONTROL'!$C$24</f>
        <v>14455</v>
      </c>
      <c r="AI13" s="33">
        <f>'5_DETALLE_INGRESOS'!AI20*'1_PANEL_CONTROL'!$C$24</f>
        <v>15610</v>
      </c>
      <c r="AJ13" s="33">
        <f>'5_DETALLE_INGRESOS'!AJ20*'1_PANEL_CONTROL'!$C$24</f>
        <v>16835</v>
      </c>
      <c r="AK13" s="33">
        <f>'5_DETALLE_INGRESOS'!AK20*'1_PANEL_CONTROL'!$C$24</f>
        <v>18165</v>
      </c>
      <c r="AL13" s="33">
        <f>'5_DETALLE_INGRESOS'!AL20*'1_PANEL_CONTROL'!$C$24</f>
        <v>19600</v>
      </c>
      <c r="AM13" s="33">
        <f>'5_DETALLE_INGRESOS'!AM20*'1_PANEL_CONTROL'!$C$24</f>
        <v>21140</v>
      </c>
      <c r="AN13" s="33">
        <f>'5_DETALLE_INGRESOS'!AN20*'1_PANEL_CONTROL'!$C$24</f>
        <v>22820</v>
      </c>
      <c r="AO13" s="33">
        <f>'5_DETALLE_INGRESOS'!AO20*'1_PANEL_CONTROL'!$C$24</f>
        <v>24640</v>
      </c>
      <c r="AP13" s="33">
        <f>'5_DETALLE_INGRESOS'!AP20*'1_PANEL_CONTROL'!$C$24</f>
        <v>26600</v>
      </c>
      <c r="AQ13" s="33">
        <f>'5_DETALLE_INGRESOS'!AQ20*'1_PANEL_CONTROL'!$C$24</f>
        <v>28700</v>
      </c>
      <c r="AR13" s="33">
        <f>'5_DETALLE_INGRESOS'!AR20*'1_PANEL_CONTROL'!$C$24</f>
        <v>31010</v>
      </c>
      <c r="AS13" s="33">
        <f>'5_DETALLE_INGRESOS'!AS20*'1_PANEL_CONTROL'!$C$24</f>
        <v>33460</v>
      </c>
      <c r="AT13" s="33">
        <f>'5_DETALLE_INGRESOS'!AT20*'1_PANEL_CONTROL'!$C$24</f>
        <v>36120</v>
      </c>
      <c r="AU13" s="33">
        <f>'5_DETALLE_INGRESOS'!AU20*'1_PANEL_CONTROL'!$C$24</f>
        <v>38990</v>
      </c>
      <c r="AV13" s="33">
        <f>'5_DETALLE_INGRESOS'!AV20*'1_PANEL_CONTROL'!$C$24</f>
        <v>42105</v>
      </c>
      <c r="AW13" s="33">
        <f>'5_DETALLE_INGRESOS'!AW20*'1_PANEL_CONTROL'!$C$24</f>
        <v>45465</v>
      </c>
      <c r="AX13" s="33">
        <f>'5_DETALLE_INGRESOS'!AX20*'1_PANEL_CONTROL'!$C$24</f>
        <v>49105</v>
      </c>
      <c r="AY13" s="33">
        <f>'5_DETALLE_INGRESOS'!AY20*'1_PANEL_CONTROL'!$C$24</f>
        <v>52990</v>
      </c>
      <c r="AZ13" s="33">
        <f>'5_DETALLE_INGRESOS'!AZ20*'1_PANEL_CONTROL'!$C$24</f>
        <v>57225</v>
      </c>
      <c r="BA13" s="33">
        <f>'5_DETALLE_INGRESOS'!BA20*'1_PANEL_CONTROL'!$C$24</f>
        <v>61810</v>
      </c>
      <c r="BB13" s="33">
        <f>'5_DETALLE_INGRESOS'!BB20*'1_PANEL_CONTROL'!$C$24</f>
        <v>66710</v>
      </c>
      <c r="BC13" s="33">
        <f>'5_DETALLE_INGRESOS'!BC20*'1_PANEL_CONTROL'!$C$24</f>
        <v>72065</v>
      </c>
      <c r="BD13" s="33">
        <f>'5_DETALLE_INGRESOS'!BD20*'1_PANEL_CONTROL'!$C$24</f>
        <v>77805</v>
      </c>
      <c r="BE13" s="33">
        <f>'5_DETALLE_INGRESOS'!BE20*'1_PANEL_CONTROL'!$C$24</f>
        <v>84000</v>
      </c>
      <c r="BF13" s="33">
        <f>'5_DETALLE_INGRESOS'!BF20*'1_PANEL_CONTROL'!$C$24</f>
        <v>90720</v>
      </c>
      <c r="BG13" s="33">
        <f>'5_DETALLE_INGRESOS'!BG20*'1_PANEL_CONTROL'!$C$24</f>
        <v>97965</v>
      </c>
      <c r="BH13" s="33">
        <f>'5_DETALLE_INGRESOS'!BH20*'1_PANEL_CONTROL'!$C$24</f>
        <v>105770</v>
      </c>
      <c r="BI13" s="33">
        <f>'5_DETALLE_INGRESOS'!BI20*'1_PANEL_CONTROL'!$C$24</f>
        <v>114240</v>
      </c>
      <c r="BJ13" s="33">
        <f>'5_DETALLE_INGRESOS'!BJ20*'1_PANEL_CONTROL'!$C$24</f>
        <v>123340</v>
      </c>
      <c r="BK13" s="33">
        <f>'5_DETALLE_INGRESOS'!BK20*'1_PANEL_CONTROL'!$C$24</f>
        <v>133210</v>
      </c>
      <c r="BL13" s="33">
        <f>'5_DETALLE_INGRESOS'!BL20*'1_PANEL_CONTROL'!$C$24</f>
        <v>143850</v>
      </c>
      <c r="BM13" s="33">
        <f>'5_DETALLE_INGRESOS'!BM20*'1_PANEL_CONTROL'!$C$24</f>
        <v>155330</v>
      </c>
      <c r="BN13" s="33">
        <f>'5_DETALLE_INGRESOS'!BN20*'1_PANEL_CONTROL'!$C$24</f>
        <v>167755</v>
      </c>
      <c r="BO13" s="33">
        <f>'5_DETALLE_INGRESOS'!BO20*'1_PANEL_CONTROL'!$C$24</f>
        <v>181160</v>
      </c>
      <c r="BP13" s="33">
        <f>'5_DETALLE_INGRESOS'!BP20*'1_PANEL_CONTROL'!$C$24</f>
        <v>195650</v>
      </c>
      <c r="BQ13" s="33">
        <f>'5_DETALLE_INGRESOS'!BQ20*'1_PANEL_CONTROL'!$C$24</f>
        <v>211295</v>
      </c>
      <c r="BR13" s="33">
        <f>'5_DETALLE_INGRESOS'!BR20*'1_PANEL_CONTROL'!$C$24</f>
        <v>228165</v>
      </c>
      <c r="BS13" s="33">
        <f>'5_DETALLE_INGRESOS'!BS20*'1_PANEL_CONTROL'!$C$24</f>
        <v>246400</v>
      </c>
      <c r="BT13" s="33">
        <f>'5_DETALLE_INGRESOS'!BT20*'1_PANEL_CONTROL'!$C$24</f>
        <v>266105</v>
      </c>
      <c r="BU13" s="33">
        <f>'5_DETALLE_INGRESOS'!BU20*'1_PANEL_CONTROL'!$C$24</f>
        <v>287385</v>
      </c>
      <c r="BV13" s="33">
        <f>'5_DETALLE_INGRESOS'!BV20*'1_PANEL_CONTROL'!$C$24</f>
        <v>310345</v>
      </c>
      <c r="BW13" s="33">
        <f>'5_DETALLE_INGRESOS'!BW20*'1_PANEL_CONTROL'!$C$24</f>
        <v>335160</v>
      </c>
      <c r="BX13" s="33">
        <f>'5_DETALLE_INGRESOS'!BX20*'1_PANEL_CONTROL'!$C$24</f>
        <v>361970</v>
      </c>
      <c r="BY13" s="33">
        <f>'5_DETALLE_INGRESOS'!BY20*'1_PANEL_CONTROL'!$C$24</f>
        <v>390915</v>
      </c>
      <c r="BZ13" s="33">
        <f>'5_DETALLE_INGRESOS'!BZ20*'1_PANEL_CONTROL'!$C$24</f>
        <v>422170</v>
      </c>
      <c r="CA13" s="33">
        <f>'5_DETALLE_INGRESOS'!CA20*'1_PANEL_CONTROL'!$C$24</f>
        <v>455945</v>
      </c>
      <c r="CB13" s="33">
        <f>'5_DETALLE_INGRESOS'!CB20*'1_PANEL_CONTROL'!$C$24</f>
        <v>492380</v>
      </c>
      <c r="CC13" s="33">
        <f>'5_DETALLE_INGRESOS'!CC20*'1_PANEL_CONTROL'!$C$24</f>
        <v>531755</v>
      </c>
      <c r="CD13" s="33">
        <f>'5_DETALLE_INGRESOS'!CD20*'1_PANEL_CONTROL'!$C$24</f>
        <v>574315</v>
      </c>
      <c r="CE13" s="33">
        <f>'5_DETALLE_INGRESOS'!CE20*'1_PANEL_CONTROL'!$C$24</f>
        <v>620235</v>
      </c>
      <c r="CF13" s="33">
        <f>'5_DETALLE_INGRESOS'!CF20*'1_PANEL_CONTROL'!$C$24</f>
        <v>669830</v>
      </c>
      <c r="CG13" s="33">
        <f>'5_DETALLE_INGRESOS'!CG20*'1_PANEL_CONTROL'!$C$24</f>
        <v>723415</v>
      </c>
      <c r="CH13" s="33">
        <f>'5_DETALLE_INGRESOS'!CH20*'1_PANEL_CONTROL'!$C$24</f>
        <v>781270</v>
      </c>
      <c r="CI13" s="33">
        <f>'5_DETALLE_INGRESOS'!CI20*'1_PANEL_CONTROL'!$C$24</f>
        <v>843745</v>
      </c>
    </row>
    <row r="14" spans="1:87" ht="16.5">
      <c r="A14" s="6" t="s">
        <v>570</v>
      </c>
      <c r="B14" s="30" t="s">
        <v>465</v>
      </c>
      <c r="C14" s="17" t="s">
        <v>571</v>
      </c>
      <c r="D14" s="33">
        <f>'5_DETALLE_INGRESOS'!D20*'1_PANEL_CONTROL'!$C$25</f>
        <v>299</v>
      </c>
      <c r="E14" s="33">
        <f>'5_DETALLE_INGRESOS'!E20*'1_PANEL_CONTROL'!$C$25</f>
        <v>318.5</v>
      </c>
      <c r="F14" s="33">
        <f>'5_DETALLE_INGRESOS'!F20*'1_PANEL_CONTROL'!$C$25</f>
        <v>338</v>
      </c>
      <c r="G14" s="33">
        <f>'5_DETALLE_INGRESOS'!G20*'1_PANEL_CONTROL'!$C$25</f>
        <v>364</v>
      </c>
      <c r="H14" s="33">
        <f>'5_DETALLE_INGRESOS'!H20*'1_PANEL_CONTROL'!$C$25</f>
        <v>390</v>
      </c>
      <c r="I14" s="33">
        <f>'5_DETALLE_INGRESOS'!I20*'1_PANEL_CONTROL'!$C$25</f>
        <v>422.5</v>
      </c>
      <c r="J14" s="33">
        <f>'5_DETALLE_INGRESOS'!J20*'1_PANEL_CONTROL'!$C$25</f>
        <v>448.5</v>
      </c>
      <c r="K14" s="33">
        <f>'5_DETALLE_INGRESOS'!K20*'1_PANEL_CONTROL'!$C$25</f>
        <v>481</v>
      </c>
      <c r="L14" s="33">
        <f>'5_DETALLE_INGRESOS'!L20*'1_PANEL_CONTROL'!$C$25</f>
        <v>520</v>
      </c>
      <c r="M14" s="33">
        <f>'5_DETALLE_INGRESOS'!M20*'1_PANEL_CONTROL'!$C$25</f>
        <v>559</v>
      </c>
      <c r="N14" s="33">
        <f>'5_DETALLE_INGRESOS'!N20*'1_PANEL_CONTROL'!$C$25</f>
        <v>604.5</v>
      </c>
      <c r="O14" s="33">
        <f>'5_DETALLE_INGRESOS'!O20*'1_PANEL_CONTROL'!$C$25</f>
        <v>650</v>
      </c>
      <c r="P14" s="33">
        <f>'5_DETALLE_INGRESOS'!P20*'1_PANEL_CONTROL'!$C$25</f>
        <v>695.5</v>
      </c>
      <c r="Q14" s="33">
        <f>'5_DETALLE_INGRESOS'!Q20*'1_PANEL_CONTROL'!$C$25</f>
        <v>747.5</v>
      </c>
      <c r="R14" s="33">
        <f>'5_DETALLE_INGRESOS'!R20*'1_PANEL_CONTROL'!$C$25</f>
        <v>806</v>
      </c>
      <c r="S14" s="33">
        <f>'5_DETALLE_INGRESOS'!S20*'1_PANEL_CONTROL'!$C$25</f>
        <v>871</v>
      </c>
      <c r="T14" s="33">
        <f>'5_DETALLE_INGRESOS'!T20*'1_PANEL_CONTROL'!$C$25</f>
        <v>936</v>
      </c>
      <c r="U14" s="33">
        <f>'5_DETALLE_INGRESOS'!U20*'1_PANEL_CONTROL'!$C$25</f>
        <v>1007.5</v>
      </c>
      <c r="V14" s="33">
        <f>'5_DETALLE_INGRESOS'!V20*'1_PANEL_CONTROL'!$C$25</f>
        <v>1085.5</v>
      </c>
      <c r="W14" s="33">
        <f>'5_DETALLE_INGRESOS'!W20*'1_PANEL_CONTROL'!$C$25</f>
        <v>1170</v>
      </c>
      <c r="X14" s="33">
        <f>'5_DETALLE_INGRESOS'!X20*'1_PANEL_CONTROL'!$C$25</f>
        <v>1261</v>
      </c>
      <c r="Y14" s="33">
        <f>'5_DETALLE_INGRESOS'!Y20*'1_PANEL_CONTROL'!$C$25</f>
        <v>1358.5</v>
      </c>
      <c r="Z14" s="33">
        <f>'5_DETALLE_INGRESOS'!Z20*'1_PANEL_CONTROL'!$C$25</f>
        <v>1462.5</v>
      </c>
      <c r="AA14" s="33">
        <f>'5_DETALLE_INGRESOS'!AA20*'1_PANEL_CONTROL'!$C$25</f>
        <v>1579.5</v>
      </c>
      <c r="AB14" s="33">
        <f>'5_DETALLE_INGRESOS'!AB20*'1_PANEL_CONTROL'!$C$25</f>
        <v>1703</v>
      </c>
      <c r="AC14" s="33">
        <f>'5_DETALLE_INGRESOS'!AC20*'1_PANEL_CONTROL'!$C$25</f>
        <v>1839.5</v>
      </c>
      <c r="AD14" s="33">
        <f>'5_DETALLE_INGRESOS'!AD20*'1_PANEL_CONTROL'!$C$25</f>
        <v>1982.5</v>
      </c>
      <c r="AE14" s="33">
        <f>'5_DETALLE_INGRESOS'!AE20*'1_PANEL_CONTROL'!$C$25</f>
        <v>2138.5</v>
      </c>
      <c r="AF14" s="33">
        <f>'5_DETALLE_INGRESOS'!AF20*'1_PANEL_CONTROL'!$C$25</f>
        <v>2307.5</v>
      </c>
      <c r="AG14" s="33">
        <f>'5_DETALLE_INGRESOS'!AG20*'1_PANEL_CONTROL'!$C$25</f>
        <v>2489.5</v>
      </c>
      <c r="AH14" s="33">
        <f>'5_DETALLE_INGRESOS'!AH20*'1_PANEL_CONTROL'!$C$25</f>
        <v>2684.5</v>
      </c>
      <c r="AI14" s="33">
        <f>'5_DETALLE_INGRESOS'!AI20*'1_PANEL_CONTROL'!$C$25</f>
        <v>2899</v>
      </c>
      <c r="AJ14" s="33">
        <f>'5_DETALLE_INGRESOS'!AJ20*'1_PANEL_CONTROL'!$C$25</f>
        <v>3126.5</v>
      </c>
      <c r="AK14" s="33">
        <f>'5_DETALLE_INGRESOS'!AK20*'1_PANEL_CONTROL'!$C$25</f>
        <v>3373.5</v>
      </c>
      <c r="AL14" s="33">
        <f>'5_DETALLE_INGRESOS'!AL20*'1_PANEL_CONTROL'!$C$25</f>
        <v>3640</v>
      </c>
      <c r="AM14" s="33">
        <f>'5_DETALLE_INGRESOS'!AM20*'1_PANEL_CONTROL'!$C$25</f>
        <v>3926</v>
      </c>
      <c r="AN14" s="33">
        <f>'5_DETALLE_INGRESOS'!AN20*'1_PANEL_CONTROL'!$C$25</f>
        <v>4238</v>
      </c>
      <c r="AO14" s="33">
        <f>'5_DETALLE_INGRESOS'!AO20*'1_PANEL_CONTROL'!$C$25</f>
        <v>4576</v>
      </c>
      <c r="AP14" s="33">
        <f>'5_DETALLE_INGRESOS'!AP20*'1_PANEL_CONTROL'!$C$25</f>
        <v>4940</v>
      </c>
      <c r="AQ14" s="33">
        <f>'5_DETALLE_INGRESOS'!AQ20*'1_PANEL_CONTROL'!$C$25</f>
        <v>5330</v>
      </c>
      <c r="AR14" s="33">
        <f>'5_DETALLE_INGRESOS'!AR20*'1_PANEL_CONTROL'!$C$25</f>
        <v>5759</v>
      </c>
      <c r="AS14" s="33">
        <f>'5_DETALLE_INGRESOS'!AS20*'1_PANEL_CONTROL'!$C$25</f>
        <v>6214</v>
      </c>
      <c r="AT14" s="33">
        <f>'5_DETALLE_INGRESOS'!AT20*'1_PANEL_CONTROL'!$C$25</f>
        <v>6708</v>
      </c>
      <c r="AU14" s="33">
        <f>'5_DETALLE_INGRESOS'!AU20*'1_PANEL_CONTROL'!$C$25</f>
        <v>7241</v>
      </c>
      <c r="AV14" s="33">
        <f>'5_DETALLE_INGRESOS'!AV20*'1_PANEL_CONTROL'!$C$25</f>
        <v>7819.5</v>
      </c>
      <c r="AW14" s="33">
        <f>'5_DETALLE_INGRESOS'!AW20*'1_PANEL_CONTROL'!$C$25</f>
        <v>8443.5</v>
      </c>
      <c r="AX14" s="33">
        <f>'5_DETALLE_INGRESOS'!AX20*'1_PANEL_CONTROL'!$C$25</f>
        <v>9119.5</v>
      </c>
      <c r="AY14" s="33">
        <f>'5_DETALLE_INGRESOS'!AY20*'1_PANEL_CONTROL'!$C$25</f>
        <v>9841</v>
      </c>
      <c r="AZ14" s="33">
        <f>'5_DETALLE_INGRESOS'!AZ20*'1_PANEL_CONTROL'!$C$25</f>
        <v>10627.5</v>
      </c>
      <c r="BA14" s="33">
        <f>'5_DETALLE_INGRESOS'!BA20*'1_PANEL_CONTROL'!$C$25</f>
        <v>11479</v>
      </c>
      <c r="BB14" s="33">
        <f>'5_DETALLE_INGRESOS'!BB20*'1_PANEL_CONTROL'!$C$25</f>
        <v>12389</v>
      </c>
      <c r="BC14" s="33">
        <f>'5_DETALLE_INGRESOS'!BC20*'1_PANEL_CONTROL'!$C$25</f>
        <v>13383.5</v>
      </c>
      <c r="BD14" s="33">
        <f>'5_DETALLE_INGRESOS'!BD20*'1_PANEL_CONTROL'!$C$25</f>
        <v>14449.5</v>
      </c>
      <c r="BE14" s="33">
        <f>'5_DETALLE_INGRESOS'!BE20*'1_PANEL_CONTROL'!$C$25</f>
        <v>15600</v>
      </c>
      <c r="BF14" s="33">
        <f>'5_DETALLE_INGRESOS'!BF20*'1_PANEL_CONTROL'!$C$25</f>
        <v>16848</v>
      </c>
      <c r="BG14" s="33">
        <f>'5_DETALLE_INGRESOS'!BG20*'1_PANEL_CONTROL'!$C$25</f>
        <v>18193.5</v>
      </c>
      <c r="BH14" s="33">
        <f>'5_DETALLE_INGRESOS'!BH20*'1_PANEL_CONTROL'!$C$25</f>
        <v>19643</v>
      </c>
      <c r="BI14" s="33">
        <f>'5_DETALLE_INGRESOS'!BI20*'1_PANEL_CONTROL'!$C$25</f>
        <v>21216</v>
      </c>
      <c r="BJ14" s="33">
        <f>'5_DETALLE_INGRESOS'!BJ20*'1_PANEL_CONTROL'!$C$25</f>
        <v>22906</v>
      </c>
      <c r="BK14" s="33">
        <f>'5_DETALLE_INGRESOS'!BK20*'1_PANEL_CONTROL'!$C$25</f>
        <v>24739</v>
      </c>
      <c r="BL14" s="33">
        <f>'5_DETALLE_INGRESOS'!BL20*'1_PANEL_CONTROL'!$C$25</f>
        <v>26715</v>
      </c>
      <c r="BM14" s="33">
        <f>'5_DETALLE_INGRESOS'!BM20*'1_PANEL_CONTROL'!$C$25</f>
        <v>28847</v>
      </c>
      <c r="BN14" s="33">
        <f>'5_DETALLE_INGRESOS'!BN20*'1_PANEL_CONTROL'!$C$25</f>
        <v>31154.5</v>
      </c>
      <c r="BO14" s="33">
        <f>'5_DETALLE_INGRESOS'!BO20*'1_PANEL_CONTROL'!$C$25</f>
        <v>33644</v>
      </c>
      <c r="BP14" s="33">
        <f>'5_DETALLE_INGRESOS'!BP20*'1_PANEL_CONTROL'!$C$25</f>
        <v>36335</v>
      </c>
      <c r="BQ14" s="33">
        <f>'5_DETALLE_INGRESOS'!BQ20*'1_PANEL_CONTROL'!$C$25</f>
        <v>39240.5</v>
      </c>
      <c r="BR14" s="33">
        <f>'5_DETALLE_INGRESOS'!BR20*'1_PANEL_CONTROL'!$C$25</f>
        <v>42373.5</v>
      </c>
      <c r="BS14" s="33">
        <f>'5_DETALLE_INGRESOS'!BS20*'1_PANEL_CONTROL'!$C$25</f>
        <v>45760</v>
      </c>
      <c r="BT14" s="33">
        <f>'5_DETALLE_INGRESOS'!BT20*'1_PANEL_CONTROL'!$C$25</f>
        <v>49419.5</v>
      </c>
      <c r="BU14" s="33">
        <f>'5_DETALLE_INGRESOS'!BU20*'1_PANEL_CONTROL'!$C$25</f>
        <v>53371.5</v>
      </c>
      <c r="BV14" s="33">
        <f>'5_DETALLE_INGRESOS'!BV20*'1_PANEL_CONTROL'!$C$25</f>
        <v>57635.5</v>
      </c>
      <c r="BW14" s="33">
        <f>'5_DETALLE_INGRESOS'!BW20*'1_PANEL_CONTROL'!$C$25</f>
        <v>62244</v>
      </c>
      <c r="BX14" s="33">
        <f>'5_DETALLE_INGRESOS'!BX20*'1_PANEL_CONTROL'!$C$25</f>
        <v>67223</v>
      </c>
      <c r="BY14" s="33">
        <f>'5_DETALLE_INGRESOS'!BY20*'1_PANEL_CONTROL'!$C$25</f>
        <v>72598.5</v>
      </c>
      <c r="BZ14" s="33">
        <f>'5_DETALLE_INGRESOS'!BZ20*'1_PANEL_CONTROL'!$C$25</f>
        <v>78403</v>
      </c>
      <c r="CA14" s="33">
        <f>'5_DETALLE_INGRESOS'!CA20*'1_PANEL_CONTROL'!$C$25</f>
        <v>84675.5</v>
      </c>
      <c r="CB14" s="33">
        <f>'5_DETALLE_INGRESOS'!CB20*'1_PANEL_CONTROL'!$C$25</f>
        <v>91442</v>
      </c>
      <c r="CC14" s="33">
        <f>'5_DETALLE_INGRESOS'!CC20*'1_PANEL_CONTROL'!$C$25</f>
        <v>98754.5</v>
      </c>
      <c r="CD14" s="33">
        <f>'5_DETALLE_INGRESOS'!CD20*'1_PANEL_CONTROL'!$C$25</f>
        <v>106658.5</v>
      </c>
      <c r="CE14" s="33">
        <f>'5_DETALLE_INGRESOS'!CE20*'1_PANEL_CONTROL'!$C$25</f>
        <v>115186.5</v>
      </c>
      <c r="CF14" s="33">
        <f>'5_DETALLE_INGRESOS'!CF20*'1_PANEL_CONTROL'!$C$25</f>
        <v>124397</v>
      </c>
      <c r="CG14" s="33">
        <f>'5_DETALLE_INGRESOS'!CG20*'1_PANEL_CONTROL'!$C$25</f>
        <v>134348.5</v>
      </c>
      <c r="CH14" s="33">
        <f>'5_DETALLE_INGRESOS'!CH20*'1_PANEL_CONTROL'!$C$25</f>
        <v>145093</v>
      </c>
      <c r="CI14" s="33">
        <f>'5_DETALLE_INGRESOS'!CI20*'1_PANEL_CONTROL'!$C$25</f>
        <v>156695.5</v>
      </c>
    </row>
    <row r="15" spans="1:87" ht="16.5">
      <c r="A15" s="5" t="s">
        <v>572</v>
      </c>
      <c r="B15" s="30" t="s">
        <v>465</v>
      </c>
      <c r="C15" s="17" t="s">
        <v>556</v>
      </c>
      <c r="D15" s="41">
        <f t="shared" ref="D15:AI15" si="0">SUM(D10:D14)</f>
        <v>2356.5379324999999</v>
      </c>
      <c r="E15" s="41">
        <f t="shared" si="0"/>
        <v>2577.9167275</v>
      </c>
      <c r="F15" s="41">
        <f t="shared" si="0"/>
        <v>2800.9485001000003</v>
      </c>
      <c r="G15" s="41">
        <f t="shared" si="0"/>
        <v>3071.7785455080002</v>
      </c>
      <c r="H15" s="41">
        <f t="shared" si="0"/>
        <v>3345.17813254864</v>
      </c>
      <c r="I15" s="41">
        <f t="shared" si="0"/>
        <v>3665.2000835525314</v>
      </c>
      <c r="J15" s="41">
        <f t="shared" si="0"/>
        <v>3946.7250316367335</v>
      </c>
      <c r="K15" s="41">
        <f t="shared" si="0"/>
        <v>4276.7903305676728</v>
      </c>
      <c r="L15" s="41">
        <f t="shared" si="0"/>
        <v>4656.7487924130864</v>
      </c>
      <c r="M15" s="41">
        <f t="shared" si="0"/>
        <v>5043.090853206133</v>
      </c>
      <c r="N15" s="41">
        <f t="shared" si="0"/>
        <v>5479.591491862624</v>
      </c>
      <c r="O15" s="41">
        <f t="shared" si="0"/>
        <v>5924.2736276116339</v>
      </c>
      <c r="P15" s="41">
        <f t="shared" si="0"/>
        <v>6376.0539462205643</v>
      </c>
      <c r="Q15" s="41">
        <f t="shared" si="0"/>
        <v>6876.8961553182089</v>
      </c>
      <c r="R15" s="41">
        <f t="shared" si="0"/>
        <v>7432.4989941436661</v>
      </c>
      <c r="S15" s="41">
        <f t="shared" si="0"/>
        <v>8040.6875730751599</v>
      </c>
      <c r="T15" s="41">
        <f t="shared" si="0"/>
        <v>8659.5214683211725</v>
      </c>
      <c r="U15" s="41">
        <f t="shared" si="0"/>
        <v>9332.8425221868656</v>
      </c>
      <c r="V15" s="41">
        <f t="shared" si="0"/>
        <v>10064.260999361815</v>
      </c>
      <c r="W15" s="41">
        <f t="shared" si="0"/>
        <v>10852.104549710761</v>
      </c>
      <c r="X15" s="41">
        <f t="shared" si="0"/>
        <v>11701.673403087621</v>
      </c>
      <c r="Y15" s="41">
        <f t="shared" si="0"/>
        <v>12611.079971734631</v>
      </c>
      <c r="Z15" s="41">
        <f t="shared" si="0"/>
        <v>13580.4694108734</v>
      </c>
      <c r="AA15" s="41">
        <f t="shared" si="0"/>
        <v>14659.193313143274</v>
      </c>
      <c r="AB15" s="41">
        <f t="shared" si="0"/>
        <v>15804.885412594736</v>
      </c>
      <c r="AC15" s="41">
        <f t="shared" si="0"/>
        <v>17061.556324002315</v>
      </c>
      <c r="AD15" s="41">
        <f t="shared" si="0"/>
        <v>18387.155343322498</v>
      </c>
      <c r="AE15" s="41">
        <f t="shared" si="0"/>
        <v>19827.073160188302</v>
      </c>
      <c r="AF15" s="41">
        <f t="shared" si="0"/>
        <v>21385.342608403364</v>
      </c>
      <c r="AG15" s="41">
        <f t="shared" si="0"/>
        <v>23063.342830475631</v>
      </c>
      <c r="AH15" s="41">
        <f t="shared" si="0"/>
        <v>24864.831582313684</v>
      </c>
      <c r="AI15" s="41">
        <f t="shared" si="0"/>
        <v>26833.61562929878</v>
      </c>
      <c r="AJ15" s="41">
        <f t="shared" ref="AJ15:BO15" si="1">SUM(AJ10:AJ14)</f>
        <v>28933.00581004268</v>
      </c>
      <c r="AK15" s="41">
        <f t="shared" si="1"/>
        <v>31205.096844246094</v>
      </c>
      <c r="AL15" s="41">
        <f t="shared" si="1"/>
        <v>33658.723286185785</v>
      </c>
      <c r="AM15" s="41">
        <f t="shared" si="1"/>
        <v>36294.003300480646</v>
      </c>
      <c r="AN15" s="41">
        <f t="shared" si="1"/>
        <v>39161.951761919096</v>
      </c>
      <c r="AO15" s="41">
        <f t="shared" si="1"/>
        <v>42262.415556272623</v>
      </c>
      <c r="AP15" s="41">
        <f t="shared" si="1"/>
        <v>45606.372534174436</v>
      </c>
      <c r="AQ15" s="41">
        <f t="shared" si="1"/>
        <v>49193.398970308386</v>
      </c>
      <c r="AR15" s="41">
        <f t="shared" si="1"/>
        <v>53122.360905333058</v>
      </c>
      <c r="AS15" s="41">
        <f t="shared" si="1"/>
        <v>57307.127423159705</v>
      </c>
      <c r="AT15" s="41">
        <f t="shared" si="1"/>
        <v>61840.733366412482</v>
      </c>
      <c r="AU15" s="41">
        <f t="shared" si="1"/>
        <v>66735.814843125481</v>
      </c>
      <c r="AV15" s="41">
        <f t="shared" si="1"/>
        <v>72041.595052975521</v>
      </c>
      <c r="AW15" s="41">
        <f t="shared" si="1"/>
        <v>77765.101986613561</v>
      </c>
      <c r="AX15" s="41">
        <f t="shared" si="1"/>
        <v>83960.920826942645</v>
      </c>
      <c r="AY15" s="41">
        <f t="shared" si="1"/>
        <v>90594.083631498055</v>
      </c>
      <c r="AZ15" s="41">
        <f t="shared" si="1"/>
        <v>97807.011050417903</v>
      </c>
      <c r="BA15" s="41">
        <f t="shared" si="1"/>
        <v>105612.30668485134</v>
      </c>
      <c r="BB15" s="41">
        <f t="shared" si="1"/>
        <v>113972.88304103943</v>
      </c>
      <c r="BC15" s="41">
        <f t="shared" si="1"/>
        <v>123084.2480607226</v>
      </c>
      <c r="BD15" s="41">
        <f t="shared" si="1"/>
        <v>132867.26590898039</v>
      </c>
      <c r="BE15" s="41">
        <f t="shared" si="1"/>
        <v>143427.81867609883</v>
      </c>
      <c r="BF15" s="41">
        <f t="shared" si="1"/>
        <v>154869.55767558672</v>
      </c>
      <c r="BG15" s="41">
        <f t="shared" si="1"/>
        <v>167210.24689603367</v>
      </c>
      <c r="BH15" s="41">
        <f t="shared" si="1"/>
        <v>180513.56054011639</v>
      </c>
      <c r="BI15" s="41">
        <f t="shared" si="1"/>
        <v>194932.41618472568</v>
      </c>
      <c r="BJ15" s="41">
        <f t="shared" si="1"/>
        <v>210442.62939690374</v>
      </c>
      <c r="BK15" s="41">
        <f t="shared" si="1"/>
        <v>227248.34176605602</v>
      </c>
      <c r="BL15" s="41">
        <f t="shared" si="1"/>
        <v>245372.4709887405</v>
      </c>
      <c r="BM15" s="41">
        <f t="shared" si="1"/>
        <v>264931.71564323979</v>
      </c>
      <c r="BN15" s="41">
        <f t="shared" si="1"/>
        <v>286089.63826709893</v>
      </c>
      <c r="BO15" s="41">
        <f t="shared" si="1"/>
        <v>308921.96142686688</v>
      </c>
      <c r="BP15" s="41">
        <f t="shared" ref="BP15:CU15" si="2">SUM(BP10:BP14)</f>
        <v>333598.1651204162</v>
      </c>
      <c r="BQ15" s="41">
        <f t="shared" si="2"/>
        <v>360243.31792844948</v>
      </c>
      <c r="BR15" s="41">
        <f t="shared" si="2"/>
        <v>388984.53425812547</v>
      </c>
      <c r="BS15" s="41">
        <f t="shared" si="2"/>
        <v>420043.57162317552</v>
      </c>
      <c r="BT15" s="41">
        <f t="shared" si="2"/>
        <v>453602.22593142954</v>
      </c>
      <c r="BU15" s="41">
        <f t="shared" si="2"/>
        <v>489843.59952734387</v>
      </c>
      <c r="BV15" s="41">
        <f t="shared" si="2"/>
        <v>528954.73148893146</v>
      </c>
      <c r="BW15" s="41">
        <f t="shared" si="2"/>
        <v>571217.69703044591</v>
      </c>
      <c r="BX15" s="41">
        <f t="shared" si="2"/>
        <v>616875.50331428158</v>
      </c>
      <c r="BY15" s="41">
        <f t="shared" si="2"/>
        <v>666173.35982782417</v>
      </c>
      <c r="BZ15" s="41">
        <f t="shared" si="2"/>
        <v>719407.38840845006</v>
      </c>
      <c r="CA15" s="41">
        <f t="shared" si="2"/>
        <v>776924.78687752609</v>
      </c>
      <c r="CB15" s="41">
        <f t="shared" si="2"/>
        <v>838991.91337212815</v>
      </c>
      <c r="CC15" s="41">
        <f t="shared" si="2"/>
        <v>906054.38856629841</v>
      </c>
      <c r="CD15" s="41">
        <f t="shared" si="2"/>
        <v>978526.58912700228</v>
      </c>
      <c r="CE15" s="41">
        <f t="shared" si="2"/>
        <v>1056741.8892785625</v>
      </c>
      <c r="CF15" s="41">
        <f t="shared" si="2"/>
        <v>1141214.7042032476</v>
      </c>
      <c r="CG15" s="41">
        <f t="shared" si="2"/>
        <v>1232473.9683099072</v>
      </c>
      <c r="CH15" s="41">
        <f t="shared" si="2"/>
        <v>1331013.4120570999</v>
      </c>
      <c r="CI15" s="41">
        <f t="shared" si="2"/>
        <v>1437423.3405220679</v>
      </c>
    </row>
    <row r="17" spans="2:8" ht="24" customHeight="1">
      <c r="B17" s="109" t="s">
        <v>573</v>
      </c>
      <c r="C17" s="110"/>
      <c r="D17" s="110"/>
      <c r="E17" s="110"/>
      <c r="F17" s="110"/>
      <c r="G17" s="110"/>
      <c r="H17" s="110"/>
    </row>
    <row r="18" spans="2:8" ht="19" customHeight="1">
      <c r="B18" s="102" t="s">
        <v>574</v>
      </c>
      <c r="C18" s="103"/>
      <c r="D18" s="103"/>
      <c r="E18" s="103"/>
      <c r="F18" s="103"/>
      <c r="G18" s="103"/>
      <c r="H18" s="104"/>
    </row>
    <row r="19" spans="2:8" ht="19" customHeight="1">
      <c r="B19" s="105"/>
      <c r="C19" s="103"/>
      <c r="D19" s="103"/>
      <c r="E19" s="103"/>
      <c r="F19" s="103"/>
      <c r="G19" s="103"/>
      <c r="H19" s="104"/>
    </row>
    <row r="20" spans="2:8" ht="19" customHeight="1">
      <c r="B20" s="105"/>
      <c r="C20" s="103"/>
      <c r="D20" s="103"/>
      <c r="E20" s="103"/>
      <c r="F20" s="103"/>
      <c r="G20" s="103"/>
      <c r="H20" s="104"/>
    </row>
    <row r="21" spans="2:8" ht="19" customHeight="1">
      <c r="B21" s="105"/>
      <c r="C21" s="103"/>
      <c r="D21" s="103"/>
      <c r="E21" s="103"/>
      <c r="F21" s="103"/>
      <c r="G21" s="103"/>
      <c r="H21" s="104"/>
    </row>
    <row r="22" spans="2:8" ht="19" customHeight="1">
      <c r="B22" s="105"/>
      <c r="C22" s="103"/>
      <c r="D22" s="103"/>
      <c r="E22" s="103"/>
      <c r="F22" s="103"/>
      <c r="G22" s="103"/>
      <c r="H22" s="104"/>
    </row>
    <row r="23" spans="2:8" ht="19" customHeight="1">
      <c r="B23" s="105"/>
      <c r="C23" s="103"/>
      <c r="D23" s="103"/>
      <c r="E23" s="103"/>
      <c r="F23" s="103"/>
      <c r="G23" s="103"/>
      <c r="H23" s="104"/>
    </row>
    <row r="24" spans="2:8" ht="19" customHeight="1">
      <c r="B24" s="105"/>
      <c r="C24" s="103"/>
      <c r="D24" s="103"/>
      <c r="E24" s="103"/>
      <c r="F24" s="103"/>
      <c r="G24" s="103"/>
      <c r="H24" s="104"/>
    </row>
    <row r="25" spans="2:8" ht="19" customHeight="1">
      <c r="B25" s="106"/>
      <c r="C25" s="107"/>
      <c r="D25" s="107"/>
      <c r="E25" s="107"/>
      <c r="F25" s="107"/>
      <c r="G25" s="107"/>
      <c r="H25" s="108"/>
    </row>
  </sheetData>
  <mergeCells count="4">
    <mergeCell ref="B5:C5"/>
    <mergeCell ref="D5:O5"/>
    <mergeCell ref="B18:H25"/>
    <mergeCell ref="B17:H1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97316"/>
  </sheetPr>
  <dimension ref="A2:CI140"/>
  <sheetViews>
    <sheetView workbookViewId="0">
      <pane xSplit="3" ySplit="8" topLeftCell="D9" activePane="bottomRight" state="frozen"/>
      <selection pane="topRight"/>
      <selection pane="bottomLeft"/>
      <selection pane="bottomRight"/>
    </sheetView>
  </sheetViews>
  <sheetFormatPr baseColWidth="10" defaultColWidth="8.7265625" defaultRowHeight="14.5"/>
  <cols>
    <col min="1" max="1" width="30" customWidth="1"/>
    <col min="2" max="2" width="15" customWidth="1"/>
    <col min="3" max="3" width="35" customWidth="1"/>
    <col min="4" max="87" width="12" customWidth="1"/>
  </cols>
  <sheetData>
    <row r="2" spans="1:87" ht="25">
      <c r="A2" s="22" t="s">
        <v>575</v>
      </c>
      <c r="C2" s="23" t="s">
        <v>296</v>
      </c>
      <c r="D2" s="24" t="str">
        <f>CHOOSE('1_PANEL_CONTROL'!$C$4, "🔴 1: NEGATIVO", "🟡 2: EQUILIBRIO", "🟢 3: POSITIVO")</f>
        <v>🟡 2: EQUILIBRIO</v>
      </c>
    </row>
    <row r="3" spans="1:87" ht="45" customHeight="1">
      <c r="B3" s="116" t="str">
        <f>CHOOSE('1_PANEL_CONTROL'!$C$4, "[NEGATIVO] TALENTO HUMANO Y PERSONAL. Salarios de supervivencia (4 fundadores a " &amp; TEXT('7_EQUIPO_RRHH'!D10, "#.##0 €") &amp; " bruto/mes) y cotización general de autónomos (RETA) de 448,69 €/mes desde el inicio.", "[EQUILIBRIO] TALENTO HUMANO Y PERSONAL. Ahorro fiscal con cuota RETA reducida (tarifa plana de 88,56 €) para los fundadores en Año 1, incorporando 2 empleados en régimen general en Año 2.", "[POSITIVO] TALENTO HUMANO Y PERSONAL. Mismo equipo fundador inicial plano en Año 1 y contratación selectiva en Año 2, dejando el resto de vacantes inactivas para optimizar costes fijos.")</f>
        <v>[EQUILIBRIO] TALENTO HUMANO Y PERSONAL. Ahorro fiscal con cuota RETA reducida (tarifa plana de 88,56 €) para los fundadores en Año 1, incorporando 2 empleados en régimen general en Año 2.</v>
      </c>
      <c r="C3" s="112"/>
      <c r="D3" s="112"/>
      <c r="E3" s="112"/>
      <c r="F3" s="112"/>
      <c r="G3" s="112"/>
      <c r="H3" s="113"/>
    </row>
    <row r="4" spans="1:87" ht="16">
      <c r="A4" s="4" t="s">
        <v>576</v>
      </c>
    </row>
    <row r="5" spans="1:87" ht="16">
      <c r="A5" s="3" t="s">
        <v>577</v>
      </c>
      <c r="B5" s="42">
        <f>'1_PANEL_CONTROL'!$C$33</f>
        <v>0.32100000000000001</v>
      </c>
      <c r="C5" s="3" t="s">
        <v>578</v>
      </c>
      <c r="D5" s="20">
        <f>'1_PANEL_CONTROL'!$C$35</f>
        <v>4720.5</v>
      </c>
    </row>
    <row r="6" spans="1:87" ht="16">
      <c r="A6" s="3" t="s">
        <v>579</v>
      </c>
      <c r="B6" s="42">
        <f>'1_PANEL_CONTROL'!$C$34</f>
        <v>6.4699999999999994E-2</v>
      </c>
      <c r="C6" s="3" t="s">
        <v>580</v>
      </c>
      <c r="D6" s="20">
        <f>'1_PANEL_CONTROL'!$C$36</f>
        <v>1300</v>
      </c>
    </row>
    <row r="7" spans="1:87" ht="16">
      <c r="D7" s="29" t="s">
        <v>369</v>
      </c>
      <c r="E7" s="29" t="s">
        <v>370</v>
      </c>
      <c r="F7" s="29" t="s">
        <v>371</v>
      </c>
      <c r="G7" s="29" t="s">
        <v>372</v>
      </c>
      <c r="H7" s="29" t="s">
        <v>373</v>
      </c>
      <c r="I7" s="29" t="s">
        <v>374</v>
      </c>
      <c r="J7" s="29" t="s">
        <v>375</v>
      </c>
      <c r="K7" s="29" t="s">
        <v>376</v>
      </c>
      <c r="L7" s="29" t="s">
        <v>377</v>
      </c>
      <c r="M7" s="29" t="s">
        <v>378</v>
      </c>
      <c r="N7" s="29" t="s">
        <v>379</v>
      </c>
      <c r="O7" s="29" t="s">
        <v>380</v>
      </c>
      <c r="P7" s="29" t="s">
        <v>381</v>
      </c>
      <c r="Q7" s="29" t="s">
        <v>382</v>
      </c>
      <c r="R7" s="29" t="s">
        <v>383</v>
      </c>
      <c r="S7" s="29" t="s">
        <v>384</v>
      </c>
      <c r="T7" s="29" t="s">
        <v>385</v>
      </c>
      <c r="U7" s="29" t="s">
        <v>386</v>
      </c>
      <c r="V7" s="29" t="s">
        <v>387</v>
      </c>
      <c r="W7" s="29" t="s">
        <v>388</v>
      </c>
      <c r="X7" s="29" t="s">
        <v>389</v>
      </c>
      <c r="Y7" s="29" t="s">
        <v>390</v>
      </c>
      <c r="Z7" s="29" t="s">
        <v>391</v>
      </c>
      <c r="AA7" s="29" t="s">
        <v>392</v>
      </c>
      <c r="AB7" s="29" t="s">
        <v>393</v>
      </c>
      <c r="AC7" s="29" t="s">
        <v>394</v>
      </c>
      <c r="AD7" s="29" t="s">
        <v>395</v>
      </c>
      <c r="AE7" s="29" t="s">
        <v>396</v>
      </c>
      <c r="AF7" s="29" t="s">
        <v>397</v>
      </c>
      <c r="AG7" s="29" t="s">
        <v>398</v>
      </c>
      <c r="AH7" s="29" t="s">
        <v>399</v>
      </c>
      <c r="AI7" s="29" t="s">
        <v>400</v>
      </c>
      <c r="AJ7" s="29" t="s">
        <v>401</v>
      </c>
      <c r="AK7" s="29" t="s">
        <v>402</v>
      </c>
      <c r="AL7" s="29" t="s">
        <v>403</v>
      </c>
      <c r="AM7" s="29" t="s">
        <v>404</v>
      </c>
      <c r="AN7" s="29" t="s">
        <v>405</v>
      </c>
      <c r="AO7" s="29" t="s">
        <v>406</v>
      </c>
      <c r="AP7" s="29" t="s">
        <v>407</v>
      </c>
      <c r="AQ7" s="29" t="s">
        <v>408</v>
      </c>
      <c r="AR7" s="29" t="s">
        <v>409</v>
      </c>
      <c r="AS7" s="29" t="s">
        <v>410</v>
      </c>
      <c r="AT7" s="29" t="s">
        <v>411</v>
      </c>
      <c r="AU7" s="29" t="s">
        <v>412</v>
      </c>
      <c r="AV7" s="29" t="s">
        <v>413</v>
      </c>
      <c r="AW7" s="29" t="s">
        <v>414</v>
      </c>
      <c r="AX7" s="29" t="s">
        <v>415</v>
      </c>
      <c r="AY7" s="29" t="s">
        <v>416</v>
      </c>
      <c r="AZ7" s="29" t="s">
        <v>417</v>
      </c>
      <c r="BA7" s="29" t="s">
        <v>418</v>
      </c>
      <c r="BB7" s="29" t="s">
        <v>419</v>
      </c>
      <c r="BC7" s="29" t="s">
        <v>420</v>
      </c>
      <c r="BD7" s="29" t="s">
        <v>421</v>
      </c>
      <c r="BE7" s="29" t="s">
        <v>422</v>
      </c>
      <c r="BF7" s="29" t="s">
        <v>423</v>
      </c>
      <c r="BG7" s="29" t="s">
        <v>424</v>
      </c>
      <c r="BH7" s="29" t="s">
        <v>425</v>
      </c>
      <c r="BI7" s="29" t="s">
        <v>426</v>
      </c>
      <c r="BJ7" s="29" t="s">
        <v>427</v>
      </c>
      <c r="BK7" s="29" t="s">
        <v>428</v>
      </c>
      <c r="BL7" s="29" t="s">
        <v>429</v>
      </c>
      <c r="BM7" s="29" t="s">
        <v>430</v>
      </c>
      <c r="BN7" s="29" t="s">
        <v>431</v>
      </c>
      <c r="BO7" s="29" t="s">
        <v>432</v>
      </c>
      <c r="BP7" s="29" t="s">
        <v>433</v>
      </c>
      <c r="BQ7" s="29" t="s">
        <v>434</v>
      </c>
      <c r="BR7" s="29" t="s">
        <v>435</v>
      </c>
      <c r="BS7" s="29" t="s">
        <v>436</v>
      </c>
      <c r="BT7" s="29" t="s">
        <v>437</v>
      </c>
      <c r="BU7" s="29" t="s">
        <v>438</v>
      </c>
      <c r="BV7" s="29" t="s">
        <v>439</v>
      </c>
      <c r="BW7" s="29" t="s">
        <v>440</v>
      </c>
      <c r="BX7" s="29" t="s">
        <v>441</v>
      </c>
      <c r="BY7" s="29" t="s">
        <v>442</v>
      </c>
      <c r="BZ7" s="29" t="s">
        <v>443</v>
      </c>
      <c r="CA7" s="29" t="s">
        <v>444</v>
      </c>
      <c r="CB7" s="29" t="s">
        <v>445</v>
      </c>
      <c r="CC7" s="29" t="s">
        <v>446</v>
      </c>
      <c r="CD7" s="29" t="s">
        <v>447</v>
      </c>
      <c r="CE7" s="29" t="s">
        <v>448</v>
      </c>
      <c r="CF7" s="29" t="s">
        <v>449</v>
      </c>
      <c r="CG7" s="29" t="s">
        <v>450</v>
      </c>
      <c r="CH7" s="29" t="s">
        <v>451</v>
      </c>
      <c r="CI7" s="29" t="s">
        <v>452</v>
      </c>
    </row>
    <row r="8" spans="1:87" ht="16">
      <c r="A8" s="4" t="s">
        <v>581</v>
      </c>
      <c r="C8" s="43">
        <f>'1_PANEL_CONTROL'!$C$32</f>
        <v>12</v>
      </c>
      <c r="D8" s="29">
        <v>1</v>
      </c>
      <c r="E8" s="29">
        <v>2</v>
      </c>
      <c r="F8" s="29">
        <v>3</v>
      </c>
      <c r="G8" s="29">
        <v>4</v>
      </c>
      <c r="H8" s="29">
        <v>5</v>
      </c>
      <c r="I8" s="29">
        <v>6</v>
      </c>
      <c r="J8" s="29">
        <v>7</v>
      </c>
      <c r="K8" s="29">
        <v>8</v>
      </c>
      <c r="L8" s="29">
        <v>9</v>
      </c>
      <c r="M8" s="29">
        <v>10</v>
      </c>
      <c r="N8" s="29">
        <v>11</v>
      </c>
      <c r="O8" s="29">
        <v>12</v>
      </c>
      <c r="P8" s="29">
        <v>13</v>
      </c>
      <c r="Q8" s="29">
        <v>14</v>
      </c>
      <c r="R8" s="29">
        <v>15</v>
      </c>
      <c r="S8" s="29">
        <v>16</v>
      </c>
      <c r="T8" s="29">
        <v>17</v>
      </c>
      <c r="U8" s="29">
        <v>18</v>
      </c>
      <c r="V8" s="29">
        <v>19</v>
      </c>
      <c r="W8" s="29">
        <v>20</v>
      </c>
      <c r="X8" s="29">
        <v>21</v>
      </c>
      <c r="Y8" s="29">
        <v>22</v>
      </c>
      <c r="Z8" s="29">
        <v>23</v>
      </c>
      <c r="AA8" s="29">
        <v>24</v>
      </c>
      <c r="AB8" s="29">
        <v>25</v>
      </c>
      <c r="AC8" s="29">
        <v>26</v>
      </c>
      <c r="AD8" s="29">
        <v>27</v>
      </c>
      <c r="AE8" s="29">
        <v>28</v>
      </c>
      <c r="AF8" s="29">
        <v>29</v>
      </c>
      <c r="AG8" s="29">
        <v>30</v>
      </c>
      <c r="AH8" s="29">
        <v>31</v>
      </c>
      <c r="AI8" s="29">
        <v>32</v>
      </c>
      <c r="AJ8" s="29">
        <v>33</v>
      </c>
      <c r="AK8" s="29">
        <v>34</v>
      </c>
      <c r="AL8" s="29">
        <v>35</v>
      </c>
      <c r="AM8" s="29">
        <v>36</v>
      </c>
      <c r="AN8" s="29">
        <v>37</v>
      </c>
      <c r="AO8" s="29">
        <v>38</v>
      </c>
      <c r="AP8" s="29">
        <v>39</v>
      </c>
      <c r="AQ8" s="29">
        <v>40</v>
      </c>
      <c r="AR8" s="29">
        <v>41</v>
      </c>
      <c r="AS8" s="29">
        <v>42</v>
      </c>
      <c r="AT8" s="29">
        <v>43</v>
      </c>
      <c r="AU8" s="29">
        <v>44</v>
      </c>
      <c r="AV8" s="29">
        <v>45</v>
      </c>
      <c r="AW8" s="29">
        <v>46</v>
      </c>
      <c r="AX8" s="29">
        <v>47</v>
      </c>
      <c r="AY8" s="29">
        <v>48</v>
      </c>
      <c r="AZ8" s="29">
        <v>49</v>
      </c>
      <c r="BA8" s="29">
        <v>50</v>
      </c>
      <c r="BB8" s="29">
        <v>51</v>
      </c>
      <c r="BC8" s="29">
        <v>52</v>
      </c>
      <c r="BD8" s="29">
        <v>53</v>
      </c>
      <c r="BE8" s="29">
        <v>54</v>
      </c>
      <c r="BF8" s="29">
        <v>55</v>
      </c>
      <c r="BG8" s="29">
        <v>56</v>
      </c>
      <c r="BH8" s="29">
        <v>57</v>
      </c>
      <c r="BI8" s="29">
        <v>58</v>
      </c>
      <c r="BJ8" s="29">
        <v>59</v>
      </c>
      <c r="BK8" s="29">
        <v>60</v>
      </c>
      <c r="BL8" s="29">
        <v>61</v>
      </c>
      <c r="BM8" s="29">
        <v>62</v>
      </c>
      <c r="BN8" s="29">
        <v>63</v>
      </c>
      <c r="BO8" s="29">
        <v>64</v>
      </c>
      <c r="BP8" s="29">
        <v>65</v>
      </c>
      <c r="BQ8" s="29">
        <v>66</v>
      </c>
      <c r="BR8" s="29">
        <v>67</v>
      </c>
      <c r="BS8" s="29">
        <v>68</v>
      </c>
      <c r="BT8" s="29">
        <v>69</v>
      </c>
      <c r="BU8" s="29">
        <v>70</v>
      </c>
      <c r="BV8" s="29">
        <v>71</v>
      </c>
      <c r="BW8" s="29">
        <v>72</v>
      </c>
      <c r="BX8" s="29">
        <v>73</v>
      </c>
      <c r="BY8" s="29">
        <v>74</v>
      </c>
      <c r="BZ8" s="29">
        <v>75</v>
      </c>
      <c r="CA8" s="29">
        <v>76</v>
      </c>
      <c r="CB8" s="29">
        <v>77</v>
      </c>
      <c r="CC8" s="29">
        <v>78</v>
      </c>
      <c r="CD8" s="29">
        <v>79</v>
      </c>
      <c r="CE8" s="29">
        <v>80</v>
      </c>
      <c r="CF8" s="29">
        <v>81</v>
      </c>
      <c r="CG8" s="29">
        <v>82</v>
      </c>
      <c r="CH8" s="29">
        <v>83</v>
      </c>
      <c r="CI8" s="29">
        <v>84</v>
      </c>
    </row>
    <row r="10" spans="1:87" ht="16.5">
      <c r="A10" s="6" t="s">
        <v>582</v>
      </c>
      <c r="B10" s="30" t="s">
        <v>465</v>
      </c>
      <c r="C10" s="44">
        <f>'1_PANEL_CONTROL'!$C$39</f>
        <v>18000</v>
      </c>
      <c r="D10" s="33">
        <f>IF(D$8&gt;='1_PANEL_CONTROL'!$D$39, IF(D$8&lt;=12, 18000, IF(D$8&lt;=24, 36000, 48000))/'1_PANEL_CONTROL'!$C$32, 0)</f>
        <v>1500</v>
      </c>
      <c r="E10" s="33">
        <f>IF(E$8&gt;='1_PANEL_CONTROL'!$D$39, IF(E$8&lt;=12, 18000, IF(E$8&lt;=24, 36000, 48000))/'1_PANEL_CONTROL'!$C$32, 0)</f>
        <v>1500</v>
      </c>
      <c r="F10" s="33">
        <f>IF(F$8&gt;='1_PANEL_CONTROL'!$D$39, IF(F$8&lt;=12, 18000, IF(F$8&lt;=24, 36000, 48000))/'1_PANEL_CONTROL'!$C$32, 0)</f>
        <v>1500</v>
      </c>
      <c r="G10" s="33">
        <f>IF(G$8&gt;='1_PANEL_CONTROL'!$D$39, IF(G$8&lt;=12, 18000, IF(G$8&lt;=24, 36000, 48000))/'1_PANEL_CONTROL'!$C$32, 0)</f>
        <v>1500</v>
      </c>
      <c r="H10" s="33">
        <f>IF(H$8&gt;='1_PANEL_CONTROL'!$D$39, IF(H$8&lt;=12, 18000, IF(H$8&lt;=24, 36000, 48000))/'1_PANEL_CONTROL'!$C$32, 0)</f>
        <v>1500</v>
      </c>
      <c r="I10" s="33">
        <f>IF(I$8&gt;='1_PANEL_CONTROL'!$D$39, IF(I$8&lt;=12, 18000, IF(I$8&lt;=24, 36000, 48000))/'1_PANEL_CONTROL'!$C$32, 0)</f>
        <v>1500</v>
      </c>
      <c r="J10" s="33">
        <f>IF(J$8&gt;='1_PANEL_CONTROL'!$D$39, IF(J$8&lt;=12, 18000, IF(J$8&lt;=24, 36000, 48000))/'1_PANEL_CONTROL'!$C$32, 0)</f>
        <v>1500</v>
      </c>
      <c r="K10" s="33">
        <f>IF(K$8&gt;='1_PANEL_CONTROL'!$D$39, IF(K$8&lt;=12, 18000, IF(K$8&lt;=24, 36000, 48000))/'1_PANEL_CONTROL'!$C$32, 0)</f>
        <v>1500</v>
      </c>
      <c r="L10" s="33">
        <f>IF(L$8&gt;='1_PANEL_CONTROL'!$D$39, IF(L$8&lt;=12, 18000, IF(L$8&lt;=24, 36000, 48000))/'1_PANEL_CONTROL'!$C$32, 0)</f>
        <v>1500</v>
      </c>
      <c r="M10" s="33">
        <f>IF(M$8&gt;='1_PANEL_CONTROL'!$D$39, IF(M$8&lt;=12, 18000, IF(M$8&lt;=24, 36000, 48000))/'1_PANEL_CONTROL'!$C$32, 0)</f>
        <v>1500</v>
      </c>
      <c r="N10" s="33">
        <f>IF(N$8&gt;='1_PANEL_CONTROL'!$D$39, IF(N$8&lt;=12, 18000, IF(N$8&lt;=24, 36000, 48000))/'1_PANEL_CONTROL'!$C$32, 0)</f>
        <v>1500</v>
      </c>
      <c r="O10" s="33">
        <f>IF(O$8&gt;='1_PANEL_CONTROL'!$D$39, IF(O$8&lt;=12, 18000, IF(O$8&lt;=24, 36000, 48000))/'1_PANEL_CONTROL'!$C$32, 0)</f>
        <v>1500</v>
      </c>
      <c r="P10" s="33">
        <f>IF(P$8&gt;='1_PANEL_CONTROL'!$D$39, IF(P$8&lt;=12, 18000, IF(P$8&lt;=24, 36000, 48000))/'1_PANEL_CONTROL'!$C$32, 0)</f>
        <v>3000</v>
      </c>
      <c r="Q10" s="33">
        <f>IF(Q$8&gt;='1_PANEL_CONTROL'!$D$39, IF(Q$8&lt;=12, 18000, IF(Q$8&lt;=24, 36000, 48000))/'1_PANEL_CONTROL'!$C$32, 0)</f>
        <v>3000</v>
      </c>
      <c r="R10" s="33">
        <f>IF(R$8&gt;='1_PANEL_CONTROL'!$D$39, IF(R$8&lt;=12, 18000, IF(R$8&lt;=24, 36000, 48000))/'1_PANEL_CONTROL'!$C$32, 0)</f>
        <v>3000</v>
      </c>
      <c r="S10" s="33">
        <f>IF(S$8&gt;='1_PANEL_CONTROL'!$D$39, IF(S$8&lt;=12, 18000, IF(S$8&lt;=24, 36000, 48000))/'1_PANEL_CONTROL'!$C$32, 0)</f>
        <v>3000</v>
      </c>
      <c r="T10" s="33">
        <f>IF(T$8&gt;='1_PANEL_CONTROL'!$D$39, IF(T$8&lt;=12, 18000, IF(T$8&lt;=24, 36000, 48000))/'1_PANEL_CONTROL'!$C$32, 0)</f>
        <v>3000</v>
      </c>
      <c r="U10" s="33">
        <f>IF(U$8&gt;='1_PANEL_CONTROL'!$D$39, IF(U$8&lt;=12, 18000, IF(U$8&lt;=24, 36000, 48000))/'1_PANEL_CONTROL'!$C$32, 0)</f>
        <v>3000</v>
      </c>
      <c r="V10" s="33">
        <f>IF(V$8&gt;='1_PANEL_CONTROL'!$D$39, IF(V$8&lt;=12, 18000, IF(V$8&lt;=24, 36000, 48000))/'1_PANEL_CONTROL'!$C$32, 0)</f>
        <v>3000</v>
      </c>
      <c r="W10" s="33">
        <f>IF(W$8&gt;='1_PANEL_CONTROL'!$D$39, IF(W$8&lt;=12, 18000, IF(W$8&lt;=24, 36000, 48000))/'1_PANEL_CONTROL'!$C$32, 0)</f>
        <v>3000</v>
      </c>
      <c r="X10" s="33">
        <f>IF(X$8&gt;='1_PANEL_CONTROL'!$D$39, IF(X$8&lt;=12, 18000, IF(X$8&lt;=24, 36000, 48000))/'1_PANEL_CONTROL'!$C$32, 0)</f>
        <v>3000</v>
      </c>
      <c r="Y10" s="33">
        <f>IF(Y$8&gt;='1_PANEL_CONTROL'!$D$39, IF(Y$8&lt;=12, 18000, IF(Y$8&lt;=24, 36000, 48000))/'1_PANEL_CONTROL'!$C$32, 0)</f>
        <v>3000</v>
      </c>
      <c r="Z10" s="33">
        <f>IF(Z$8&gt;='1_PANEL_CONTROL'!$D$39, IF(Z$8&lt;=12, 18000, IF(Z$8&lt;=24, 36000, 48000))/'1_PANEL_CONTROL'!$C$32, 0)</f>
        <v>3000</v>
      </c>
      <c r="AA10" s="33">
        <f>IF(AA$8&gt;='1_PANEL_CONTROL'!$D$39, IF(AA$8&lt;=12, 18000, IF(AA$8&lt;=24, 36000, 48000))/'1_PANEL_CONTROL'!$C$32, 0)</f>
        <v>3000</v>
      </c>
      <c r="AB10" s="33">
        <f>IF(AB$8&gt;='1_PANEL_CONTROL'!$D$39, IF(AB$8&lt;=12, 18000, IF(AB$8&lt;=24, 36000, 48000))/'1_PANEL_CONTROL'!$C$32, 0)</f>
        <v>4000</v>
      </c>
      <c r="AC10" s="33">
        <f>IF(AC$8&gt;='1_PANEL_CONTROL'!$D$39, IF(AC$8&lt;=12, 18000, IF(AC$8&lt;=24, 36000, 48000))/'1_PANEL_CONTROL'!$C$32, 0)</f>
        <v>4000</v>
      </c>
      <c r="AD10" s="33">
        <f>IF(AD$8&gt;='1_PANEL_CONTROL'!$D$39, IF(AD$8&lt;=12, 18000, IF(AD$8&lt;=24, 36000, 48000))/'1_PANEL_CONTROL'!$C$32, 0)</f>
        <v>4000</v>
      </c>
      <c r="AE10" s="33">
        <f>IF(AE$8&gt;='1_PANEL_CONTROL'!$D$39, IF(AE$8&lt;=12, 18000, IF(AE$8&lt;=24, 36000, 48000))/'1_PANEL_CONTROL'!$C$32, 0)</f>
        <v>4000</v>
      </c>
      <c r="AF10" s="33">
        <f>IF(AF$8&gt;='1_PANEL_CONTROL'!$D$39, IF(AF$8&lt;=12, 18000, IF(AF$8&lt;=24, 36000, 48000))/'1_PANEL_CONTROL'!$C$32, 0)</f>
        <v>4000</v>
      </c>
      <c r="AG10" s="33">
        <f>IF(AG$8&gt;='1_PANEL_CONTROL'!$D$39, IF(AG$8&lt;=12, 18000, IF(AG$8&lt;=24, 36000, 48000))/'1_PANEL_CONTROL'!$C$32, 0)</f>
        <v>4000</v>
      </c>
      <c r="AH10" s="33">
        <f>IF(AH$8&gt;='1_PANEL_CONTROL'!$D$39, IF(AH$8&lt;=12, 18000, IF(AH$8&lt;=24, 36000, 48000))/'1_PANEL_CONTROL'!$C$32, 0)</f>
        <v>4000</v>
      </c>
      <c r="AI10" s="33">
        <f>IF(AI$8&gt;='1_PANEL_CONTROL'!$D$39, IF(AI$8&lt;=12, 18000, IF(AI$8&lt;=24, 36000, 48000))/'1_PANEL_CONTROL'!$C$32, 0)</f>
        <v>4000</v>
      </c>
      <c r="AJ10" s="33">
        <f>IF(AJ$8&gt;='1_PANEL_CONTROL'!$D$39, IF(AJ$8&lt;=12, 18000, IF(AJ$8&lt;=24, 36000, 48000))/'1_PANEL_CONTROL'!$C$32, 0)</f>
        <v>4000</v>
      </c>
      <c r="AK10" s="33">
        <f>IF(AK$8&gt;='1_PANEL_CONTROL'!$D$39, IF(AK$8&lt;=12, 18000, IF(AK$8&lt;=24, 36000, 48000))/'1_PANEL_CONTROL'!$C$32, 0)</f>
        <v>4000</v>
      </c>
      <c r="AL10" s="33">
        <f>IF(AL$8&gt;='1_PANEL_CONTROL'!$D$39, IF(AL$8&lt;=12, 18000, IF(AL$8&lt;=24, 36000, 48000))/'1_PANEL_CONTROL'!$C$32, 0)</f>
        <v>4000</v>
      </c>
      <c r="AM10" s="33">
        <f>IF(AM$8&gt;='1_PANEL_CONTROL'!$D$39, IF(AM$8&lt;=12, 18000, IF(AM$8&lt;=24, 36000, 48000))/'1_PANEL_CONTROL'!$C$32, 0)</f>
        <v>4000</v>
      </c>
      <c r="AN10" s="33">
        <f>IF(AN$8&gt;='1_PANEL_CONTROL'!$D$39, IF(AN$8&lt;=12, 18000, IF(AN$8&lt;=24, 36000, 48000))/'1_PANEL_CONTROL'!$C$32, 0)</f>
        <v>4000</v>
      </c>
      <c r="AO10" s="33">
        <f>IF(AO$8&gt;='1_PANEL_CONTROL'!$D$39, IF(AO$8&lt;=12, 18000, IF(AO$8&lt;=24, 36000, 48000))/'1_PANEL_CONTROL'!$C$32, 0)</f>
        <v>4000</v>
      </c>
      <c r="AP10" s="33">
        <f>IF(AP$8&gt;='1_PANEL_CONTROL'!$D$39, IF(AP$8&lt;=12, 18000, IF(AP$8&lt;=24, 36000, 48000))/'1_PANEL_CONTROL'!$C$32, 0)</f>
        <v>4000</v>
      </c>
      <c r="AQ10" s="33">
        <f>IF(AQ$8&gt;='1_PANEL_CONTROL'!$D$39, IF(AQ$8&lt;=12, 18000, IF(AQ$8&lt;=24, 36000, 48000))/'1_PANEL_CONTROL'!$C$32, 0)</f>
        <v>4000</v>
      </c>
      <c r="AR10" s="33">
        <f>IF(AR$8&gt;='1_PANEL_CONTROL'!$D$39, IF(AR$8&lt;=12, 18000, IF(AR$8&lt;=24, 36000, 48000))/'1_PANEL_CONTROL'!$C$32, 0)</f>
        <v>4000</v>
      </c>
      <c r="AS10" s="33">
        <f>IF(AS$8&gt;='1_PANEL_CONTROL'!$D$39, IF(AS$8&lt;=12, 18000, IF(AS$8&lt;=24, 36000, 48000))/'1_PANEL_CONTROL'!$C$32, 0)</f>
        <v>4000</v>
      </c>
      <c r="AT10" s="33">
        <f>IF(AT$8&gt;='1_PANEL_CONTROL'!$D$39, IF(AT$8&lt;=12, 18000, IF(AT$8&lt;=24, 36000, 48000))/'1_PANEL_CONTROL'!$C$32, 0)</f>
        <v>4000</v>
      </c>
      <c r="AU10" s="33">
        <f>IF(AU$8&gt;='1_PANEL_CONTROL'!$D$39, IF(AU$8&lt;=12, 18000, IF(AU$8&lt;=24, 36000, 48000))/'1_PANEL_CONTROL'!$C$32, 0)</f>
        <v>4000</v>
      </c>
      <c r="AV10" s="33">
        <f>IF(AV$8&gt;='1_PANEL_CONTROL'!$D$39, IF(AV$8&lt;=12, 18000, IF(AV$8&lt;=24, 36000, 48000))/'1_PANEL_CONTROL'!$C$32, 0)</f>
        <v>4000</v>
      </c>
      <c r="AW10" s="33">
        <f>IF(AW$8&gt;='1_PANEL_CONTROL'!$D$39, IF(AW$8&lt;=12, 18000, IF(AW$8&lt;=24, 36000, 48000))/'1_PANEL_CONTROL'!$C$32, 0)</f>
        <v>4000</v>
      </c>
      <c r="AX10" s="33">
        <f>IF(AX$8&gt;='1_PANEL_CONTROL'!$D$39, IF(AX$8&lt;=12, 18000, IF(AX$8&lt;=24, 36000, 48000))/'1_PANEL_CONTROL'!$C$32, 0)</f>
        <v>4000</v>
      </c>
      <c r="AY10" s="33">
        <f>IF(AY$8&gt;='1_PANEL_CONTROL'!$D$39, IF(AY$8&lt;=12, 18000, IF(AY$8&lt;=24, 36000, 48000))/'1_PANEL_CONTROL'!$C$32, 0)</f>
        <v>4000</v>
      </c>
      <c r="AZ10" s="33">
        <f>IF(AZ$8&gt;='1_PANEL_CONTROL'!$D$39, IF(AZ$8&lt;=12, 18000, IF(AZ$8&lt;=24, 36000, 48000))/'1_PANEL_CONTROL'!$C$32, 0)</f>
        <v>4000</v>
      </c>
      <c r="BA10" s="33">
        <f>IF(BA$8&gt;='1_PANEL_CONTROL'!$D$39, IF(BA$8&lt;=12, 18000, IF(BA$8&lt;=24, 36000, 48000))/'1_PANEL_CONTROL'!$C$32, 0)</f>
        <v>4000</v>
      </c>
      <c r="BB10" s="33">
        <f>IF(BB$8&gt;='1_PANEL_CONTROL'!$D$39, IF(BB$8&lt;=12, 18000, IF(BB$8&lt;=24, 36000, 48000))/'1_PANEL_CONTROL'!$C$32, 0)</f>
        <v>4000</v>
      </c>
      <c r="BC10" s="33">
        <f>IF(BC$8&gt;='1_PANEL_CONTROL'!$D$39, IF(BC$8&lt;=12, 18000, IF(BC$8&lt;=24, 36000, 48000))/'1_PANEL_CONTROL'!$C$32, 0)</f>
        <v>4000</v>
      </c>
      <c r="BD10" s="33">
        <f>IF(BD$8&gt;='1_PANEL_CONTROL'!$D$39, IF(BD$8&lt;=12, 18000, IF(BD$8&lt;=24, 36000, 48000))/'1_PANEL_CONTROL'!$C$32, 0)</f>
        <v>4000</v>
      </c>
      <c r="BE10" s="33">
        <f>IF(BE$8&gt;='1_PANEL_CONTROL'!$D$39, IF(BE$8&lt;=12, 18000, IF(BE$8&lt;=24, 36000, 48000))/'1_PANEL_CONTROL'!$C$32, 0)</f>
        <v>4000</v>
      </c>
      <c r="BF10" s="33">
        <f>IF(BF$8&gt;='1_PANEL_CONTROL'!$D$39, IF(BF$8&lt;=12, 18000, IF(BF$8&lt;=24, 36000, 48000))/'1_PANEL_CONTROL'!$C$32, 0)</f>
        <v>4000</v>
      </c>
      <c r="BG10" s="33">
        <f>IF(BG$8&gt;='1_PANEL_CONTROL'!$D$39, IF(BG$8&lt;=12, 18000, IF(BG$8&lt;=24, 36000, 48000))/'1_PANEL_CONTROL'!$C$32, 0)</f>
        <v>4000</v>
      </c>
      <c r="BH10" s="33">
        <f>IF(BH$8&gt;='1_PANEL_CONTROL'!$D$39, IF(BH$8&lt;=12, 18000, IF(BH$8&lt;=24, 36000, 48000))/'1_PANEL_CONTROL'!$C$32, 0)</f>
        <v>4000</v>
      </c>
      <c r="BI10" s="33">
        <f>IF(BI$8&gt;='1_PANEL_CONTROL'!$D$39, IF(BI$8&lt;=12, 18000, IF(BI$8&lt;=24, 36000, 48000))/'1_PANEL_CONTROL'!$C$32, 0)</f>
        <v>4000</v>
      </c>
      <c r="BJ10" s="33">
        <f>IF(BJ$8&gt;='1_PANEL_CONTROL'!$D$39, IF(BJ$8&lt;=12, 18000, IF(BJ$8&lt;=24, 36000, 48000))/'1_PANEL_CONTROL'!$C$32, 0)</f>
        <v>4000</v>
      </c>
      <c r="BK10" s="33">
        <f>IF(BK$8&gt;='1_PANEL_CONTROL'!$D$39, IF(BK$8&lt;=12, 18000, IF(BK$8&lt;=24, 36000, 48000))/'1_PANEL_CONTROL'!$C$32, 0)</f>
        <v>4000</v>
      </c>
      <c r="BL10" s="33">
        <f>IF(BL$8&gt;='1_PANEL_CONTROL'!$D$39, IF(BL$8&lt;=12, 18000, IF(BL$8&lt;=24, 36000, 48000))/'1_PANEL_CONTROL'!$C$32, 0)</f>
        <v>4000</v>
      </c>
      <c r="BM10" s="33">
        <f>IF(BM$8&gt;='1_PANEL_CONTROL'!$D$39, IF(BM$8&lt;=12, 18000, IF(BM$8&lt;=24, 36000, 48000))/'1_PANEL_CONTROL'!$C$32, 0)</f>
        <v>4000</v>
      </c>
      <c r="BN10" s="33">
        <f>IF(BN$8&gt;='1_PANEL_CONTROL'!$D$39, IF(BN$8&lt;=12, 18000, IF(BN$8&lt;=24, 36000, 48000))/'1_PANEL_CONTROL'!$C$32, 0)</f>
        <v>4000</v>
      </c>
      <c r="BO10" s="33">
        <f>IF(BO$8&gt;='1_PANEL_CONTROL'!$D$39, IF(BO$8&lt;=12, 18000, IF(BO$8&lt;=24, 36000, 48000))/'1_PANEL_CONTROL'!$C$32, 0)</f>
        <v>4000</v>
      </c>
      <c r="BP10" s="33">
        <f>IF(BP$8&gt;='1_PANEL_CONTROL'!$D$39, IF(BP$8&lt;=12, 18000, IF(BP$8&lt;=24, 36000, 48000))/'1_PANEL_CONTROL'!$C$32, 0)</f>
        <v>4000</v>
      </c>
      <c r="BQ10" s="33">
        <f>IF(BQ$8&gt;='1_PANEL_CONTROL'!$D$39, IF(BQ$8&lt;=12, 18000, IF(BQ$8&lt;=24, 36000, 48000))/'1_PANEL_CONTROL'!$C$32, 0)</f>
        <v>4000</v>
      </c>
      <c r="BR10" s="33">
        <f>IF(BR$8&gt;='1_PANEL_CONTROL'!$D$39, IF(BR$8&lt;=12, 18000, IF(BR$8&lt;=24, 36000, 48000))/'1_PANEL_CONTROL'!$C$32, 0)</f>
        <v>4000</v>
      </c>
      <c r="BS10" s="33">
        <f>IF(BS$8&gt;='1_PANEL_CONTROL'!$D$39, IF(BS$8&lt;=12, 18000, IF(BS$8&lt;=24, 36000, 48000))/'1_PANEL_CONTROL'!$C$32, 0)</f>
        <v>4000</v>
      </c>
      <c r="BT10" s="33">
        <f>IF(BT$8&gt;='1_PANEL_CONTROL'!$D$39, IF(BT$8&lt;=12, 18000, IF(BT$8&lt;=24, 36000, 48000))/'1_PANEL_CONTROL'!$C$32, 0)</f>
        <v>4000</v>
      </c>
      <c r="BU10" s="33">
        <f>IF(BU$8&gt;='1_PANEL_CONTROL'!$D$39, IF(BU$8&lt;=12, 18000, IF(BU$8&lt;=24, 36000, 48000))/'1_PANEL_CONTROL'!$C$32, 0)</f>
        <v>4000</v>
      </c>
      <c r="BV10" s="33">
        <f>IF(BV$8&gt;='1_PANEL_CONTROL'!$D$39, IF(BV$8&lt;=12, 18000, IF(BV$8&lt;=24, 36000, 48000))/'1_PANEL_CONTROL'!$C$32, 0)</f>
        <v>4000</v>
      </c>
      <c r="BW10" s="33">
        <f>IF(BW$8&gt;='1_PANEL_CONTROL'!$D$39, IF(BW$8&lt;=12, 18000, IF(BW$8&lt;=24, 36000, 48000))/'1_PANEL_CONTROL'!$C$32, 0)</f>
        <v>4000</v>
      </c>
      <c r="BX10" s="33">
        <f>IF(BX$8&gt;='1_PANEL_CONTROL'!$D$39, IF(BX$8&lt;=12, 18000, IF(BX$8&lt;=24, 36000, 48000))/'1_PANEL_CONTROL'!$C$32, 0)</f>
        <v>4000</v>
      </c>
      <c r="BY10" s="33">
        <f>IF(BY$8&gt;='1_PANEL_CONTROL'!$D$39, IF(BY$8&lt;=12, 18000, IF(BY$8&lt;=24, 36000, 48000))/'1_PANEL_CONTROL'!$C$32, 0)</f>
        <v>4000</v>
      </c>
      <c r="BZ10" s="33">
        <f>IF(BZ$8&gt;='1_PANEL_CONTROL'!$D$39, IF(BZ$8&lt;=12, 18000, IF(BZ$8&lt;=24, 36000, 48000))/'1_PANEL_CONTROL'!$C$32, 0)</f>
        <v>4000</v>
      </c>
      <c r="CA10" s="33">
        <f>IF(CA$8&gt;='1_PANEL_CONTROL'!$D$39, IF(CA$8&lt;=12, 18000, IF(CA$8&lt;=24, 36000, 48000))/'1_PANEL_CONTROL'!$C$32, 0)</f>
        <v>4000</v>
      </c>
      <c r="CB10" s="33">
        <f>IF(CB$8&gt;='1_PANEL_CONTROL'!$D$39, IF(CB$8&lt;=12, 18000, IF(CB$8&lt;=24, 36000, 48000))/'1_PANEL_CONTROL'!$C$32, 0)</f>
        <v>4000</v>
      </c>
      <c r="CC10" s="33">
        <f>IF(CC$8&gt;='1_PANEL_CONTROL'!$D$39, IF(CC$8&lt;=12, 18000, IF(CC$8&lt;=24, 36000, 48000))/'1_PANEL_CONTROL'!$C$32, 0)</f>
        <v>4000</v>
      </c>
      <c r="CD10" s="33">
        <f>IF(CD$8&gt;='1_PANEL_CONTROL'!$D$39, IF(CD$8&lt;=12, 18000, IF(CD$8&lt;=24, 36000, 48000))/'1_PANEL_CONTROL'!$C$32, 0)</f>
        <v>4000</v>
      </c>
      <c r="CE10" s="33">
        <f>IF(CE$8&gt;='1_PANEL_CONTROL'!$D$39, IF(CE$8&lt;=12, 18000, IF(CE$8&lt;=24, 36000, 48000))/'1_PANEL_CONTROL'!$C$32, 0)</f>
        <v>4000</v>
      </c>
      <c r="CF10" s="33">
        <f>IF(CF$8&gt;='1_PANEL_CONTROL'!$D$39, IF(CF$8&lt;=12, 18000, IF(CF$8&lt;=24, 36000, 48000))/'1_PANEL_CONTROL'!$C$32, 0)</f>
        <v>4000</v>
      </c>
      <c r="CG10" s="33">
        <f>IF(CG$8&gt;='1_PANEL_CONTROL'!$D$39, IF(CG$8&lt;=12, 18000, IF(CG$8&lt;=24, 36000, 48000))/'1_PANEL_CONTROL'!$C$32, 0)</f>
        <v>4000</v>
      </c>
      <c r="CH10" s="33">
        <f>IF(CH$8&gt;='1_PANEL_CONTROL'!$D$39, IF(CH$8&lt;=12, 18000, IF(CH$8&lt;=24, 36000, 48000))/'1_PANEL_CONTROL'!$C$32, 0)</f>
        <v>4000</v>
      </c>
      <c r="CI10" s="33">
        <f>IF(CI$8&gt;='1_PANEL_CONTROL'!$D$39, IF(CI$8&lt;=12, 18000, IF(CI$8&lt;=24, 36000, 48000))/'1_PANEL_CONTROL'!$C$32, 0)</f>
        <v>4000</v>
      </c>
    </row>
    <row r="11" spans="1:87" ht="16">
      <c r="A11" s="6" t="s">
        <v>583</v>
      </c>
      <c r="B11" s="30" t="s">
        <v>465</v>
      </c>
      <c r="C11" s="15"/>
      <c r="D11" s="33">
        <f>IF(D$8&gt;='1_PANEL_CONTROL'!$D$39, IF('1_PANEL_CONTROL'!$C$32=14, IF(OR(MOD(D$8,12)=6, MOD(D$8,12)=0), IF(D$8&lt;=12, 18000, IF(D$8&lt;=24, 36000, 48000))/14, 0), 0), 0)</f>
        <v>0</v>
      </c>
      <c r="E11" s="33">
        <f>IF(E$8&gt;='1_PANEL_CONTROL'!$D$39, IF('1_PANEL_CONTROL'!$C$32=14, IF(OR(MOD(E$8,12)=6, MOD(E$8,12)=0), IF(E$8&lt;=12, 18000, IF(E$8&lt;=24, 36000, 48000))/14, 0), 0), 0)</f>
        <v>0</v>
      </c>
      <c r="F11" s="33">
        <f>IF(F$8&gt;='1_PANEL_CONTROL'!$D$39, IF('1_PANEL_CONTROL'!$C$32=14, IF(OR(MOD(F$8,12)=6, MOD(F$8,12)=0), IF(F$8&lt;=12, 18000, IF(F$8&lt;=24, 36000, 48000))/14, 0), 0), 0)</f>
        <v>0</v>
      </c>
      <c r="G11" s="33">
        <f>IF(G$8&gt;='1_PANEL_CONTROL'!$D$39, IF('1_PANEL_CONTROL'!$C$32=14, IF(OR(MOD(G$8,12)=6, MOD(G$8,12)=0), IF(G$8&lt;=12, 18000, IF(G$8&lt;=24, 36000, 48000))/14, 0), 0), 0)</f>
        <v>0</v>
      </c>
      <c r="H11" s="33">
        <f>IF(H$8&gt;='1_PANEL_CONTROL'!$D$39, IF('1_PANEL_CONTROL'!$C$32=14, IF(OR(MOD(H$8,12)=6, MOD(H$8,12)=0), IF(H$8&lt;=12, 18000, IF(H$8&lt;=24, 36000, 48000))/14, 0), 0), 0)</f>
        <v>0</v>
      </c>
      <c r="I11" s="33">
        <f>IF(I$8&gt;='1_PANEL_CONTROL'!$D$39, IF('1_PANEL_CONTROL'!$C$32=14, IF(OR(MOD(I$8,12)=6, MOD(I$8,12)=0), IF(I$8&lt;=12, 18000, IF(I$8&lt;=24, 36000, 48000))/14, 0), 0), 0)</f>
        <v>0</v>
      </c>
      <c r="J11" s="33">
        <f>IF(J$8&gt;='1_PANEL_CONTROL'!$D$39, IF('1_PANEL_CONTROL'!$C$32=14, IF(OR(MOD(J$8,12)=6, MOD(J$8,12)=0), IF(J$8&lt;=12, 18000, IF(J$8&lt;=24, 36000, 48000))/14, 0), 0), 0)</f>
        <v>0</v>
      </c>
      <c r="K11" s="33">
        <f>IF(K$8&gt;='1_PANEL_CONTROL'!$D$39, IF('1_PANEL_CONTROL'!$C$32=14, IF(OR(MOD(K$8,12)=6, MOD(K$8,12)=0), IF(K$8&lt;=12, 18000, IF(K$8&lt;=24, 36000, 48000))/14, 0), 0), 0)</f>
        <v>0</v>
      </c>
      <c r="L11" s="33">
        <f>IF(L$8&gt;='1_PANEL_CONTROL'!$D$39, IF('1_PANEL_CONTROL'!$C$32=14, IF(OR(MOD(L$8,12)=6, MOD(L$8,12)=0), IF(L$8&lt;=12, 18000, IF(L$8&lt;=24, 36000, 48000))/14, 0), 0), 0)</f>
        <v>0</v>
      </c>
      <c r="M11" s="33">
        <f>IF(M$8&gt;='1_PANEL_CONTROL'!$D$39, IF('1_PANEL_CONTROL'!$C$32=14, IF(OR(MOD(M$8,12)=6, MOD(M$8,12)=0), IF(M$8&lt;=12, 18000, IF(M$8&lt;=24, 36000, 48000))/14, 0), 0), 0)</f>
        <v>0</v>
      </c>
      <c r="N11" s="33">
        <f>IF(N$8&gt;='1_PANEL_CONTROL'!$D$39, IF('1_PANEL_CONTROL'!$C$32=14, IF(OR(MOD(N$8,12)=6, MOD(N$8,12)=0), IF(N$8&lt;=12, 18000, IF(N$8&lt;=24, 36000, 48000))/14, 0), 0), 0)</f>
        <v>0</v>
      </c>
      <c r="O11" s="33">
        <f>IF(O$8&gt;='1_PANEL_CONTROL'!$D$39, IF('1_PANEL_CONTROL'!$C$32=14, IF(OR(MOD(O$8,12)=6, MOD(O$8,12)=0), IF(O$8&lt;=12, 18000, IF(O$8&lt;=24, 36000, 48000))/14, 0), 0), 0)</f>
        <v>0</v>
      </c>
      <c r="P11" s="33">
        <f>IF(P$8&gt;='1_PANEL_CONTROL'!$D$39, IF('1_PANEL_CONTROL'!$C$32=14, IF(OR(MOD(P$8,12)=6, MOD(P$8,12)=0), IF(P$8&lt;=12, 18000, IF(P$8&lt;=24, 36000, 48000))/14, 0), 0), 0)</f>
        <v>0</v>
      </c>
      <c r="Q11" s="33">
        <f>IF(Q$8&gt;='1_PANEL_CONTROL'!$D$39, IF('1_PANEL_CONTROL'!$C$32=14, IF(OR(MOD(Q$8,12)=6, MOD(Q$8,12)=0), IF(Q$8&lt;=12, 18000, IF(Q$8&lt;=24, 36000, 48000))/14, 0), 0), 0)</f>
        <v>0</v>
      </c>
      <c r="R11" s="33">
        <f>IF(R$8&gt;='1_PANEL_CONTROL'!$D$39, IF('1_PANEL_CONTROL'!$C$32=14, IF(OR(MOD(R$8,12)=6, MOD(R$8,12)=0), IF(R$8&lt;=12, 18000, IF(R$8&lt;=24, 36000, 48000))/14, 0), 0), 0)</f>
        <v>0</v>
      </c>
      <c r="S11" s="33">
        <f>IF(S$8&gt;='1_PANEL_CONTROL'!$D$39, IF('1_PANEL_CONTROL'!$C$32=14, IF(OR(MOD(S$8,12)=6, MOD(S$8,12)=0), IF(S$8&lt;=12, 18000, IF(S$8&lt;=24, 36000, 48000))/14, 0), 0), 0)</f>
        <v>0</v>
      </c>
      <c r="T11" s="33">
        <f>IF(T$8&gt;='1_PANEL_CONTROL'!$D$39, IF('1_PANEL_CONTROL'!$C$32=14, IF(OR(MOD(T$8,12)=6, MOD(T$8,12)=0), IF(T$8&lt;=12, 18000, IF(T$8&lt;=24, 36000, 48000))/14, 0), 0), 0)</f>
        <v>0</v>
      </c>
      <c r="U11" s="33">
        <f>IF(U$8&gt;='1_PANEL_CONTROL'!$D$39, IF('1_PANEL_CONTROL'!$C$32=14, IF(OR(MOD(U$8,12)=6, MOD(U$8,12)=0), IF(U$8&lt;=12, 18000, IF(U$8&lt;=24, 36000, 48000))/14, 0), 0), 0)</f>
        <v>0</v>
      </c>
      <c r="V11" s="33">
        <f>IF(V$8&gt;='1_PANEL_CONTROL'!$D$39, IF('1_PANEL_CONTROL'!$C$32=14, IF(OR(MOD(V$8,12)=6, MOD(V$8,12)=0), IF(V$8&lt;=12, 18000, IF(V$8&lt;=24, 36000, 48000))/14, 0), 0), 0)</f>
        <v>0</v>
      </c>
      <c r="W11" s="33">
        <f>IF(W$8&gt;='1_PANEL_CONTROL'!$D$39, IF('1_PANEL_CONTROL'!$C$32=14, IF(OR(MOD(W$8,12)=6, MOD(W$8,12)=0), IF(W$8&lt;=12, 18000, IF(W$8&lt;=24, 36000, 48000))/14, 0), 0), 0)</f>
        <v>0</v>
      </c>
      <c r="X11" s="33">
        <f>IF(X$8&gt;='1_PANEL_CONTROL'!$D$39, IF('1_PANEL_CONTROL'!$C$32=14, IF(OR(MOD(X$8,12)=6, MOD(X$8,12)=0), IF(X$8&lt;=12, 18000, IF(X$8&lt;=24, 36000, 48000))/14, 0), 0), 0)</f>
        <v>0</v>
      </c>
      <c r="Y11" s="33">
        <f>IF(Y$8&gt;='1_PANEL_CONTROL'!$D$39, IF('1_PANEL_CONTROL'!$C$32=14, IF(OR(MOD(Y$8,12)=6, MOD(Y$8,12)=0), IF(Y$8&lt;=12, 18000, IF(Y$8&lt;=24, 36000, 48000))/14, 0), 0), 0)</f>
        <v>0</v>
      </c>
      <c r="Z11" s="33">
        <f>IF(Z$8&gt;='1_PANEL_CONTROL'!$D$39, IF('1_PANEL_CONTROL'!$C$32=14, IF(OR(MOD(Z$8,12)=6, MOD(Z$8,12)=0), IF(Z$8&lt;=12, 18000, IF(Z$8&lt;=24, 36000, 48000))/14, 0), 0), 0)</f>
        <v>0</v>
      </c>
      <c r="AA11" s="33">
        <f>IF(AA$8&gt;='1_PANEL_CONTROL'!$D$39, IF('1_PANEL_CONTROL'!$C$32=14, IF(OR(MOD(AA$8,12)=6, MOD(AA$8,12)=0), IF(AA$8&lt;=12, 18000, IF(AA$8&lt;=24, 36000, 48000))/14, 0), 0), 0)</f>
        <v>0</v>
      </c>
      <c r="AB11" s="33">
        <f>IF(AB$8&gt;='1_PANEL_CONTROL'!$D$39, IF('1_PANEL_CONTROL'!$C$32=14, IF(OR(MOD(AB$8,12)=6, MOD(AB$8,12)=0), IF(AB$8&lt;=12, 18000, IF(AB$8&lt;=24, 36000, 48000))/14, 0), 0), 0)</f>
        <v>0</v>
      </c>
      <c r="AC11" s="33">
        <f>IF(AC$8&gt;='1_PANEL_CONTROL'!$D$39, IF('1_PANEL_CONTROL'!$C$32=14, IF(OR(MOD(AC$8,12)=6, MOD(AC$8,12)=0), IF(AC$8&lt;=12, 18000, IF(AC$8&lt;=24, 36000, 48000))/14, 0), 0), 0)</f>
        <v>0</v>
      </c>
      <c r="AD11" s="33">
        <f>IF(AD$8&gt;='1_PANEL_CONTROL'!$D$39, IF('1_PANEL_CONTROL'!$C$32=14, IF(OR(MOD(AD$8,12)=6, MOD(AD$8,12)=0), IF(AD$8&lt;=12, 18000, IF(AD$8&lt;=24, 36000, 48000))/14, 0), 0), 0)</f>
        <v>0</v>
      </c>
      <c r="AE11" s="33">
        <f>IF(AE$8&gt;='1_PANEL_CONTROL'!$D$39, IF('1_PANEL_CONTROL'!$C$32=14, IF(OR(MOD(AE$8,12)=6, MOD(AE$8,12)=0), IF(AE$8&lt;=12, 18000, IF(AE$8&lt;=24, 36000, 48000))/14, 0), 0), 0)</f>
        <v>0</v>
      </c>
      <c r="AF11" s="33">
        <f>IF(AF$8&gt;='1_PANEL_CONTROL'!$D$39, IF('1_PANEL_CONTROL'!$C$32=14, IF(OR(MOD(AF$8,12)=6, MOD(AF$8,12)=0), IF(AF$8&lt;=12, 18000, IF(AF$8&lt;=24, 36000, 48000))/14, 0), 0), 0)</f>
        <v>0</v>
      </c>
      <c r="AG11" s="33">
        <f>IF(AG$8&gt;='1_PANEL_CONTROL'!$D$39, IF('1_PANEL_CONTROL'!$C$32=14, IF(OR(MOD(AG$8,12)=6, MOD(AG$8,12)=0), IF(AG$8&lt;=12, 18000, IF(AG$8&lt;=24, 36000, 48000))/14, 0), 0), 0)</f>
        <v>0</v>
      </c>
      <c r="AH11" s="33">
        <f>IF(AH$8&gt;='1_PANEL_CONTROL'!$D$39, IF('1_PANEL_CONTROL'!$C$32=14, IF(OR(MOD(AH$8,12)=6, MOD(AH$8,12)=0), IF(AH$8&lt;=12, 18000, IF(AH$8&lt;=24, 36000, 48000))/14, 0), 0), 0)</f>
        <v>0</v>
      </c>
      <c r="AI11" s="33">
        <f>IF(AI$8&gt;='1_PANEL_CONTROL'!$D$39, IF('1_PANEL_CONTROL'!$C$32=14, IF(OR(MOD(AI$8,12)=6, MOD(AI$8,12)=0), IF(AI$8&lt;=12, 18000, IF(AI$8&lt;=24, 36000, 48000))/14, 0), 0), 0)</f>
        <v>0</v>
      </c>
      <c r="AJ11" s="33">
        <f>IF(AJ$8&gt;='1_PANEL_CONTROL'!$D$39, IF('1_PANEL_CONTROL'!$C$32=14, IF(OR(MOD(AJ$8,12)=6, MOD(AJ$8,12)=0), IF(AJ$8&lt;=12, 18000, IF(AJ$8&lt;=24, 36000, 48000))/14, 0), 0), 0)</f>
        <v>0</v>
      </c>
      <c r="AK11" s="33">
        <f>IF(AK$8&gt;='1_PANEL_CONTROL'!$D$39, IF('1_PANEL_CONTROL'!$C$32=14, IF(OR(MOD(AK$8,12)=6, MOD(AK$8,12)=0), IF(AK$8&lt;=12, 18000, IF(AK$8&lt;=24, 36000, 48000))/14, 0), 0), 0)</f>
        <v>0</v>
      </c>
      <c r="AL11" s="33">
        <f>IF(AL$8&gt;='1_PANEL_CONTROL'!$D$39, IF('1_PANEL_CONTROL'!$C$32=14, IF(OR(MOD(AL$8,12)=6, MOD(AL$8,12)=0), IF(AL$8&lt;=12, 18000, IF(AL$8&lt;=24, 36000, 48000))/14, 0), 0), 0)</f>
        <v>0</v>
      </c>
      <c r="AM11" s="33">
        <f>IF(AM$8&gt;='1_PANEL_CONTROL'!$D$39, IF('1_PANEL_CONTROL'!$C$32=14, IF(OR(MOD(AM$8,12)=6, MOD(AM$8,12)=0), IF(AM$8&lt;=12, 18000, IF(AM$8&lt;=24, 36000, 48000))/14, 0), 0), 0)</f>
        <v>0</v>
      </c>
      <c r="AN11" s="33">
        <f>IF(AN$8&gt;='1_PANEL_CONTROL'!$D$39, IF('1_PANEL_CONTROL'!$C$32=14, IF(OR(MOD(AN$8,12)=6, MOD(AN$8,12)=0), IF(AN$8&lt;=12, 18000, IF(AN$8&lt;=24, 36000, 48000))/14, 0), 0), 0)</f>
        <v>0</v>
      </c>
      <c r="AO11" s="33">
        <f>IF(AO$8&gt;='1_PANEL_CONTROL'!$D$39, IF('1_PANEL_CONTROL'!$C$32=14, IF(OR(MOD(AO$8,12)=6, MOD(AO$8,12)=0), IF(AO$8&lt;=12, 18000, IF(AO$8&lt;=24, 36000, 48000))/14, 0), 0), 0)</f>
        <v>0</v>
      </c>
      <c r="AP11" s="33">
        <f>IF(AP$8&gt;='1_PANEL_CONTROL'!$D$39, IF('1_PANEL_CONTROL'!$C$32=14, IF(OR(MOD(AP$8,12)=6, MOD(AP$8,12)=0), IF(AP$8&lt;=12, 18000, IF(AP$8&lt;=24, 36000, 48000))/14, 0), 0), 0)</f>
        <v>0</v>
      </c>
      <c r="AQ11" s="33">
        <f>IF(AQ$8&gt;='1_PANEL_CONTROL'!$D$39, IF('1_PANEL_CONTROL'!$C$32=14, IF(OR(MOD(AQ$8,12)=6, MOD(AQ$8,12)=0), IF(AQ$8&lt;=12, 18000, IF(AQ$8&lt;=24, 36000, 48000))/14, 0), 0), 0)</f>
        <v>0</v>
      </c>
      <c r="AR11" s="33">
        <f>IF(AR$8&gt;='1_PANEL_CONTROL'!$D$39, IF('1_PANEL_CONTROL'!$C$32=14, IF(OR(MOD(AR$8,12)=6, MOD(AR$8,12)=0), IF(AR$8&lt;=12, 18000, IF(AR$8&lt;=24, 36000, 48000))/14, 0), 0), 0)</f>
        <v>0</v>
      </c>
      <c r="AS11" s="33">
        <f>IF(AS$8&gt;='1_PANEL_CONTROL'!$D$39, IF('1_PANEL_CONTROL'!$C$32=14, IF(OR(MOD(AS$8,12)=6, MOD(AS$8,12)=0), IF(AS$8&lt;=12, 18000, IF(AS$8&lt;=24, 36000, 48000))/14, 0), 0), 0)</f>
        <v>0</v>
      </c>
      <c r="AT11" s="33">
        <f>IF(AT$8&gt;='1_PANEL_CONTROL'!$D$39, IF('1_PANEL_CONTROL'!$C$32=14, IF(OR(MOD(AT$8,12)=6, MOD(AT$8,12)=0), IF(AT$8&lt;=12, 18000, IF(AT$8&lt;=24, 36000, 48000))/14, 0), 0), 0)</f>
        <v>0</v>
      </c>
      <c r="AU11" s="33">
        <f>IF(AU$8&gt;='1_PANEL_CONTROL'!$D$39, IF('1_PANEL_CONTROL'!$C$32=14, IF(OR(MOD(AU$8,12)=6, MOD(AU$8,12)=0), IF(AU$8&lt;=12, 18000, IF(AU$8&lt;=24, 36000, 48000))/14, 0), 0), 0)</f>
        <v>0</v>
      </c>
      <c r="AV11" s="33">
        <f>IF(AV$8&gt;='1_PANEL_CONTROL'!$D$39, IF('1_PANEL_CONTROL'!$C$32=14, IF(OR(MOD(AV$8,12)=6, MOD(AV$8,12)=0), IF(AV$8&lt;=12, 18000, IF(AV$8&lt;=24, 36000, 48000))/14, 0), 0), 0)</f>
        <v>0</v>
      </c>
      <c r="AW11" s="33">
        <f>IF(AW$8&gt;='1_PANEL_CONTROL'!$D$39, IF('1_PANEL_CONTROL'!$C$32=14, IF(OR(MOD(AW$8,12)=6, MOD(AW$8,12)=0), IF(AW$8&lt;=12, 18000, IF(AW$8&lt;=24, 36000, 48000))/14, 0), 0), 0)</f>
        <v>0</v>
      </c>
      <c r="AX11" s="33">
        <f>IF(AX$8&gt;='1_PANEL_CONTROL'!$D$39, IF('1_PANEL_CONTROL'!$C$32=14, IF(OR(MOD(AX$8,12)=6, MOD(AX$8,12)=0), IF(AX$8&lt;=12, 18000, IF(AX$8&lt;=24, 36000, 48000))/14, 0), 0), 0)</f>
        <v>0</v>
      </c>
      <c r="AY11" s="33">
        <f>IF(AY$8&gt;='1_PANEL_CONTROL'!$D$39, IF('1_PANEL_CONTROL'!$C$32=14, IF(OR(MOD(AY$8,12)=6, MOD(AY$8,12)=0), IF(AY$8&lt;=12, 18000, IF(AY$8&lt;=24, 36000, 48000))/14, 0), 0), 0)</f>
        <v>0</v>
      </c>
      <c r="AZ11" s="33">
        <f>IF(AZ$8&gt;='1_PANEL_CONTROL'!$D$39, IF('1_PANEL_CONTROL'!$C$32=14, IF(OR(MOD(AZ$8,12)=6, MOD(AZ$8,12)=0), IF(AZ$8&lt;=12, 18000, IF(AZ$8&lt;=24, 36000, 48000))/14, 0), 0), 0)</f>
        <v>0</v>
      </c>
      <c r="BA11" s="33">
        <f>IF(BA$8&gt;='1_PANEL_CONTROL'!$D$39, IF('1_PANEL_CONTROL'!$C$32=14, IF(OR(MOD(BA$8,12)=6, MOD(BA$8,12)=0), IF(BA$8&lt;=12, 18000, IF(BA$8&lt;=24, 36000, 48000))/14, 0), 0), 0)</f>
        <v>0</v>
      </c>
      <c r="BB11" s="33">
        <f>IF(BB$8&gt;='1_PANEL_CONTROL'!$D$39, IF('1_PANEL_CONTROL'!$C$32=14, IF(OR(MOD(BB$8,12)=6, MOD(BB$8,12)=0), IF(BB$8&lt;=12, 18000, IF(BB$8&lt;=24, 36000, 48000))/14, 0), 0), 0)</f>
        <v>0</v>
      </c>
      <c r="BC11" s="33">
        <f>IF(BC$8&gt;='1_PANEL_CONTROL'!$D$39, IF('1_PANEL_CONTROL'!$C$32=14, IF(OR(MOD(BC$8,12)=6, MOD(BC$8,12)=0), IF(BC$8&lt;=12, 18000, IF(BC$8&lt;=24, 36000, 48000))/14, 0), 0), 0)</f>
        <v>0</v>
      </c>
      <c r="BD11" s="33">
        <f>IF(BD$8&gt;='1_PANEL_CONTROL'!$D$39, IF('1_PANEL_CONTROL'!$C$32=14, IF(OR(MOD(BD$8,12)=6, MOD(BD$8,12)=0), IF(BD$8&lt;=12, 18000, IF(BD$8&lt;=24, 36000, 48000))/14, 0), 0), 0)</f>
        <v>0</v>
      </c>
      <c r="BE11" s="33">
        <f>IF(BE$8&gt;='1_PANEL_CONTROL'!$D$39, IF('1_PANEL_CONTROL'!$C$32=14, IF(OR(MOD(BE$8,12)=6, MOD(BE$8,12)=0), IF(BE$8&lt;=12, 18000, IF(BE$8&lt;=24, 36000, 48000))/14, 0), 0), 0)</f>
        <v>0</v>
      </c>
      <c r="BF11" s="33">
        <f>IF(BF$8&gt;='1_PANEL_CONTROL'!$D$39, IF('1_PANEL_CONTROL'!$C$32=14, IF(OR(MOD(BF$8,12)=6, MOD(BF$8,12)=0), IF(BF$8&lt;=12, 18000, IF(BF$8&lt;=24, 36000, 48000))/14, 0), 0), 0)</f>
        <v>0</v>
      </c>
      <c r="BG11" s="33">
        <f>IF(BG$8&gt;='1_PANEL_CONTROL'!$D$39, IF('1_PANEL_CONTROL'!$C$32=14, IF(OR(MOD(BG$8,12)=6, MOD(BG$8,12)=0), IF(BG$8&lt;=12, 18000, IF(BG$8&lt;=24, 36000, 48000))/14, 0), 0), 0)</f>
        <v>0</v>
      </c>
      <c r="BH11" s="33">
        <f>IF(BH$8&gt;='1_PANEL_CONTROL'!$D$39, IF('1_PANEL_CONTROL'!$C$32=14, IF(OR(MOD(BH$8,12)=6, MOD(BH$8,12)=0), IF(BH$8&lt;=12, 18000, IF(BH$8&lt;=24, 36000, 48000))/14, 0), 0), 0)</f>
        <v>0</v>
      </c>
      <c r="BI11" s="33">
        <f>IF(BI$8&gt;='1_PANEL_CONTROL'!$D$39, IF('1_PANEL_CONTROL'!$C$32=14, IF(OR(MOD(BI$8,12)=6, MOD(BI$8,12)=0), IF(BI$8&lt;=12, 18000, IF(BI$8&lt;=24, 36000, 48000))/14, 0), 0), 0)</f>
        <v>0</v>
      </c>
      <c r="BJ11" s="33">
        <f>IF(BJ$8&gt;='1_PANEL_CONTROL'!$D$39, IF('1_PANEL_CONTROL'!$C$32=14, IF(OR(MOD(BJ$8,12)=6, MOD(BJ$8,12)=0), IF(BJ$8&lt;=12, 18000, IF(BJ$8&lt;=24, 36000, 48000))/14, 0), 0), 0)</f>
        <v>0</v>
      </c>
      <c r="BK11" s="33">
        <f>IF(BK$8&gt;='1_PANEL_CONTROL'!$D$39, IF('1_PANEL_CONTROL'!$C$32=14, IF(OR(MOD(BK$8,12)=6, MOD(BK$8,12)=0), IF(BK$8&lt;=12, 18000, IF(BK$8&lt;=24, 36000, 48000))/14, 0), 0), 0)</f>
        <v>0</v>
      </c>
      <c r="BL11" s="33">
        <f>IF(BL$8&gt;='1_PANEL_CONTROL'!$D$39, IF('1_PANEL_CONTROL'!$C$32=14, IF(OR(MOD(BL$8,12)=6, MOD(BL$8,12)=0), IF(BL$8&lt;=12, 18000, IF(BL$8&lt;=24, 36000, 48000))/14, 0), 0), 0)</f>
        <v>0</v>
      </c>
      <c r="BM11" s="33">
        <f>IF(BM$8&gt;='1_PANEL_CONTROL'!$D$39, IF('1_PANEL_CONTROL'!$C$32=14, IF(OR(MOD(BM$8,12)=6, MOD(BM$8,12)=0), IF(BM$8&lt;=12, 18000, IF(BM$8&lt;=24, 36000, 48000))/14, 0), 0), 0)</f>
        <v>0</v>
      </c>
      <c r="BN11" s="33">
        <f>IF(BN$8&gt;='1_PANEL_CONTROL'!$D$39, IF('1_PANEL_CONTROL'!$C$32=14, IF(OR(MOD(BN$8,12)=6, MOD(BN$8,12)=0), IF(BN$8&lt;=12, 18000, IF(BN$8&lt;=24, 36000, 48000))/14, 0), 0), 0)</f>
        <v>0</v>
      </c>
      <c r="BO11" s="33">
        <f>IF(BO$8&gt;='1_PANEL_CONTROL'!$D$39, IF('1_PANEL_CONTROL'!$C$32=14, IF(OR(MOD(BO$8,12)=6, MOD(BO$8,12)=0), IF(BO$8&lt;=12, 18000, IF(BO$8&lt;=24, 36000, 48000))/14, 0), 0), 0)</f>
        <v>0</v>
      </c>
      <c r="BP11" s="33">
        <f>IF(BP$8&gt;='1_PANEL_CONTROL'!$D$39, IF('1_PANEL_CONTROL'!$C$32=14, IF(OR(MOD(BP$8,12)=6, MOD(BP$8,12)=0), IF(BP$8&lt;=12, 18000, IF(BP$8&lt;=24, 36000, 48000))/14, 0), 0), 0)</f>
        <v>0</v>
      </c>
      <c r="BQ11" s="33">
        <f>IF(BQ$8&gt;='1_PANEL_CONTROL'!$D$39, IF('1_PANEL_CONTROL'!$C$32=14, IF(OR(MOD(BQ$8,12)=6, MOD(BQ$8,12)=0), IF(BQ$8&lt;=12, 18000, IF(BQ$8&lt;=24, 36000, 48000))/14, 0), 0), 0)</f>
        <v>0</v>
      </c>
      <c r="BR11" s="33">
        <f>IF(BR$8&gt;='1_PANEL_CONTROL'!$D$39, IF('1_PANEL_CONTROL'!$C$32=14, IF(OR(MOD(BR$8,12)=6, MOD(BR$8,12)=0), IF(BR$8&lt;=12, 18000, IF(BR$8&lt;=24, 36000, 48000))/14, 0), 0), 0)</f>
        <v>0</v>
      </c>
      <c r="BS11" s="33">
        <f>IF(BS$8&gt;='1_PANEL_CONTROL'!$D$39, IF('1_PANEL_CONTROL'!$C$32=14, IF(OR(MOD(BS$8,12)=6, MOD(BS$8,12)=0), IF(BS$8&lt;=12, 18000, IF(BS$8&lt;=24, 36000, 48000))/14, 0), 0), 0)</f>
        <v>0</v>
      </c>
      <c r="BT11" s="33">
        <f>IF(BT$8&gt;='1_PANEL_CONTROL'!$D$39, IF('1_PANEL_CONTROL'!$C$32=14, IF(OR(MOD(BT$8,12)=6, MOD(BT$8,12)=0), IF(BT$8&lt;=12, 18000, IF(BT$8&lt;=24, 36000, 48000))/14, 0), 0), 0)</f>
        <v>0</v>
      </c>
      <c r="BU11" s="33">
        <f>IF(BU$8&gt;='1_PANEL_CONTROL'!$D$39, IF('1_PANEL_CONTROL'!$C$32=14, IF(OR(MOD(BU$8,12)=6, MOD(BU$8,12)=0), IF(BU$8&lt;=12, 18000, IF(BU$8&lt;=24, 36000, 48000))/14, 0), 0), 0)</f>
        <v>0</v>
      </c>
      <c r="BV11" s="33">
        <f>IF(BV$8&gt;='1_PANEL_CONTROL'!$D$39, IF('1_PANEL_CONTROL'!$C$32=14, IF(OR(MOD(BV$8,12)=6, MOD(BV$8,12)=0), IF(BV$8&lt;=12, 18000, IF(BV$8&lt;=24, 36000, 48000))/14, 0), 0), 0)</f>
        <v>0</v>
      </c>
      <c r="BW11" s="33">
        <f>IF(BW$8&gt;='1_PANEL_CONTROL'!$D$39, IF('1_PANEL_CONTROL'!$C$32=14, IF(OR(MOD(BW$8,12)=6, MOD(BW$8,12)=0), IF(BW$8&lt;=12, 18000, IF(BW$8&lt;=24, 36000, 48000))/14, 0), 0), 0)</f>
        <v>0</v>
      </c>
      <c r="BX11" s="33">
        <f>IF(BX$8&gt;='1_PANEL_CONTROL'!$D$39, IF('1_PANEL_CONTROL'!$C$32=14, IF(OR(MOD(BX$8,12)=6, MOD(BX$8,12)=0), IF(BX$8&lt;=12, 18000, IF(BX$8&lt;=24, 36000, 48000))/14, 0), 0), 0)</f>
        <v>0</v>
      </c>
      <c r="BY11" s="33">
        <f>IF(BY$8&gt;='1_PANEL_CONTROL'!$D$39, IF('1_PANEL_CONTROL'!$C$32=14, IF(OR(MOD(BY$8,12)=6, MOD(BY$8,12)=0), IF(BY$8&lt;=12, 18000, IF(BY$8&lt;=24, 36000, 48000))/14, 0), 0), 0)</f>
        <v>0</v>
      </c>
      <c r="BZ11" s="33">
        <f>IF(BZ$8&gt;='1_PANEL_CONTROL'!$D$39, IF('1_PANEL_CONTROL'!$C$32=14, IF(OR(MOD(BZ$8,12)=6, MOD(BZ$8,12)=0), IF(BZ$8&lt;=12, 18000, IF(BZ$8&lt;=24, 36000, 48000))/14, 0), 0), 0)</f>
        <v>0</v>
      </c>
      <c r="CA11" s="33">
        <f>IF(CA$8&gt;='1_PANEL_CONTROL'!$D$39, IF('1_PANEL_CONTROL'!$C$32=14, IF(OR(MOD(CA$8,12)=6, MOD(CA$8,12)=0), IF(CA$8&lt;=12, 18000, IF(CA$8&lt;=24, 36000, 48000))/14, 0), 0), 0)</f>
        <v>0</v>
      </c>
      <c r="CB11" s="33">
        <f>IF(CB$8&gt;='1_PANEL_CONTROL'!$D$39, IF('1_PANEL_CONTROL'!$C$32=14, IF(OR(MOD(CB$8,12)=6, MOD(CB$8,12)=0), IF(CB$8&lt;=12, 18000, IF(CB$8&lt;=24, 36000, 48000))/14, 0), 0), 0)</f>
        <v>0</v>
      </c>
      <c r="CC11" s="33">
        <f>IF(CC$8&gt;='1_PANEL_CONTROL'!$D$39, IF('1_PANEL_CONTROL'!$C$32=14, IF(OR(MOD(CC$8,12)=6, MOD(CC$8,12)=0), IF(CC$8&lt;=12, 18000, IF(CC$8&lt;=24, 36000, 48000))/14, 0), 0), 0)</f>
        <v>0</v>
      </c>
      <c r="CD11" s="33">
        <f>IF(CD$8&gt;='1_PANEL_CONTROL'!$D$39, IF('1_PANEL_CONTROL'!$C$32=14, IF(OR(MOD(CD$8,12)=6, MOD(CD$8,12)=0), IF(CD$8&lt;=12, 18000, IF(CD$8&lt;=24, 36000, 48000))/14, 0), 0), 0)</f>
        <v>0</v>
      </c>
      <c r="CE11" s="33">
        <f>IF(CE$8&gt;='1_PANEL_CONTROL'!$D$39, IF('1_PANEL_CONTROL'!$C$32=14, IF(OR(MOD(CE$8,12)=6, MOD(CE$8,12)=0), IF(CE$8&lt;=12, 18000, IF(CE$8&lt;=24, 36000, 48000))/14, 0), 0), 0)</f>
        <v>0</v>
      </c>
      <c r="CF11" s="33">
        <f>IF(CF$8&gt;='1_PANEL_CONTROL'!$D$39, IF('1_PANEL_CONTROL'!$C$32=14, IF(OR(MOD(CF$8,12)=6, MOD(CF$8,12)=0), IF(CF$8&lt;=12, 18000, IF(CF$8&lt;=24, 36000, 48000))/14, 0), 0), 0)</f>
        <v>0</v>
      </c>
      <c r="CG11" s="33">
        <f>IF(CG$8&gt;='1_PANEL_CONTROL'!$D$39, IF('1_PANEL_CONTROL'!$C$32=14, IF(OR(MOD(CG$8,12)=6, MOD(CG$8,12)=0), IF(CG$8&lt;=12, 18000, IF(CG$8&lt;=24, 36000, 48000))/14, 0), 0), 0)</f>
        <v>0</v>
      </c>
      <c r="CH11" s="33">
        <f>IF(CH$8&gt;='1_PANEL_CONTROL'!$D$39, IF('1_PANEL_CONTROL'!$C$32=14, IF(OR(MOD(CH$8,12)=6, MOD(CH$8,12)=0), IF(CH$8&lt;=12, 18000, IF(CH$8&lt;=24, 36000, 48000))/14, 0), 0), 0)</f>
        <v>0</v>
      </c>
      <c r="CI11" s="33">
        <f>IF(CI$8&gt;='1_PANEL_CONTROL'!$D$39, IF('1_PANEL_CONTROL'!$C$32=14, IF(OR(MOD(CI$8,12)=6, MOD(CI$8,12)=0), IF(CI$8&lt;=12, 18000, IF(CI$8&lt;=24, 36000, 48000))/14, 0), 0), 0)</f>
        <v>0</v>
      </c>
    </row>
    <row r="12" spans="1:87" ht="16">
      <c r="A12" s="6" t="s">
        <v>584</v>
      </c>
      <c r="B12" s="30" t="s">
        <v>465</v>
      </c>
      <c r="C12" s="15"/>
      <c r="D12" s="33">
        <f t="shared" ref="D12:AI12" si="0">D10+D11</f>
        <v>1500</v>
      </c>
      <c r="E12" s="33">
        <f t="shared" si="0"/>
        <v>1500</v>
      </c>
      <c r="F12" s="33">
        <f t="shared" si="0"/>
        <v>1500</v>
      </c>
      <c r="G12" s="33">
        <f t="shared" si="0"/>
        <v>1500</v>
      </c>
      <c r="H12" s="33">
        <f t="shared" si="0"/>
        <v>1500</v>
      </c>
      <c r="I12" s="33">
        <f t="shared" si="0"/>
        <v>1500</v>
      </c>
      <c r="J12" s="33">
        <f t="shared" si="0"/>
        <v>1500</v>
      </c>
      <c r="K12" s="33">
        <f t="shared" si="0"/>
        <v>1500</v>
      </c>
      <c r="L12" s="33">
        <f t="shared" si="0"/>
        <v>1500</v>
      </c>
      <c r="M12" s="33">
        <f t="shared" si="0"/>
        <v>1500</v>
      </c>
      <c r="N12" s="33">
        <f t="shared" si="0"/>
        <v>1500</v>
      </c>
      <c r="O12" s="33">
        <f t="shared" si="0"/>
        <v>1500</v>
      </c>
      <c r="P12" s="33">
        <f t="shared" si="0"/>
        <v>3000</v>
      </c>
      <c r="Q12" s="33">
        <f t="shared" si="0"/>
        <v>3000</v>
      </c>
      <c r="R12" s="33">
        <f t="shared" si="0"/>
        <v>3000</v>
      </c>
      <c r="S12" s="33">
        <f t="shared" si="0"/>
        <v>3000</v>
      </c>
      <c r="T12" s="33">
        <f t="shared" si="0"/>
        <v>3000</v>
      </c>
      <c r="U12" s="33">
        <f t="shared" si="0"/>
        <v>3000</v>
      </c>
      <c r="V12" s="33">
        <f t="shared" si="0"/>
        <v>3000</v>
      </c>
      <c r="W12" s="33">
        <f t="shared" si="0"/>
        <v>3000</v>
      </c>
      <c r="X12" s="33">
        <f t="shared" si="0"/>
        <v>3000</v>
      </c>
      <c r="Y12" s="33">
        <f t="shared" si="0"/>
        <v>3000</v>
      </c>
      <c r="Z12" s="33">
        <f t="shared" si="0"/>
        <v>3000</v>
      </c>
      <c r="AA12" s="33">
        <f t="shared" si="0"/>
        <v>3000</v>
      </c>
      <c r="AB12" s="33">
        <f t="shared" si="0"/>
        <v>4000</v>
      </c>
      <c r="AC12" s="33">
        <f t="shared" si="0"/>
        <v>4000</v>
      </c>
      <c r="AD12" s="33">
        <f t="shared" si="0"/>
        <v>4000</v>
      </c>
      <c r="AE12" s="33">
        <f t="shared" si="0"/>
        <v>4000</v>
      </c>
      <c r="AF12" s="33">
        <f t="shared" si="0"/>
        <v>4000</v>
      </c>
      <c r="AG12" s="33">
        <f t="shared" si="0"/>
        <v>4000</v>
      </c>
      <c r="AH12" s="33">
        <f t="shared" si="0"/>
        <v>4000</v>
      </c>
      <c r="AI12" s="33">
        <f t="shared" si="0"/>
        <v>4000</v>
      </c>
      <c r="AJ12" s="33">
        <f t="shared" ref="AJ12:BO12" si="1">AJ10+AJ11</f>
        <v>4000</v>
      </c>
      <c r="AK12" s="33">
        <f t="shared" si="1"/>
        <v>4000</v>
      </c>
      <c r="AL12" s="33">
        <f t="shared" si="1"/>
        <v>4000</v>
      </c>
      <c r="AM12" s="33">
        <f t="shared" si="1"/>
        <v>4000</v>
      </c>
      <c r="AN12" s="33">
        <f t="shared" si="1"/>
        <v>4000</v>
      </c>
      <c r="AO12" s="33">
        <f t="shared" si="1"/>
        <v>4000</v>
      </c>
      <c r="AP12" s="33">
        <f t="shared" si="1"/>
        <v>4000</v>
      </c>
      <c r="AQ12" s="33">
        <f t="shared" si="1"/>
        <v>4000</v>
      </c>
      <c r="AR12" s="33">
        <f t="shared" si="1"/>
        <v>4000</v>
      </c>
      <c r="AS12" s="33">
        <f t="shared" si="1"/>
        <v>4000</v>
      </c>
      <c r="AT12" s="33">
        <f t="shared" si="1"/>
        <v>4000</v>
      </c>
      <c r="AU12" s="33">
        <f t="shared" si="1"/>
        <v>4000</v>
      </c>
      <c r="AV12" s="33">
        <f t="shared" si="1"/>
        <v>4000</v>
      </c>
      <c r="AW12" s="33">
        <f t="shared" si="1"/>
        <v>4000</v>
      </c>
      <c r="AX12" s="33">
        <f t="shared" si="1"/>
        <v>4000</v>
      </c>
      <c r="AY12" s="33">
        <f t="shared" si="1"/>
        <v>4000</v>
      </c>
      <c r="AZ12" s="33">
        <f t="shared" si="1"/>
        <v>4000</v>
      </c>
      <c r="BA12" s="33">
        <f t="shared" si="1"/>
        <v>4000</v>
      </c>
      <c r="BB12" s="33">
        <f t="shared" si="1"/>
        <v>4000</v>
      </c>
      <c r="BC12" s="33">
        <f t="shared" si="1"/>
        <v>4000</v>
      </c>
      <c r="BD12" s="33">
        <f t="shared" si="1"/>
        <v>4000</v>
      </c>
      <c r="BE12" s="33">
        <f t="shared" si="1"/>
        <v>4000</v>
      </c>
      <c r="BF12" s="33">
        <f t="shared" si="1"/>
        <v>4000</v>
      </c>
      <c r="BG12" s="33">
        <f t="shared" si="1"/>
        <v>4000</v>
      </c>
      <c r="BH12" s="33">
        <f t="shared" si="1"/>
        <v>4000</v>
      </c>
      <c r="BI12" s="33">
        <f t="shared" si="1"/>
        <v>4000</v>
      </c>
      <c r="BJ12" s="33">
        <f t="shared" si="1"/>
        <v>4000</v>
      </c>
      <c r="BK12" s="33">
        <f t="shared" si="1"/>
        <v>4000</v>
      </c>
      <c r="BL12" s="33">
        <f t="shared" si="1"/>
        <v>4000</v>
      </c>
      <c r="BM12" s="33">
        <f t="shared" si="1"/>
        <v>4000</v>
      </c>
      <c r="BN12" s="33">
        <f t="shared" si="1"/>
        <v>4000</v>
      </c>
      <c r="BO12" s="33">
        <f t="shared" si="1"/>
        <v>4000</v>
      </c>
      <c r="BP12" s="33">
        <f t="shared" ref="BP12:CU12" si="2">BP10+BP11</f>
        <v>4000</v>
      </c>
      <c r="BQ12" s="33">
        <f t="shared" si="2"/>
        <v>4000</v>
      </c>
      <c r="BR12" s="33">
        <f t="shared" si="2"/>
        <v>4000</v>
      </c>
      <c r="BS12" s="33">
        <f t="shared" si="2"/>
        <v>4000</v>
      </c>
      <c r="BT12" s="33">
        <f t="shared" si="2"/>
        <v>4000</v>
      </c>
      <c r="BU12" s="33">
        <f t="shared" si="2"/>
        <v>4000</v>
      </c>
      <c r="BV12" s="33">
        <f t="shared" si="2"/>
        <v>4000</v>
      </c>
      <c r="BW12" s="33">
        <f t="shared" si="2"/>
        <v>4000</v>
      </c>
      <c r="BX12" s="33">
        <f t="shared" si="2"/>
        <v>4000</v>
      </c>
      <c r="BY12" s="33">
        <f t="shared" si="2"/>
        <v>4000</v>
      </c>
      <c r="BZ12" s="33">
        <f t="shared" si="2"/>
        <v>4000</v>
      </c>
      <c r="CA12" s="33">
        <f t="shared" si="2"/>
        <v>4000</v>
      </c>
      <c r="CB12" s="33">
        <f t="shared" si="2"/>
        <v>4000</v>
      </c>
      <c r="CC12" s="33">
        <f t="shared" si="2"/>
        <v>4000</v>
      </c>
      <c r="CD12" s="33">
        <f t="shared" si="2"/>
        <v>4000</v>
      </c>
      <c r="CE12" s="33">
        <f t="shared" si="2"/>
        <v>4000</v>
      </c>
      <c r="CF12" s="33">
        <f t="shared" si="2"/>
        <v>4000</v>
      </c>
      <c r="CG12" s="33">
        <f t="shared" si="2"/>
        <v>4000</v>
      </c>
      <c r="CH12" s="33">
        <f t="shared" si="2"/>
        <v>4000</v>
      </c>
      <c r="CI12" s="33">
        <f t="shared" si="2"/>
        <v>4000</v>
      </c>
    </row>
    <row r="13" spans="1:87" ht="16">
      <c r="A13" s="6" t="s">
        <v>585</v>
      </c>
      <c r="B13" s="30" t="s">
        <v>465</v>
      </c>
      <c r="C13" s="15"/>
      <c r="D13" s="33">
        <f>IF(D$8&gt;='1_PANEL_CONTROL'!$D$39, IF(D$8&lt;=12, 18000, IF(D$8&lt;=24, 36000, 48000))/12, 0)</f>
        <v>1500</v>
      </c>
      <c r="E13" s="33">
        <f>IF(E$8&gt;='1_PANEL_CONTROL'!$D$39, IF(E$8&lt;=12, 18000, IF(E$8&lt;=24, 36000, 48000))/12, 0)</f>
        <v>1500</v>
      </c>
      <c r="F13" s="33">
        <f>IF(F$8&gt;='1_PANEL_CONTROL'!$D$39, IF(F$8&lt;=12, 18000, IF(F$8&lt;=24, 36000, 48000))/12, 0)</f>
        <v>1500</v>
      </c>
      <c r="G13" s="33">
        <f>IF(G$8&gt;='1_PANEL_CONTROL'!$D$39, IF(G$8&lt;=12, 18000, IF(G$8&lt;=24, 36000, 48000))/12, 0)</f>
        <v>1500</v>
      </c>
      <c r="H13" s="33">
        <f>IF(H$8&gt;='1_PANEL_CONTROL'!$D$39, IF(H$8&lt;=12, 18000, IF(H$8&lt;=24, 36000, 48000))/12, 0)</f>
        <v>1500</v>
      </c>
      <c r="I13" s="33">
        <f>IF(I$8&gt;='1_PANEL_CONTROL'!$D$39, IF(I$8&lt;=12, 18000, IF(I$8&lt;=24, 36000, 48000))/12, 0)</f>
        <v>1500</v>
      </c>
      <c r="J13" s="33">
        <f>IF(J$8&gt;='1_PANEL_CONTROL'!$D$39, IF(J$8&lt;=12, 18000, IF(J$8&lt;=24, 36000, 48000))/12, 0)</f>
        <v>1500</v>
      </c>
      <c r="K13" s="33">
        <f>IF(K$8&gt;='1_PANEL_CONTROL'!$D$39, IF(K$8&lt;=12, 18000, IF(K$8&lt;=24, 36000, 48000))/12, 0)</f>
        <v>1500</v>
      </c>
      <c r="L13" s="33">
        <f>IF(L$8&gt;='1_PANEL_CONTROL'!$D$39, IF(L$8&lt;=12, 18000, IF(L$8&lt;=24, 36000, 48000))/12, 0)</f>
        <v>1500</v>
      </c>
      <c r="M13" s="33">
        <f>IF(M$8&gt;='1_PANEL_CONTROL'!$D$39, IF(M$8&lt;=12, 18000, IF(M$8&lt;=24, 36000, 48000))/12, 0)</f>
        <v>1500</v>
      </c>
      <c r="N13" s="33">
        <f>IF(N$8&gt;='1_PANEL_CONTROL'!$D$39, IF(N$8&lt;=12, 18000, IF(N$8&lt;=24, 36000, 48000))/12, 0)</f>
        <v>1500</v>
      </c>
      <c r="O13" s="33">
        <f>IF(O$8&gt;='1_PANEL_CONTROL'!$D$39, IF(O$8&lt;=12, 18000, IF(O$8&lt;=24, 36000, 48000))/12, 0)</f>
        <v>1500</v>
      </c>
      <c r="P13" s="33">
        <f>IF(P$8&gt;='1_PANEL_CONTROL'!$D$39, IF(P$8&lt;=12, 18000, IF(P$8&lt;=24, 36000, 48000))/12, 0)</f>
        <v>3000</v>
      </c>
      <c r="Q13" s="33">
        <f>IF(Q$8&gt;='1_PANEL_CONTROL'!$D$39, IF(Q$8&lt;=12, 18000, IF(Q$8&lt;=24, 36000, 48000))/12, 0)</f>
        <v>3000</v>
      </c>
      <c r="R13" s="33">
        <f>IF(R$8&gt;='1_PANEL_CONTROL'!$D$39, IF(R$8&lt;=12, 18000, IF(R$8&lt;=24, 36000, 48000))/12, 0)</f>
        <v>3000</v>
      </c>
      <c r="S13" s="33">
        <f>IF(S$8&gt;='1_PANEL_CONTROL'!$D$39, IF(S$8&lt;=12, 18000, IF(S$8&lt;=24, 36000, 48000))/12, 0)</f>
        <v>3000</v>
      </c>
      <c r="T13" s="33">
        <f>IF(T$8&gt;='1_PANEL_CONTROL'!$D$39, IF(T$8&lt;=12, 18000, IF(T$8&lt;=24, 36000, 48000))/12, 0)</f>
        <v>3000</v>
      </c>
      <c r="U13" s="33">
        <f>IF(U$8&gt;='1_PANEL_CONTROL'!$D$39, IF(U$8&lt;=12, 18000, IF(U$8&lt;=24, 36000, 48000))/12, 0)</f>
        <v>3000</v>
      </c>
      <c r="V13" s="33">
        <f>IF(V$8&gt;='1_PANEL_CONTROL'!$D$39, IF(V$8&lt;=12, 18000, IF(V$8&lt;=24, 36000, 48000))/12, 0)</f>
        <v>3000</v>
      </c>
      <c r="W13" s="33">
        <f>IF(W$8&gt;='1_PANEL_CONTROL'!$D$39, IF(W$8&lt;=12, 18000, IF(W$8&lt;=24, 36000, 48000))/12, 0)</f>
        <v>3000</v>
      </c>
      <c r="X13" s="33">
        <f>IF(X$8&gt;='1_PANEL_CONTROL'!$D$39, IF(X$8&lt;=12, 18000, IF(X$8&lt;=24, 36000, 48000))/12, 0)</f>
        <v>3000</v>
      </c>
      <c r="Y13" s="33">
        <f>IF(Y$8&gt;='1_PANEL_CONTROL'!$D$39, IF(Y$8&lt;=12, 18000, IF(Y$8&lt;=24, 36000, 48000))/12, 0)</f>
        <v>3000</v>
      </c>
      <c r="Z13" s="33">
        <f>IF(Z$8&gt;='1_PANEL_CONTROL'!$D$39, IF(Z$8&lt;=12, 18000, IF(Z$8&lt;=24, 36000, 48000))/12, 0)</f>
        <v>3000</v>
      </c>
      <c r="AA13" s="33">
        <f>IF(AA$8&gt;='1_PANEL_CONTROL'!$D$39, IF(AA$8&lt;=12, 18000, IF(AA$8&lt;=24, 36000, 48000))/12, 0)</f>
        <v>3000</v>
      </c>
      <c r="AB13" s="33">
        <f>IF(AB$8&gt;='1_PANEL_CONTROL'!$D$39, IF(AB$8&lt;=12, 18000, IF(AB$8&lt;=24, 36000, 48000))/12, 0)</f>
        <v>4000</v>
      </c>
      <c r="AC13" s="33">
        <f>IF(AC$8&gt;='1_PANEL_CONTROL'!$D$39, IF(AC$8&lt;=12, 18000, IF(AC$8&lt;=24, 36000, 48000))/12, 0)</f>
        <v>4000</v>
      </c>
      <c r="AD13" s="33">
        <f>IF(AD$8&gt;='1_PANEL_CONTROL'!$D$39, IF(AD$8&lt;=12, 18000, IF(AD$8&lt;=24, 36000, 48000))/12, 0)</f>
        <v>4000</v>
      </c>
      <c r="AE13" s="33">
        <f>IF(AE$8&gt;='1_PANEL_CONTROL'!$D$39, IF(AE$8&lt;=12, 18000, IF(AE$8&lt;=24, 36000, 48000))/12, 0)</f>
        <v>4000</v>
      </c>
      <c r="AF13" s="33">
        <f>IF(AF$8&gt;='1_PANEL_CONTROL'!$D$39, IF(AF$8&lt;=12, 18000, IF(AF$8&lt;=24, 36000, 48000))/12, 0)</f>
        <v>4000</v>
      </c>
      <c r="AG13" s="33">
        <f>IF(AG$8&gt;='1_PANEL_CONTROL'!$D$39, IF(AG$8&lt;=12, 18000, IF(AG$8&lt;=24, 36000, 48000))/12, 0)</f>
        <v>4000</v>
      </c>
      <c r="AH13" s="33">
        <f>IF(AH$8&gt;='1_PANEL_CONTROL'!$D$39, IF(AH$8&lt;=12, 18000, IF(AH$8&lt;=24, 36000, 48000))/12, 0)</f>
        <v>4000</v>
      </c>
      <c r="AI13" s="33">
        <f>IF(AI$8&gt;='1_PANEL_CONTROL'!$D$39, IF(AI$8&lt;=12, 18000, IF(AI$8&lt;=24, 36000, 48000))/12, 0)</f>
        <v>4000</v>
      </c>
      <c r="AJ13" s="33">
        <f>IF(AJ$8&gt;='1_PANEL_CONTROL'!$D$39, IF(AJ$8&lt;=12, 18000, IF(AJ$8&lt;=24, 36000, 48000))/12, 0)</f>
        <v>4000</v>
      </c>
      <c r="AK13" s="33">
        <f>IF(AK$8&gt;='1_PANEL_CONTROL'!$D$39, IF(AK$8&lt;=12, 18000, IF(AK$8&lt;=24, 36000, 48000))/12, 0)</f>
        <v>4000</v>
      </c>
      <c r="AL13" s="33">
        <f>IF(AL$8&gt;='1_PANEL_CONTROL'!$D$39, IF(AL$8&lt;=12, 18000, IF(AL$8&lt;=24, 36000, 48000))/12, 0)</f>
        <v>4000</v>
      </c>
      <c r="AM13" s="33">
        <f>IF(AM$8&gt;='1_PANEL_CONTROL'!$D$39, IF(AM$8&lt;=12, 18000, IF(AM$8&lt;=24, 36000, 48000))/12, 0)</f>
        <v>4000</v>
      </c>
      <c r="AN13" s="33">
        <f>IF(AN$8&gt;='1_PANEL_CONTROL'!$D$39, IF(AN$8&lt;=12, 18000, IF(AN$8&lt;=24, 36000, 48000))/12, 0)</f>
        <v>4000</v>
      </c>
      <c r="AO13" s="33">
        <f>IF(AO$8&gt;='1_PANEL_CONTROL'!$D$39, IF(AO$8&lt;=12, 18000, IF(AO$8&lt;=24, 36000, 48000))/12, 0)</f>
        <v>4000</v>
      </c>
      <c r="AP13" s="33">
        <f>IF(AP$8&gt;='1_PANEL_CONTROL'!$D$39, IF(AP$8&lt;=12, 18000, IF(AP$8&lt;=24, 36000, 48000))/12, 0)</f>
        <v>4000</v>
      </c>
      <c r="AQ13" s="33">
        <f>IF(AQ$8&gt;='1_PANEL_CONTROL'!$D$39, IF(AQ$8&lt;=12, 18000, IF(AQ$8&lt;=24, 36000, 48000))/12, 0)</f>
        <v>4000</v>
      </c>
      <c r="AR13" s="33">
        <f>IF(AR$8&gt;='1_PANEL_CONTROL'!$D$39, IF(AR$8&lt;=12, 18000, IF(AR$8&lt;=24, 36000, 48000))/12, 0)</f>
        <v>4000</v>
      </c>
      <c r="AS13" s="33">
        <f>IF(AS$8&gt;='1_PANEL_CONTROL'!$D$39, IF(AS$8&lt;=12, 18000, IF(AS$8&lt;=24, 36000, 48000))/12, 0)</f>
        <v>4000</v>
      </c>
      <c r="AT13" s="33">
        <f>IF(AT$8&gt;='1_PANEL_CONTROL'!$D$39, IF(AT$8&lt;=12, 18000, IF(AT$8&lt;=24, 36000, 48000))/12, 0)</f>
        <v>4000</v>
      </c>
      <c r="AU13" s="33">
        <f>IF(AU$8&gt;='1_PANEL_CONTROL'!$D$39, IF(AU$8&lt;=12, 18000, IF(AU$8&lt;=24, 36000, 48000))/12, 0)</f>
        <v>4000</v>
      </c>
      <c r="AV13" s="33">
        <f>IF(AV$8&gt;='1_PANEL_CONTROL'!$D$39, IF(AV$8&lt;=12, 18000, IF(AV$8&lt;=24, 36000, 48000))/12, 0)</f>
        <v>4000</v>
      </c>
      <c r="AW13" s="33">
        <f>IF(AW$8&gt;='1_PANEL_CONTROL'!$D$39, IF(AW$8&lt;=12, 18000, IF(AW$8&lt;=24, 36000, 48000))/12, 0)</f>
        <v>4000</v>
      </c>
      <c r="AX13" s="33">
        <f>IF(AX$8&gt;='1_PANEL_CONTROL'!$D$39, IF(AX$8&lt;=12, 18000, IF(AX$8&lt;=24, 36000, 48000))/12, 0)</f>
        <v>4000</v>
      </c>
      <c r="AY13" s="33">
        <f>IF(AY$8&gt;='1_PANEL_CONTROL'!$D$39, IF(AY$8&lt;=12, 18000, IF(AY$8&lt;=24, 36000, 48000))/12, 0)</f>
        <v>4000</v>
      </c>
      <c r="AZ13" s="33">
        <f>IF(AZ$8&gt;='1_PANEL_CONTROL'!$D$39, IF(AZ$8&lt;=12, 18000, IF(AZ$8&lt;=24, 36000, 48000))/12, 0)</f>
        <v>4000</v>
      </c>
      <c r="BA13" s="33">
        <f>IF(BA$8&gt;='1_PANEL_CONTROL'!$D$39, IF(BA$8&lt;=12, 18000, IF(BA$8&lt;=24, 36000, 48000))/12, 0)</f>
        <v>4000</v>
      </c>
      <c r="BB13" s="33">
        <f>IF(BB$8&gt;='1_PANEL_CONTROL'!$D$39, IF(BB$8&lt;=12, 18000, IF(BB$8&lt;=24, 36000, 48000))/12, 0)</f>
        <v>4000</v>
      </c>
      <c r="BC13" s="33">
        <f>IF(BC$8&gt;='1_PANEL_CONTROL'!$D$39, IF(BC$8&lt;=12, 18000, IF(BC$8&lt;=24, 36000, 48000))/12, 0)</f>
        <v>4000</v>
      </c>
      <c r="BD13" s="33">
        <f>IF(BD$8&gt;='1_PANEL_CONTROL'!$D$39, IF(BD$8&lt;=12, 18000, IF(BD$8&lt;=24, 36000, 48000))/12, 0)</f>
        <v>4000</v>
      </c>
      <c r="BE13" s="33">
        <f>IF(BE$8&gt;='1_PANEL_CONTROL'!$D$39, IF(BE$8&lt;=12, 18000, IF(BE$8&lt;=24, 36000, 48000))/12, 0)</f>
        <v>4000</v>
      </c>
      <c r="BF13" s="33">
        <f>IF(BF$8&gt;='1_PANEL_CONTROL'!$D$39, IF(BF$8&lt;=12, 18000, IF(BF$8&lt;=24, 36000, 48000))/12, 0)</f>
        <v>4000</v>
      </c>
      <c r="BG13" s="33">
        <f>IF(BG$8&gt;='1_PANEL_CONTROL'!$D$39, IF(BG$8&lt;=12, 18000, IF(BG$8&lt;=24, 36000, 48000))/12, 0)</f>
        <v>4000</v>
      </c>
      <c r="BH13" s="33">
        <f>IF(BH$8&gt;='1_PANEL_CONTROL'!$D$39, IF(BH$8&lt;=12, 18000, IF(BH$8&lt;=24, 36000, 48000))/12, 0)</f>
        <v>4000</v>
      </c>
      <c r="BI13" s="33">
        <f>IF(BI$8&gt;='1_PANEL_CONTROL'!$D$39, IF(BI$8&lt;=12, 18000, IF(BI$8&lt;=24, 36000, 48000))/12, 0)</f>
        <v>4000</v>
      </c>
      <c r="BJ13" s="33">
        <f>IF(BJ$8&gt;='1_PANEL_CONTROL'!$D$39, IF(BJ$8&lt;=12, 18000, IF(BJ$8&lt;=24, 36000, 48000))/12, 0)</f>
        <v>4000</v>
      </c>
      <c r="BK13" s="33">
        <f>IF(BK$8&gt;='1_PANEL_CONTROL'!$D$39, IF(BK$8&lt;=12, 18000, IF(BK$8&lt;=24, 36000, 48000))/12, 0)</f>
        <v>4000</v>
      </c>
      <c r="BL13" s="33">
        <f>IF(BL$8&gt;='1_PANEL_CONTROL'!$D$39, IF(BL$8&lt;=12, 18000, IF(BL$8&lt;=24, 36000, 48000))/12, 0)</f>
        <v>4000</v>
      </c>
      <c r="BM13" s="33">
        <f>IF(BM$8&gt;='1_PANEL_CONTROL'!$D$39, IF(BM$8&lt;=12, 18000, IF(BM$8&lt;=24, 36000, 48000))/12, 0)</f>
        <v>4000</v>
      </c>
      <c r="BN13" s="33">
        <f>IF(BN$8&gt;='1_PANEL_CONTROL'!$D$39, IF(BN$8&lt;=12, 18000, IF(BN$8&lt;=24, 36000, 48000))/12, 0)</f>
        <v>4000</v>
      </c>
      <c r="BO13" s="33">
        <f>IF(BO$8&gt;='1_PANEL_CONTROL'!$D$39, IF(BO$8&lt;=12, 18000, IF(BO$8&lt;=24, 36000, 48000))/12, 0)</f>
        <v>4000</v>
      </c>
      <c r="BP13" s="33">
        <f>IF(BP$8&gt;='1_PANEL_CONTROL'!$D$39, IF(BP$8&lt;=12, 18000, IF(BP$8&lt;=24, 36000, 48000))/12, 0)</f>
        <v>4000</v>
      </c>
      <c r="BQ13" s="33">
        <f>IF(BQ$8&gt;='1_PANEL_CONTROL'!$D$39, IF(BQ$8&lt;=12, 18000, IF(BQ$8&lt;=24, 36000, 48000))/12, 0)</f>
        <v>4000</v>
      </c>
      <c r="BR13" s="33">
        <f>IF(BR$8&gt;='1_PANEL_CONTROL'!$D$39, IF(BR$8&lt;=12, 18000, IF(BR$8&lt;=24, 36000, 48000))/12, 0)</f>
        <v>4000</v>
      </c>
      <c r="BS13" s="33">
        <f>IF(BS$8&gt;='1_PANEL_CONTROL'!$D$39, IF(BS$8&lt;=12, 18000, IF(BS$8&lt;=24, 36000, 48000))/12, 0)</f>
        <v>4000</v>
      </c>
      <c r="BT13" s="33">
        <f>IF(BT$8&gt;='1_PANEL_CONTROL'!$D$39, IF(BT$8&lt;=12, 18000, IF(BT$8&lt;=24, 36000, 48000))/12, 0)</f>
        <v>4000</v>
      </c>
      <c r="BU13" s="33">
        <f>IF(BU$8&gt;='1_PANEL_CONTROL'!$D$39, IF(BU$8&lt;=12, 18000, IF(BU$8&lt;=24, 36000, 48000))/12, 0)</f>
        <v>4000</v>
      </c>
      <c r="BV13" s="33">
        <f>IF(BV$8&gt;='1_PANEL_CONTROL'!$D$39, IF(BV$8&lt;=12, 18000, IF(BV$8&lt;=24, 36000, 48000))/12, 0)</f>
        <v>4000</v>
      </c>
      <c r="BW13" s="33">
        <f>IF(BW$8&gt;='1_PANEL_CONTROL'!$D$39, IF(BW$8&lt;=12, 18000, IF(BW$8&lt;=24, 36000, 48000))/12, 0)</f>
        <v>4000</v>
      </c>
      <c r="BX13" s="33">
        <f>IF(BX$8&gt;='1_PANEL_CONTROL'!$D$39, IF(BX$8&lt;=12, 18000, IF(BX$8&lt;=24, 36000, 48000))/12, 0)</f>
        <v>4000</v>
      </c>
      <c r="BY13" s="33">
        <f>IF(BY$8&gt;='1_PANEL_CONTROL'!$D$39, IF(BY$8&lt;=12, 18000, IF(BY$8&lt;=24, 36000, 48000))/12, 0)</f>
        <v>4000</v>
      </c>
      <c r="BZ13" s="33">
        <f>IF(BZ$8&gt;='1_PANEL_CONTROL'!$D$39, IF(BZ$8&lt;=12, 18000, IF(BZ$8&lt;=24, 36000, 48000))/12, 0)</f>
        <v>4000</v>
      </c>
      <c r="CA13" s="33">
        <f>IF(CA$8&gt;='1_PANEL_CONTROL'!$D$39, IF(CA$8&lt;=12, 18000, IF(CA$8&lt;=24, 36000, 48000))/12, 0)</f>
        <v>4000</v>
      </c>
      <c r="CB13" s="33">
        <f>IF(CB$8&gt;='1_PANEL_CONTROL'!$D$39, IF(CB$8&lt;=12, 18000, IF(CB$8&lt;=24, 36000, 48000))/12, 0)</f>
        <v>4000</v>
      </c>
      <c r="CC13" s="33">
        <f>IF(CC$8&gt;='1_PANEL_CONTROL'!$D$39, IF(CC$8&lt;=12, 18000, IF(CC$8&lt;=24, 36000, 48000))/12, 0)</f>
        <v>4000</v>
      </c>
      <c r="CD13" s="33">
        <f>IF(CD$8&gt;='1_PANEL_CONTROL'!$D$39, IF(CD$8&lt;=12, 18000, IF(CD$8&lt;=24, 36000, 48000))/12, 0)</f>
        <v>4000</v>
      </c>
      <c r="CE13" s="33">
        <f>IF(CE$8&gt;='1_PANEL_CONTROL'!$D$39, IF(CE$8&lt;=12, 18000, IF(CE$8&lt;=24, 36000, 48000))/12, 0)</f>
        <v>4000</v>
      </c>
      <c r="CF13" s="33">
        <f>IF(CF$8&gt;='1_PANEL_CONTROL'!$D$39, IF(CF$8&lt;=12, 18000, IF(CF$8&lt;=24, 36000, 48000))/12, 0)</f>
        <v>4000</v>
      </c>
      <c r="CG13" s="33">
        <f>IF(CG$8&gt;='1_PANEL_CONTROL'!$D$39, IF(CG$8&lt;=12, 18000, IF(CG$8&lt;=24, 36000, 48000))/12, 0)</f>
        <v>4000</v>
      </c>
      <c r="CH13" s="33">
        <f>IF(CH$8&gt;='1_PANEL_CONTROL'!$D$39, IF(CH$8&lt;=12, 18000, IF(CH$8&lt;=24, 36000, 48000))/12, 0)</f>
        <v>4000</v>
      </c>
      <c r="CI13" s="33">
        <f>IF(CI$8&gt;='1_PANEL_CONTROL'!$D$39, IF(CI$8&lt;=12, 18000, IF(CI$8&lt;=24, 36000, 48000))/12, 0)</f>
        <v>4000</v>
      </c>
    </row>
    <row r="14" spans="1:87" ht="16">
      <c r="A14" s="6" t="s">
        <v>586</v>
      </c>
      <c r="B14" s="30" t="s">
        <v>465</v>
      </c>
      <c r="C14" s="15"/>
      <c r="D14" s="33">
        <f>IF(D$8&gt;='1_PANEL_CONTROL'!$D$39, MIN(MAX(D13, $D$6), $D$5), 0)</f>
        <v>1500</v>
      </c>
      <c r="E14" s="33">
        <f>IF(E$8&gt;='1_PANEL_CONTROL'!$D$39, MIN(MAX(E13, $D$6), $D$5), 0)</f>
        <v>1500</v>
      </c>
      <c r="F14" s="33">
        <f>IF(F$8&gt;='1_PANEL_CONTROL'!$D$39, MIN(MAX(F13, $D$6), $D$5), 0)</f>
        <v>1500</v>
      </c>
      <c r="G14" s="33">
        <f>IF(G$8&gt;='1_PANEL_CONTROL'!$D$39, MIN(MAX(G13, $D$6), $D$5), 0)</f>
        <v>1500</v>
      </c>
      <c r="H14" s="33">
        <f>IF(H$8&gt;='1_PANEL_CONTROL'!$D$39, MIN(MAX(H13, $D$6), $D$5), 0)</f>
        <v>1500</v>
      </c>
      <c r="I14" s="33">
        <f>IF(I$8&gt;='1_PANEL_CONTROL'!$D$39, MIN(MAX(I13, $D$6), $D$5), 0)</f>
        <v>1500</v>
      </c>
      <c r="J14" s="33">
        <f>IF(J$8&gt;='1_PANEL_CONTROL'!$D$39, MIN(MAX(J13, $D$6), $D$5), 0)</f>
        <v>1500</v>
      </c>
      <c r="K14" s="33">
        <f>IF(K$8&gt;='1_PANEL_CONTROL'!$D$39, MIN(MAX(K13, $D$6), $D$5), 0)</f>
        <v>1500</v>
      </c>
      <c r="L14" s="33">
        <f>IF(L$8&gt;='1_PANEL_CONTROL'!$D$39, MIN(MAX(L13, $D$6), $D$5), 0)</f>
        <v>1500</v>
      </c>
      <c r="M14" s="33">
        <f>IF(M$8&gt;='1_PANEL_CONTROL'!$D$39, MIN(MAX(M13, $D$6), $D$5), 0)</f>
        <v>1500</v>
      </c>
      <c r="N14" s="33">
        <f>IF(N$8&gt;='1_PANEL_CONTROL'!$D$39, MIN(MAX(N13, $D$6), $D$5), 0)</f>
        <v>1500</v>
      </c>
      <c r="O14" s="33">
        <f>IF(O$8&gt;='1_PANEL_CONTROL'!$D$39, MIN(MAX(O13, $D$6), $D$5), 0)</f>
        <v>1500</v>
      </c>
      <c r="P14" s="33">
        <f>IF(P$8&gt;='1_PANEL_CONTROL'!$D$39, MIN(MAX(P13, $D$6), $D$5), 0)</f>
        <v>3000</v>
      </c>
      <c r="Q14" s="33">
        <f>IF(Q$8&gt;='1_PANEL_CONTROL'!$D$39, MIN(MAX(Q13, $D$6), $D$5), 0)</f>
        <v>3000</v>
      </c>
      <c r="R14" s="33">
        <f>IF(R$8&gt;='1_PANEL_CONTROL'!$D$39, MIN(MAX(R13, $D$6), $D$5), 0)</f>
        <v>3000</v>
      </c>
      <c r="S14" s="33">
        <f>IF(S$8&gt;='1_PANEL_CONTROL'!$D$39, MIN(MAX(S13, $D$6), $D$5), 0)</f>
        <v>3000</v>
      </c>
      <c r="T14" s="33">
        <f>IF(T$8&gt;='1_PANEL_CONTROL'!$D$39, MIN(MAX(T13, $D$6), $D$5), 0)</f>
        <v>3000</v>
      </c>
      <c r="U14" s="33">
        <f>IF(U$8&gt;='1_PANEL_CONTROL'!$D$39, MIN(MAX(U13, $D$6), $D$5), 0)</f>
        <v>3000</v>
      </c>
      <c r="V14" s="33">
        <f>IF(V$8&gt;='1_PANEL_CONTROL'!$D$39, MIN(MAX(V13, $D$6), $D$5), 0)</f>
        <v>3000</v>
      </c>
      <c r="W14" s="33">
        <f>IF(W$8&gt;='1_PANEL_CONTROL'!$D$39, MIN(MAX(W13, $D$6), $D$5), 0)</f>
        <v>3000</v>
      </c>
      <c r="X14" s="33">
        <f>IF(X$8&gt;='1_PANEL_CONTROL'!$D$39, MIN(MAX(X13, $D$6), $D$5), 0)</f>
        <v>3000</v>
      </c>
      <c r="Y14" s="33">
        <f>IF(Y$8&gt;='1_PANEL_CONTROL'!$D$39, MIN(MAX(Y13, $D$6), $D$5), 0)</f>
        <v>3000</v>
      </c>
      <c r="Z14" s="33">
        <f>IF(Z$8&gt;='1_PANEL_CONTROL'!$D$39, MIN(MAX(Z13, $D$6), $D$5), 0)</f>
        <v>3000</v>
      </c>
      <c r="AA14" s="33">
        <f>IF(AA$8&gt;='1_PANEL_CONTROL'!$D$39, MIN(MAX(AA13, $D$6), $D$5), 0)</f>
        <v>3000</v>
      </c>
      <c r="AB14" s="33">
        <f>IF(AB$8&gt;='1_PANEL_CONTROL'!$D$39, MIN(MAX(AB13, $D$6), $D$5), 0)</f>
        <v>4000</v>
      </c>
      <c r="AC14" s="33">
        <f>IF(AC$8&gt;='1_PANEL_CONTROL'!$D$39, MIN(MAX(AC13, $D$6), $D$5), 0)</f>
        <v>4000</v>
      </c>
      <c r="AD14" s="33">
        <f>IF(AD$8&gt;='1_PANEL_CONTROL'!$D$39, MIN(MAX(AD13, $D$6), $D$5), 0)</f>
        <v>4000</v>
      </c>
      <c r="AE14" s="33">
        <f>IF(AE$8&gt;='1_PANEL_CONTROL'!$D$39, MIN(MAX(AE13, $D$6), $D$5), 0)</f>
        <v>4000</v>
      </c>
      <c r="AF14" s="33">
        <f>IF(AF$8&gt;='1_PANEL_CONTROL'!$D$39, MIN(MAX(AF13, $D$6), $D$5), 0)</f>
        <v>4000</v>
      </c>
      <c r="AG14" s="33">
        <f>IF(AG$8&gt;='1_PANEL_CONTROL'!$D$39, MIN(MAX(AG13, $D$6), $D$5), 0)</f>
        <v>4000</v>
      </c>
      <c r="AH14" s="33">
        <f>IF(AH$8&gt;='1_PANEL_CONTROL'!$D$39, MIN(MAX(AH13, $D$6), $D$5), 0)</f>
        <v>4000</v>
      </c>
      <c r="AI14" s="33">
        <f>IF(AI$8&gt;='1_PANEL_CONTROL'!$D$39, MIN(MAX(AI13, $D$6), $D$5), 0)</f>
        <v>4000</v>
      </c>
      <c r="AJ14" s="33">
        <f>IF(AJ$8&gt;='1_PANEL_CONTROL'!$D$39, MIN(MAX(AJ13, $D$6), $D$5), 0)</f>
        <v>4000</v>
      </c>
      <c r="AK14" s="33">
        <f>IF(AK$8&gt;='1_PANEL_CONTROL'!$D$39, MIN(MAX(AK13, $D$6), $D$5), 0)</f>
        <v>4000</v>
      </c>
      <c r="AL14" s="33">
        <f>IF(AL$8&gt;='1_PANEL_CONTROL'!$D$39, MIN(MAX(AL13, $D$6), $D$5), 0)</f>
        <v>4000</v>
      </c>
      <c r="AM14" s="33">
        <f>IF(AM$8&gt;='1_PANEL_CONTROL'!$D$39, MIN(MAX(AM13, $D$6), $D$5), 0)</f>
        <v>4000</v>
      </c>
      <c r="AN14" s="33">
        <f>IF(AN$8&gt;='1_PANEL_CONTROL'!$D$39, MIN(MAX(AN13, $D$6), $D$5), 0)</f>
        <v>4000</v>
      </c>
      <c r="AO14" s="33">
        <f>IF(AO$8&gt;='1_PANEL_CONTROL'!$D$39, MIN(MAX(AO13, $D$6), $D$5), 0)</f>
        <v>4000</v>
      </c>
      <c r="AP14" s="33">
        <f>IF(AP$8&gt;='1_PANEL_CONTROL'!$D$39, MIN(MAX(AP13, $D$6), $D$5), 0)</f>
        <v>4000</v>
      </c>
      <c r="AQ14" s="33">
        <f>IF(AQ$8&gt;='1_PANEL_CONTROL'!$D$39, MIN(MAX(AQ13, $D$6), $D$5), 0)</f>
        <v>4000</v>
      </c>
      <c r="AR14" s="33">
        <f>IF(AR$8&gt;='1_PANEL_CONTROL'!$D$39, MIN(MAX(AR13, $D$6), $D$5), 0)</f>
        <v>4000</v>
      </c>
      <c r="AS14" s="33">
        <f>IF(AS$8&gt;='1_PANEL_CONTROL'!$D$39, MIN(MAX(AS13, $D$6), $D$5), 0)</f>
        <v>4000</v>
      </c>
      <c r="AT14" s="33">
        <f>IF(AT$8&gt;='1_PANEL_CONTROL'!$D$39, MIN(MAX(AT13, $D$6), $D$5), 0)</f>
        <v>4000</v>
      </c>
      <c r="AU14" s="33">
        <f>IF(AU$8&gt;='1_PANEL_CONTROL'!$D$39, MIN(MAX(AU13, $D$6), $D$5), 0)</f>
        <v>4000</v>
      </c>
      <c r="AV14" s="33">
        <f>IF(AV$8&gt;='1_PANEL_CONTROL'!$D$39, MIN(MAX(AV13, $D$6), $D$5), 0)</f>
        <v>4000</v>
      </c>
      <c r="AW14" s="33">
        <f>IF(AW$8&gt;='1_PANEL_CONTROL'!$D$39, MIN(MAX(AW13, $D$6), $D$5), 0)</f>
        <v>4000</v>
      </c>
      <c r="AX14" s="33">
        <f>IF(AX$8&gt;='1_PANEL_CONTROL'!$D$39, MIN(MAX(AX13, $D$6), $D$5), 0)</f>
        <v>4000</v>
      </c>
      <c r="AY14" s="33">
        <f>IF(AY$8&gt;='1_PANEL_CONTROL'!$D$39, MIN(MAX(AY13, $D$6), $D$5), 0)</f>
        <v>4000</v>
      </c>
      <c r="AZ14" s="33">
        <f>IF(AZ$8&gt;='1_PANEL_CONTROL'!$D$39, MIN(MAX(AZ13, $D$6), $D$5), 0)</f>
        <v>4000</v>
      </c>
      <c r="BA14" s="33">
        <f>IF(BA$8&gt;='1_PANEL_CONTROL'!$D$39, MIN(MAX(BA13, $D$6), $D$5), 0)</f>
        <v>4000</v>
      </c>
      <c r="BB14" s="33">
        <f>IF(BB$8&gt;='1_PANEL_CONTROL'!$D$39, MIN(MAX(BB13, $D$6), $D$5), 0)</f>
        <v>4000</v>
      </c>
      <c r="BC14" s="33">
        <f>IF(BC$8&gt;='1_PANEL_CONTROL'!$D$39, MIN(MAX(BC13, $D$6), $D$5), 0)</f>
        <v>4000</v>
      </c>
      <c r="BD14" s="33">
        <f>IF(BD$8&gt;='1_PANEL_CONTROL'!$D$39, MIN(MAX(BD13, $D$6), $D$5), 0)</f>
        <v>4000</v>
      </c>
      <c r="BE14" s="33">
        <f>IF(BE$8&gt;='1_PANEL_CONTROL'!$D$39, MIN(MAX(BE13, $D$6), $D$5), 0)</f>
        <v>4000</v>
      </c>
      <c r="BF14" s="33">
        <f>IF(BF$8&gt;='1_PANEL_CONTROL'!$D$39, MIN(MAX(BF13, $D$6), $D$5), 0)</f>
        <v>4000</v>
      </c>
      <c r="BG14" s="33">
        <f>IF(BG$8&gt;='1_PANEL_CONTROL'!$D$39, MIN(MAX(BG13, $D$6), $D$5), 0)</f>
        <v>4000</v>
      </c>
      <c r="BH14" s="33">
        <f>IF(BH$8&gt;='1_PANEL_CONTROL'!$D$39, MIN(MAX(BH13, $D$6), $D$5), 0)</f>
        <v>4000</v>
      </c>
      <c r="BI14" s="33">
        <f>IF(BI$8&gt;='1_PANEL_CONTROL'!$D$39, MIN(MAX(BI13, $D$6), $D$5), 0)</f>
        <v>4000</v>
      </c>
      <c r="BJ14" s="33">
        <f>IF(BJ$8&gt;='1_PANEL_CONTROL'!$D$39, MIN(MAX(BJ13, $D$6), $D$5), 0)</f>
        <v>4000</v>
      </c>
      <c r="BK14" s="33">
        <f>IF(BK$8&gt;='1_PANEL_CONTROL'!$D$39, MIN(MAX(BK13, $D$6), $D$5), 0)</f>
        <v>4000</v>
      </c>
      <c r="BL14" s="33">
        <f>IF(BL$8&gt;='1_PANEL_CONTROL'!$D$39, MIN(MAX(BL13, $D$6), $D$5), 0)</f>
        <v>4000</v>
      </c>
      <c r="BM14" s="33">
        <f>IF(BM$8&gt;='1_PANEL_CONTROL'!$D$39, MIN(MAX(BM13, $D$6), $D$5), 0)</f>
        <v>4000</v>
      </c>
      <c r="BN14" s="33">
        <f>IF(BN$8&gt;='1_PANEL_CONTROL'!$D$39, MIN(MAX(BN13, $D$6), $D$5), 0)</f>
        <v>4000</v>
      </c>
      <c r="BO14" s="33">
        <f>IF(BO$8&gt;='1_PANEL_CONTROL'!$D$39, MIN(MAX(BO13, $D$6), $D$5), 0)</f>
        <v>4000</v>
      </c>
      <c r="BP14" s="33">
        <f>IF(BP$8&gt;='1_PANEL_CONTROL'!$D$39, MIN(MAX(BP13, $D$6), $D$5), 0)</f>
        <v>4000</v>
      </c>
      <c r="BQ14" s="33">
        <f>IF(BQ$8&gt;='1_PANEL_CONTROL'!$D$39, MIN(MAX(BQ13, $D$6), $D$5), 0)</f>
        <v>4000</v>
      </c>
      <c r="BR14" s="33">
        <f>IF(BR$8&gt;='1_PANEL_CONTROL'!$D$39, MIN(MAX(BR13, $D$6), $D$5), 0)</f>
        <v>4000</v>
      </c>
      <c r="BS14" s="33">
        <f>IF(BS$8&gt;='1_PANEL_CONTROL'!$D$39, MIN(MAX(BS13, $D$6), $D$5), 0)</f>
        <v>4000</v>
      </c>
      <c r="BT14" s="33">
        <f>IF(BT$8&gt;='1_PANEL_CONTROL'!$D$39, MIN(MAX(BT13, $D$6), $D$5), 0)</f>
        <v>4000</v>
      </c>
      <c r="BU14" s="33">
        <f>IF(BU$8&gt;='1_PANEL_CONTROL'!$D$39, MIN(MAX(BU13, $D$6), $D$5), 0)</f>
        <v>4000</v>
      </c>
      <c r="BV14" s="33">
        <f>IF(BV$8&gt;='1_PANEL_CONTROL'!$D$39, MIN(MAX(BV13, $D$6), $D$5), 0)</f>
        <v>4000</v>
      </c>
      <c r="BW14" s="33">
        <f>IF(BW$8&gt;='1_PANEL_CONTROL'!$D$39, MIN(MAX(BW13, $D$6), $D$5), 0)</f>
        <v>4000</v>
      </c>
      <c r="BX14" s="33">
        <f>IF(BX$8&gt;='1_PANEL_CONTROL'!$D$39, MIN(MAX(BX13, $D$6), $D$5), 0)</f>
        <v>4000</v>
      </c>
      <c r="BY14" s="33">
        <f>IF(BY$8&gt;='1_PANEL_CONTROL'!$D$39, MIN(MAX(BY13, $D$6), $D$5), 0)</f>
        <v>4000</v>
      </c>
      <c r="BZ14" s="33">
        <f>IF(BZ$8&gt;='1_PANEL_CONTROL'!$D$39, MIN(MAX(BZ13, $D$6), $D$5), 0)</f>
        <v>4000</v>
      </c>
      <c r="CA14" s="33">
        <f>IF(CA$8&gt;='1_PANEL_CONTROL'!$D$39, MIN(MAX(CA13, $D$6), $D$5), 0)</f>
        <v>4000</v>
      </c>
      <c r="CB14" s="33">
        <f>IF(CB$8&gt;='1_PANEL_CONTROL'!$D$39, MIN(MAX(CB13, $D$6), $D$5), 0)</f>
        <v>4000</v>
      </c>
      <c r="CC14" s="33">
        <f>IF(CC$8&gt;='1_PANEL_CONTROL'!$D$39, MIN(MAX(CC13, $D$6), $D$5), 0)</f>
        <v>4000</v>
      </c>
      <c r="CD14" s="33">
        <f>IF(CD$8&gt;='1_PANEL_CONTROL'!$D$39, MIN(MAX(CD13, $D$6), $D$5), 0)</f>
        <v>4000</v>
      </c>
      <c r="CE14" s="33">
        <f>IF(CE$8&gt;='1_PANEL_CONTROL'!$D$39, MIN(MAX(CE13, $D$6), $D$5), 0)</f>
        <v>4000</v>
      </c>
      <c r="CF14" s="33">
        <f>IF(CF$8&gt;='1_PANEL_CONTROL'!$D$39, MIN(MAX(CF13, $D$6), $D$5), 0)</f>
        <v>4000</v>
      </c>
      <c r="CG14" s="33">
        <f>IF(CG$8&gt;='1_PANEL_CONTROL'!$D$39, MIN(MAX(CG13, $D$6), $D$5), 0)</f>
        <v>4000</v>
      </c>
      <c r="CH14" s="33">
        <f>IF(CH$8&gt;='1_PANEL_CONTROL'!$D$39, MIN(MAX(CH13, $D$6), $D$5), 0)</f>
        <v>4000</v>
      </c>
      <c r="CI14" s="33">
        <f>IF(CI$8&gt;='1_PANEL_CONTROL'!$D$39, MIN(MAX(CI13, $D$6), $D$5), 0)</f>
        <v>4000</v>
      </c>
    </row>
    <row r="15" spans="1:87" ht="16">
      <c r="A15" s="6" t="s">
        <v>587</v>
      </c>
      <c r="B15" s="30" t="s">
        <v>465</v>
      </c>
      <c r="C15" s="15"/>
      <c r="D15" s="33">
        <f>IF(D$8&gt;='1_PANEL_CONTROL'!$D$39, '1_PANEL_CONTROL'!$F$33, 0)</f>
        <v>448.69</v>
      </c>
      <c r="E15" s="33">
        <f>IF(E$8&gt;='1_PANEL_CONTROL'!$D$39, '1_PANEL_CONTROL'!$F$33, 0)</f>
        <v>448.69</v>
      </c>
      <c r="F15" s="33">
        <f>IF(F$8&gt;='1_PANEL_CONTROL'!$D$39, '1_PANEL_CONTROL'!$F$33, 0)</f>
        <v>448.69</v>
      </c>
      <c r="G15" s="33">
        <f>IF(G$8&gt;='1_PANEL_CONTROL'!$D$39, '1_PANEL_CONTROL'!$F$33, 0)</f>
        <v>448.69</v>
      </c>
      <c r="H15" s="33">
        <f>IF(H$8&gt;='1_PANEL_CONTROL'!$D$39, '1_PANEL_CONTROL'!$F$33, 0)</f>
        <v>448.69</v>
      </c>
      <c r="I15" s="33">
        <f>IF(I$8&gt;='1_PANEL_CONTROL'!$D$39, '1_PANEL_CONTROL'!$F$33, 0)</f>
        <v>448.69</v>
      </c>
      <c r="J15" s="33">
        <f>IF(J$8&gt;='1_PANEL_CONTROL'!$D$39, '1_PANEL_CONTROL'!$F$33, 0)</f>
        <v>448.69</v>
      </c>
      <c r="K15" s="33">
        <f>IF(K$8&gt;='1_PANEL_CONTROL'!$D$39, '1_PANEL_CONTROL'!$F$33, 0)</f>
        <v>448.69</v>
      </c>
      <c r="L15" s="33">
        <f>IF(L$8&gt;='1_PANEL_CONTROL'!$D$39, '1_PANEL_CONTROL'!$F$33, 0)</f>
        <v>448.69</v>
      </c>
      <c r="M15" s="33">
        <f>IF(M$8&gt;='1_PANEL_CONTROL'!$D$39, '1_PANEL_CONTROL'!$F$33, 0)</f>
        <v>448.69</v>
      </c>
      <c r="N15" s="33">
        <f>IF(N$8&gt;='1_PANEL_CONTROL'!$D$39, '1_PANEL_CONTROL'!$F$33, 0)</f>
        <v>448.69</v>
      </c>
      <c r="O15" s="33">
        <f>IF(O$8&gt;='1_PANEL_CONTROL'!$D$39, '1_PANEL_CONTROL'!$F$33, 0)</f>
        <v>448.69</v>
      </c>
      <c r="P15" s="33">
        <f>IF(P$8&gt;='1_PANEL_CONTROL'!$D$39, '1_PANEL_CONTROL'!$F$33, 0)</f>
        <v>448.69</v>
      </c>
      <c r="Q15" s="33">
        <f>IF(Q$8&gt;='1_PANEL_CONTROL'!$D$39, '1_PANEL_CONTROL'!$F$33, 0)</f>
        <v>448.69</v>
      </c>
      <c r="R15" s="33">
        <f>IF(R$8&gt;='1_PANEL_CONTROL'!$D$39, '1_PANEL_CONTROL'!$F$33, 0)</f>
        <v>448.69</v>
      </c>
      <c r="S15" s="33">
        <f>IF(S$8&gt;='1_PANEL_CONTROL'!$D$39, '1_PANEL_CONTROL'!$F$33, 0)</f>
        <v>448.69</v>
      </c>
      <c r="T15" s="33">
        <f>IF(T$8&gt;='1_PANEL_CONTROL'!$D$39, '1_PANEL_CONTROL'!$F$33, 0)</f>
        <v>448.69</v>
      </c>
      <c r="U15" s="33">
        <f>IF(U$8&gt;='1_PANEL_CONTROL'!$D$39, '1_PANEL_CONTROL'!$F$33, 0)</f>
        <v>448.69</v>
      </c>
      <c r="V15" s="33">
        <f>IF(V$8&gt;='1_PANEL_CONTROL'!$D$39, '1_PANEL_CONTROL'!$F$33, 0)</f>
        <v>448.69</v>
      </c>
      <c r="W15" s="33">
        <f>IF(W$8&gt;='1_PANEL_CONTROL'!$D$39, '1_PANEL_CONTROL'!$F$33, 0)</f>
        <v>448.69</v>
      </c>
      <c r="X15" s="33">
        <f>IF(X$8&gt;='1_PANEL_CONTROL'!$D$39, '1_PANEL_CONTROL'!$F$33, 0)</f>
        <v>448.69</v>
      </c>
      <c r="Y15" s="33">
        <f>IF(Y$8&gt;='1_PANEL_CONTROL'!$D$39, '1_PANEL_CONTROL'!$F$33, 0)</f>
        <v>448.69</v>
      </c>
      <c r="Z15" s="33">
        <f>IF(Z$8&gt;='1_PANEL_CONTROL'!$D$39, '1_PANEL_CONTROL'!$F$33, 0)</f>
        <v>448.69</v>
      </c>
      <c r="AA15" s="33">
        <f>IF(AA$8&gt;='1_PANEL_CONTROL'!$D$39, '1_PANEL_CONTROL'!$F$33, 0)</f>
        <v>448.69</v>
      </c>
      <c r="AB15" s="33">
        <f>IF(AB$8&gt;='1_PANEL_CONTROL'!$D$39, '1_PANEL_CONTROL'!$F$33, 0)</f>
        <v>448.69</v>
      </c>
      <c r="AC15" s="33">
        <f>IF(AC$8&gt;='1_PANEL_CONTROL'!$D$39, '1_PANEL_CONTROL'!$F$33, 0)</f>
        <v>448.69</v>
      </c>
      <c r="AD15" s="33">
        <f>IF(AD$8&gt;='1_PANEL_CONTROL'!$D$39, '1_PANEL_CONTROL'!$F$33, 0)</f>
        <v>448.69</v>
      </c>
      <c r="AE15" s="33">
        <f>IF(AE$8&gt;='1_PANEL_CONTROL'!$D$39, '1_PANEL_CONTROL'!$F$33, 0)</f>
        <v>448.69</v>
      </c>
      <c r="AF15" s="33">
        <f>IF(AF$8&gt;='1_PANEL_CONTROL'!$D$39, '1_PANEL_CONTROL'!$F$33, 0)</f>
        <v>448.69</v>
      </c>
      <c r="AG15" s="33">
        <f>IF(AG$8&gt;='1_PANEL_CONTROL'!$D$39, '1_PANEL_CONTROL'!$F$33, 0)</f>
        <v>448.69</v>
      </c>
      <c r="AH15" s="33">
        <f>IF(AH$8&gt;='1_PANEL_CONTROL'!$D$39, '1_PANEL_CONTROL'!$F$33, 0)</f>
        <v>448.69</v>
      </c>
      <c r="AI15" s="33">
        <f>IF(AI$8&gt;='1_PANEL_CONTROL'!$D$39, '1_PANEL_CONTROL'!$F$33, 0)</f>
        <v>448.69</v>
      </c>
      <c r="AJ15" s="33">
        <f>IF(AJ$8&gt;='1_PANEL_CONTROL'!$D$39, '1_PANEL_CONTROL'!$F$33, 0)</f>
        <v>448.69</v>
      </c>
      <c r="AK15" s="33">
        <f>IF(AK$8&gt;='1_PANEL_CONTROL'!$D$39, '1_PANEL_CONTROL'!$F$33, 0)</f>
        <v>448.69</v>
      </c>
      <c r="AL15" s="33">
        <f>IF(AL$8&gt;='1_PANEL_CONTROL'!$D$39, '1_PANEL_CONTROL'!$F$33, 0)</f>
        <v>448.69</v>
      </c>
      <c r="AM15" s="33">
        <f>IF(AM$8&gt;='1_PANEL_CONTROL'!$D$39, '1_PANEL_CONTROL'!$F$33, 0)</f>
        <v>448.69</v>
      </c>
      <c r="AN15" s="33">
        <f>IF(AN$8&gt;='1_PANEL_CONTROL'!$D$39, '1_PANEL_CONTROL'!$F$33, 0)</f>
        <v>448.69</v>
      </c>
      <c r="AO15" s="33">
        <f>IF(AO$8&gt;='1_PANEL_CONTROL'!$D$39, '1_PANEL_CONTROL'!$F$33, 0)</f>
        <v>448.69</v>
      </c>
      <c r="AP15" s="33">
        <f>IF(AP$8&gt;='1_PANEL_CONTROL'!$D$39, '1_PANEL_CONTROL'!$F$33, 0)</f>
        <v>448.69</v>
      </c>
      <c r="AQ15" s="33">
        <f>IF(AQ$8&gt;='1_PANEL_CONTROL'!$D$39, '1_PANEL_CONTROL'!$F$33, 0)</f>
        <v>448.69</v>
      </c>
      <c r="AR15" s="33">
        <f>IF(AR$8&gt;='1_PANEL_CONTROL'!$D$39, '1_PANEL_CONTROL'!$F$33, 0)</f>
        <v>448.69</v>
      </c>
      <c r="AS15" s="33">
        <f>IF(AS$8&gt;='1_PANEL_CONTROL'!$D$39, '1_PANEL_CONTROL'!$F$33, 0)</f>
        <v>448.69</v>
      </c>
      <c r="AT15" s="33">
        <f>IF(AT$8&gt;='1_PANEL_CONTROL'!$D$39, '1_PANEL_CONTROL'!$F$33, 0)</f>
        <v>448.69</v>
      </c>
      <c r="AU15" s="33">
        <f>IF(AU$8&gt;='1_PANEL_CONTROL'!$D$39, '1_PANEL_CONTROL'!$F$33, 0)</f>
        <v>448.69</v>
      </c>
      <c r="AV15" s="33">
        <f>IF(AV$8&gt;='1_PANEL_CONTROL'!$D$39, '1_PANEL_CONTROL'!$F$33, 0)</f>
        <v>448.69</v>
      </c>
      <c r="AW15" s="33">
        <f>IF(AW$8&gt;='1_PANEL_CONTROL'!$D$39, '1_PANEL_CONTROL'!$F$33, 0)</f>
        <v>448.69</v>
      </c>
      <c r="AX15" s="33">
        <f>IF(AX$8&gt;='1_PANEL_CONTROL'!$D$39, '1_PANEL_CONTROL'!$F$33, 0)</f>
        <v>448.69</v>
      </c>
      <c r="AY15" s="33">
        <f>IF(AY$8&gt;='1_PANEL_CONTROL'!$D$39, '1_PANEL_CONTROL'!$F$33, 0)</f>
        <v>448.69</v>
      </c>
      <c r="AZ15" s="33">
        <f>IF(AZ$8&gt;='1_PANEL_CONTROL'!$D$39, '1_PANEL_CONTROL'!$F$33, 0)</f>
        <v>448.69</v>
      </c>
      <c r="BA15" s="33">
        <f>IF(BA$8&gt;='1_PANEL_CONTROL'!$D$39, '1_PANEL_CONTROL'!$F$33, 0)</f>
        <v>448.69</v>
      </c>
      <c r="BB15" s="33">
        <f>IF(BB$8&gt;='1_PANEL_CONTROL'!$D$39, '1_PANEL_CONTROL'!$F$33, 0)</f>
        <v>448.69</v>
      </c>
      <c r="BC15" s="33">
        <f>IF(BC$8&gt;='1_PANEL_CONTROL'!$D$39, '1_PANEL_CONTROL'!$F$33, 0)</f>
        <v>448.69</v>
      </c>
      <c r="BD15" s="33">
        <f>IF(BD$8&gt;='1_PANEL_CONTROL'!$D$39, '1_PANEL_CONTROL'!$F$33, 0)</f>
        <v>448.69</v>
      </c>
      <c r="BE15" s="33">
        <f>IF(BE$8&gt;='1_PANEL_CONTROL'!$D$39, '1_PANEL_CONTROL'!$F$33, 0)</f>
        <v>448.69</v>
      </c>
      <c r="BF15" s="33">
        <f>IF(BF$8&gt;='1_PANEL_CONTROL'!$D$39, '1_PANEL_CONTROL'!$F$33, 0)</f>
        <v>448.69</v>
      </c>
      <c r="BG15" s="33">
        <f>IF(BG$8&gt;='1_PANEL_CONTROL'!$D$39, '1_PANEL_CONTROL'!$F$33, 0)</f>
        <v>448.69</v>
      </c>
      <c r="BH15" s="33">
        <f>IF(BH$8&gt;='1_PANEL_CONTROL'!$D$39, '1_PANEL_CONTROL'!$F$33, 0)</f>
        <v>448.69</v>
      </c>
      <c r="BI15" s="33">
        <f>IF(BI$8&gt;='1_PANEL_CONTROL'!$D$39, '1_PANEL_CONTROL'!$F$33, 0)</f>
        <v>448.69</v>
      </c>
      <c r="BJ15" s="33">
        <f>IF(BJ$8&gt;='1_PANEL_CONTROL'!$D$39, '1_PANEL_CONTROL'!$F$33, 0)</f>
        <v>448.69</v>
      </c>
      <c r="BK15" s="33">
        <f>IF(BK$8&gt;='1_PANEL_CONTROL'!$D$39, '1_PANEL_CONTROL'!$F$33, 0)</f>
        <v>448.69</v>
      </c>
      <c r="BL15" s="33">
        <f>IF(BL$8&gt;='1_PANEL_CONTROL'!$D$39, '1_PANEL_CONTROL'!$F$33, 0)</f>
        <v>448.69</v>
      </c>
      <c r="BM15" s="33">
        <f>IF(BM$8&gt;='1_PANEL_CONTROL'!$D$39, '1_PANEL_CONTROL'!$F$33, 0)</f>
        <v>448.69</v>
      </c>
      <c r="BN15" s="33">
        <f>IF(BN$8&gt;='1_PANEL_CONTROL'!$D$39, '1_PANEL_CONTROL'!$F$33, 0)</f>
        <v>448.69</v>
      </c>
      <c r="BO15" s="33">
        <f>IF(BO$8&gt;='1_PANEL_CONTROL'!$D$39, '1_PANEL_CONTROL'!$F$33, 0)</f>
        <v>448.69</v>
      </c>
      <c r="BP15" s="33">
        <f>IF(BP$8&gt;='1_PANEL_CONTROL'!$D$39, '1_PANEL_CONTROL'!$F$33, 0)</f>
        <v>448.69</v>
      </c>
      <c r="BQ15" s="33">
        <f>IF(BQ$8&gt;='1_PANEL_CONTROL'!$D$39, '1_PANEL_CONTROL'!$F$33, 0)</f>
        <v>448.69</v>
      </c>
      <c r="BR15" s="33">
        <f>IF(BR$8&gt;='1_PANEL_CONTROL'!$D$39, '1_PANEL_CONTROL'!$F$33, 0)</f>
        <v>448.69</v>
      </c>
      <c r="BS15" s="33">
        <f>IF(BS$8&gt;='1_PANEL_CONTROL'!$D$39, '1_PANEL_CONTROL'!$F$33, 0)</f>
        <v>448.69</v>
      </c>
      <c r="BT15" s="33">
        <f>IF(BT$8&gt;='1_PANEL_CONTROL'!$D$39, '1_PANEL_CONTROL'!$F$33, 0)</f>
        <v>448.69</v>
      </c>
      <c r="BU15" s="33">
        <f>IF(BU$8&gt;='1_PANEL_CONTROL'!$D$39, '1_PANEL_CONTROL'!$F$33, 0)</f>
        <v>448.69</v>
      </c>
      <c r="BV15" s="33">
        <f>IF(BV$8&gt;='1_PANEL_CONTROL'!$D$39, '1_PANEL_CONTROL'!$F$33, 0)</f>
        <v>448.69</v>
      </c>
      <c r="BW15" s="33">
        <f>IF(BW$8&gt;='1_PANEL_CONTROL'!$D$39, '1_PANEL_CONTROL'!$F$33, 0)</f>
        <v>448.69</v>
      </c>
      <c r="BX15" s="33">
        <f>IF(BX$8&gt;='1_PANEL_CONTROL'!$D$39, '1_PANEL_CONTROL'!$F$33, 0)</f>
        <v>448.69</v>
      </c>
      <c r="BY15" s="33">
        <f>IF(BY$8&gt;='1_PANEL_CONTROL'!$D$39, '1_PANEL_CONTROL'!$F$33, 0)</f>
        <v>448.69</v>
      </c>
      <c r="BZ15" s="33">
        <f>IF(BZ$8&gt;='1_PANEL_CONTROL'!$D$39, '1_PANEL_CONTROL'!$F$33, 0)</f>
        <v>448.69</v>
      </c>
      <c r="CA15" s="33">
        <f>IF(CA$8&gt;='1_PANEL_CONTROL'!$D$39, '1_PANEL_CONTROL'!$F$33, 0)</f>
        <v>448.69</v>
      </c>
      <c r="CB15" s="33">
        <f>IF(CB$8&gt;='1_PANEL_CONTROL'!$D$39, '1_PANEL_CONTROL'!$F$33, 0)</f>
        <v>448.69</v>
      </c>
      <c r="CC15" s="33">
        <f>IF(CC$8&gt;='1_PANEL_CONTROL'!$D$39, '1_PANEL_CONTROL'!$F$33, 0)</f>
        <v>448.69</v>
      </c>
      <c r="CD15" s="33">
        <f>IF(CD$8&gt;='1_PANEL_CONTROL'!$D$39, '1_PANEL_CONTROL'!$F$33, 0)</f>
        <v>448.69</v>
      </c>
      <c r="CE15" s="33">
        <f>IF(CE$8&gt;='1_PANEL_CONTROL'!$D$39, '1_PANEL_CONTROL'!$F$33, 0)</f>
        <v>448.69</v>
      </c>
      <c r="CF15" s="33">
        <f>IF(CF$8&gt;='1_PANEL_CONTROL'!$D$39, '1_PANEL_CONTROL'!$F$33, 0)</f>
        <v>448.69</v>
      </c>
      <c r="CG15" s="33">
        <f>IF(CG$8&gt;='1_PANEL_CONTROL'!$D$39, '1_PANEL_CONTROL'!$F$33, 0)</f>
        <v>448.69</v>
      </c>
      <c r="CH15" s="33">
        <f>IF(CH$8&gt;='1_PANEL_CONTROL'!$D$39, '1_PANEL_CONTROL'!$F$33, 0)</f>
        <v>448.69</v>
      </c>
      <c r="CI15" s="33">
        <f>IF(CI$8&gt;='1_PANEL_CONTROL'!$D$39, '1_PANEL_CONTROL'!$F$33, 0)</f>
        <v>448.69</v>
      </c>
    </row>
    <row r="16" spans="1:87" ht="16">
      <c r="A16" s="6" t="s">
        <v>588</v>
      </c>
      <c r="B16" s="30" t="s">
        <v>465</v>
      </c>
      <c r="C16" s="15"/>
      <c r="D16" s="33">
        <v>0</v>
      </c>
      <c r="E16" s="33">
        <v>0</v>
      </c>
      <c r="F16" s="33">
        <v>0</v>
      </c>
      <c r="G16" s="33">
        <v>0</v>
      </c>
      <c r="H16" s="33">
        <v>0</v>
      </c>
      <c r="I16" s="33">
        <v>0</v>
      </c>
      <c r="J16" s="33">
        <v>0</v>
      </c>
      <c r="K16" s="33">
        <v>0</v>
      </c>
      <c r="L16" s="33">
        <v>0</v>
      </c>
      <c r="M16" s="33">
        <v>0</v>
      </c>
      <c r="N16" s="33">
        <v>0</v>
      </c>
      <c r="O16" s="33">
        <v>0</v>
      </c>
      <c r="P16" s="33">
        <v>0</v>
      </c>
      <c r="Q16" s="33">
        <v>0</v>
      </c>
      <c r="R16" s="33">
        <v>0</v>
      </c>
      <c r="S16" s="33">
        <v>0</v>
      </c>
      <c r="T16" s="33">
        <v>0</v>
      </c>
      <c r="U16" s="33">
        <v>0</v>
      </c>
      <c r="V16" s="33">
        <v>0</v>
      </c>
      <c r="W16" s="33">
        <v>0</v>
      </c>
      <c r="X16" s="33">
        <v>0</v>
      </c>
      <c r="Y16" s="33">
        <v>0</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0</v>
      </c>
      <c r="AV16" s="33">
        <v>0</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0</v>
      </c>
      <c r="BQ16" s="33">
        <v>0</v>
      </c>
      <c r="BR16" s="33">
        <v>0</v>
      </c>
      <c r="BS16" s="33">
        <v>0</v>
      </c>
      <c r="BT16" s="33">
        <v>0</v>
      </c>
      <c r="BU16" s="33">
        <v>0</v>
      </c>
      <c r="BV16" s="33">
        <v>0</v>
      </c>
      <c r="BW16" s="33">
        <v>0</v>
      </c>
      <c r="BX16" s="33">
        <v>0</v>
      </c>
      <c r="BY16" s="33">
        <v>0</v>
      </c>
      <c r="BZ16" s="33">
        <v>0</v>
      </c>
      <c r="CA16" s="33">
        <v>0</v>
      </c>
      <c r="CB16" s="33">
        <v>0</v>
      </c>
      <c r="CC16" s="33">
        <v>0</v>
      </c>
      <c r="CD16" s="33">
        <v>0</v>
      </c>
      <c r="CE16" s="33">
        <v>0</v>
      </c>
      <c r="CF16" s="33">
        <v>0</v>
      </c>
      <c r="CG16" s="33">
        <v>0</v>
      </c>
      <c r="CH16" s="33">
        <v>0</v>
      </c>
      <c r="CI16" s="33">
        <v>0</v>
      </c>
    </row>
    <row r="17" spans="1:87" ht="16">
      <c r="A17" s="6" t="s">
        <v>589</v>
      </c>
      <c r="B17" s="30" t="s">
        <v>465</v>
      </c>
      <c r="C17" s="15"/>
      <c r="D17" s="33">
        <f>D12*'1_PANEL_CONTROL'!$E$39</f>
        <v>225</v>
      </c>
      <c r="E17" s="33">
        <f>E12*'1_PANEL_CONTROL'!$E$39</f>
        <v>225</v>
      </c>
      <c r="F17" s="33">
        <f>F12*'1_PANEL_CONTROL'!$E$39</f>
        <v>225</v>
      </c>
      <c r="G17" s="33">
        <f>G12*'1_PANEL_CONTROL'!$E$39</f>
        <v>225</v>
      </c>
      <c r="H17" s="33">
        <f>H12*'1_PANEL_CONTROL'!$E$39</f>
        <v>225</v>
      </c>
      <c r="I17" s="33">
        <f>I12*'1_PANEL_CONTROL'!$E$39</f>
        <v>225</v>
      </c>
      <c r="J17" s="33">
        <f>J12*'1_PANEL_CONTROL'!$E$39</f>
        <v>225</v>
      </c>
      <c r="K17" s="33">
        <f>K12*'1_PANEL_CONTROL'!$E$39</f>
        <v>225</v>
      </c>
      <c r="L17" s="33">
        <f>L12*'1_PANEL_CONTROL'!$E$39</f>
        <v>225</v>
      </c>
      <c r="M17" s="33">
        <f>M12*'1_PANEL_CONTROL'!$E$39</f>
        <v>225</v>
      </c>
      <c r="N17" s="33">
        <f>N12*'1_PANEL_CONTROL'!$E$39</f>
        <v>225</v>
      </c>
      <c r="O17" s="33">
        <f>O12*'1_PANEL_CONTROL'!$E$39</f>
        <v>225</v>
      </c>
      <c r="P17" s="33">
        <f>P12*'1_PANEL_CONTROL'!$E$39</f>
        <v>450</v>
      </c>
      <c r="Q17" s="33">
        <f>Q12*'1_PANEL_CONTROL'!$E$39</f>
        <v>450</v>
      </c>
      <c r="R17" s="33">
        <f>R12*'1_PANEL_CONTROL'!$E$39</f>
        <v>450</v>
      </c>
      <c r="S17" s="33">
        <f>S12*'1_PANEL_CONTROL'!$E$39</f>
        <v>450</v>
      </c>
      <c r="T17" s="33">
        <f>T12*'1_PANEL_CONTROL'!$E$39</f>
        <v>450</v>
      </c>
      <c r="U17" s="33">
        <f>U12*'1_PANEL_CONTROL'!$E$39</f>
        <v>450</v>
      </c>
      <c r="V17" s="33">
        <f>V12*'1_PANEL_CONTROL'!$E$39</f>
        <v>450</v>
      </c>
      <c r="W17" s="33">
        <f>W12*'1_PANEL_CONTROL'!$E$39</f>
        <v>450</v>
      </c>
      <c r="X17" s="33">
        <f>X12*'1_PANEL_CONTROL'!$E$39</f>
        <v>450</v>
      </c>
      <c r="Y17" s="33">
        <f>Y12*'1_PANEL_CONTROL'!$E$39</f>
        <v>450</v>
      </c>
      <c r="Z17" s="33">
        <f>Z12*'1_PANEL_CONTROL'!$E$39</f>
        <v>450</v>
      </c>
      <c r="AA17" s="33">
        <f>AA12*'1_PANEL_CONTROL'!$E$39</f>
        <v>450</v>
      </c>
      <c r="AB17" s="33">
        <f>AB12*'1_PANEL_CONTROL'!$E$39</f>
        <v>600</v>
      </c>
      <c r="AC17" s="33">
        <f>AC12*'1_PANEL_CONTROL'!$E$39</f>
        <v>600</v>
      </c>
      <c r="AD17" s="33">
        <f>AD12*'1_PANEL_CONTROL'!$E$39</f>
        <v>600</v>
      </c>
      <c r="AE17" s="33">
        <f>AE12*'1_PANEL_CONTROL'!$E$39</f>
        <v>600</v>
      </c>
      <c r="AF17" s="33">
        <f>AF12*'1_PANEL_CONTROL'!$E$39</f>
        <v>600</v>
      </c>
      <c r="AG17" s="33">
        <f>AG12*'1_PANEL_CONTROL'!$E$39</f>
        <v>600</v>
      </c>
      <c r="AH17" s="33">
        <f>AH12*'1_PANEL_CONTROL'!$E$39</f>
        <v>600</v>
      </c>
      <c r="AI17" s="33">
        <f>AI12*'1_PANEL_CONTROL'!$E$39</f>
        <v>600</v>
      </c>
      <c r="AJ17" s="33">
        <f>AJ12*'1_PANEL_CONTROL'!$E$39</f>
        <v>600</v>
      </c>
      <c r="AK17" s="33">
        <f>AK12*'1_PANEL_CONTROL'!$E$39</f>
        <v>600</v>
      </c>
      <c r="AL17" s="33">
        <f>AL12*'1_PANEL_CONTROL'!$E$39</f>
        <v>600</v>
      </c>
      <c r="AM17" s="33">
        <f>AM12*'1_PANEL_CONTROL'!$E$39</f>
        <v>600</v>
      </c>
      <c r="AN17" s="33">
        <f>AN12*'1_PANEL_CONTROL'!$E$39</f>
        <v>600</v>
      </c>
      <c r="AO17" s="33">
        <f>AO12*'1_PANEL_CONTROL'!$E$39</f>
        <v>600</v>
      </c>
      <c r="AP17" s="33">
        <f>AP12*'1_PANEL_CONTROL'!$E$39</f>
        <v>600</v>
      </c>
      <c r="AQ17" s="33">
        <f>AQ12*'1_PANEL_CONTROL'!$E$39</f>
        <v>600</v>
      </c>
      <c r="AR17" s="33">
        <f>AR12*'1_PANEL_CONTROL'!$E$39</f>
        <v>600</v>
      </c>
      <c r="AS17" s="33">
        <f>AS12*'1_PANEL_CONTROL'!$E$39</f>
        <v>600</v>
      </c>
      <c r="AT17" s="33">
        <f>AT12*'1_PANEL_CONTROL'!$E$39</f>
        <v>600</v>
      </c>
      <c r="AU17" s="33">
        <f>AU12*'1_PANEL_CONTROL'!$E$39</f>
        <v>600</v>
      </c>
      <c r="AV17" s="33">
        <f>AV12*'1_PANEL_CONTROL'!$E$39</f>
        <v>600</v>
      </c>
      <c r="AW17" s="33">
        <f>AW12*'1_PANEL_CONTROL'!$E$39</f>
        <v>600</v>
      </c>
      <c r="AX17" s="33">
        <f>AX12*'1_PANEL_CONTROL'!$E$39</f>
        <v>600</v>
      </c>
      <c r="AY17" s="33">
        <f>AY12*'1_PANEL_CONTROL'!$E$39</f>
        <v>600</v>
      </c>
      <c r="AZ17" s="33">
        <f>AZ12*'1_PANEL_CONTROL'!$E$39</f>
        <v>600</v>
      </c>
      <c r="BA17" s="33">
        <f>BA12*'1_PANEL_CONTROL'!$E$39</f>
        <v>600</v>
      </c>
      <c r="BB17" s="33">
        <f>BB12*'1_PANEL_CONTROL'!$E$39</f>
        <v>600</v>
      </c>
      <c r="BC17" s="33">
        <f>BC12*'1_PANEL_CONTROL'!$E$39</f>
        <v>600</v>
      </c>
      <c r="BD17" s="33">
        <f>BD12*'1_PANEL_CONTROL'!$E$39</f>
        <v>600</v>
      </c>
      <c r="BE17" s="33">
        <f>BE12*'1_PANEL_CONTROL'!$E$39</f>
        <v>600</v>
      </c>
      <c r="BF17" s="33">
        <f>BF12*'1_PANEL_CONTROL'!$E$39</f>
        <v>600</v>
      </c>
      <c r="BG17" s="33">
        <f>BG12*'1_PANEL_CONTROL'!$E$39</f>
        <v>600</v>
      </c>
      <c r="BH17" s="33">
        <f>BH12*'1_PANEL_CONTROL'!$E$39</f>
        <v>600</v>
      </c>
      <c r="BI17" s="33">
        <f>BI12*'1_PANEL_CONTROL'!$E$39</f>
        <v>600</v>
      </c>
      <c r="BJ17" s="33">
        <f>BJ12*'1_PANEL_CONTROL'!$E$39</f>
        <v>600</v>
      </c>
      <c r="BK17" s="33">
        <f>BK12*'1_PANEL_CONTROL'!$E$39</f>
        <v>600</v>
      </c>
      <c r="BL17" s="33">
        <f>BL12*'1_PANEL_CONTROL'!$E$39</f>
        <v>600</v>
      </c>
      <c r="BM17" s="33">
        <f>BM12*'1_PANEL_CONTROL'!$E$39</f>
        <v>600</v>
      </c>
      <c r="BN17" s="33">
        <f>BN12*'1_PANEL_CONTROL'!$E$39</f>
        <v>600</v>
      </c>
      <c r="BO17" s="33">
        <f>BO12*'1_PANEL_CONTROL'!$E$39</f>
        <v>600</v>
      </c>
      <c r="BP17" s="33">
        <f>BP12*'1_PANEL_CONTROL'!$E$39</f>
        <v>600</v>
      </c>
      <c r="BQ17" s="33">
        <f>BQ12*'1_PANEL_CONTROL'!$E$39</f>
        <v>600</v>
      </c>
      <c r="BR17" s="33">
        <f>BR12*'1_PANEL_CONTROL'!$E$39</f>
        <v>600</v>
      </c>
      <c r="BS17" s="33">
        <f>BS12*'1_PANEL_CONTROL'!$E$39</f>
        <v>600</v>
      </c>
      <c r="BT17" s="33">
        <f>BT12*'1_PANEL_CONTROL'!$E$39</f>
        <v>600</v>
      </c>
      <c r="BU17" s="33">
        <f>BU12*'1_PANEL_CONTROL'!$E$39</f>
        <v>600</v>
      </c>
      <c r="BV17" s="33">
        <f>BV12*'1_PANEL_CONTROL'!$E$39</f>
        <v>600</v>
      </c>
      <c r="BW17" s="33">
        <f>BW12*'1_PANEL_CONTROL'!$E$39</f>
        <v>600</v>
      </c>
      <c r="BX17" s="33">
        <f>BX12*'1_PANEL_CONTROL'!$E$39</f>
        <v>600</v>
      </c>
      <c r="BY17" s="33">
        <f>BY12*'1_PANEL_CONTROL'!$E$39</f>
        <v>600</v>
      </c>
      <c r="BZ17" s="33">
        <f>BZ12*'1_PANEL_CONTROL'!$E$39</f>
        <v>600</v>
      </c>
      <c r="CA17" s="33">
        <f>CA12*'1_PANEL_CONTROL'!$E$39</f>
        <v>600</v>
      </c>
      <c r="CB17" s="33">
        <f>CB12*'1_PANEL_CONTROL'!$E$39</f>
        <v>600</v>
      </c>
      <c r="CC17" s="33">
        <f>CC12*'1_PANEL_CONTROL'!$E$39</f>
        <v>600</v>
      </c>
      <c r="CD17" s="33">
        <f>CD12*'1_PANEL_CONTROL'!$E$39</f>
        <v>600</v>
      </c>
      <c r="CE17" s="33">
        <f>CE12*'1_PANEL_CONTROL'!$E$39</f>
        <v>600</v>
      </c>
      <c r="CF17" s="33">
        <f>CF12*'1_PANEL_CONTROL'!$E$39</f>
        <v>600</v>
      </c>
      <c r="CG17" s="33">
        <f>CG12*'1_PANEL_CONTROL'!$E$39</f>
        <v>600</v>
      </c>
      <c r="CH17" s="33">
        <f>CH12*'1_PANEL_CONTROL'!$E$39</f>
        <v>600</v>
      </c>
      <c r="CI17" s="33">
        <f>CI12*'1_PANEL_CONTROL'!$E$39</f>
        <v>600</v>
      </c>
    </row>
    <row r="18" spans="1:87" ht="16">
      <c r="A18" s="6" t="s">
        <v>590</v>
      </c>
      <c r="B18" s="30" t="s">
        <v>465</v>
      </c>
      <c r="C18" s="15"/>
      <c r="D18" s="33">
        <f t="shared" ref="D18:AI18" si="3">D12-D16-D17</f>
        <v>1275</v>
      </c>
      <c r="E18" s="33">
        <f t="shared" si="3"/>
        <v>1275</v>
      </c>
      <c r="F18" s="33">
        <f t="shared" si="3"/>
        <v>1275</v>
      </c>
      <c r="G18" s="33">
        <f t="shared" si="3"/>
        <v>1275</v>
      </c>
      <c r="H18" s="33">
        <f t="shared" si="3"/>
        <v>1275</v>
      </c>
      <c r="I18" s="33">
        <f t="shared" si="3"/>
        <v>1275</v>
      </c>
      <c r="J18" s="33">
        <f t="shared" si="3"/>
        <v>1275</v>
      </c>
      <c r="K18" s="33">
        <f t="shared" si="3"/>
        <v>1275</v>
      </c>
      <c r="L18" s="33">
        <f t="shared" si="3"/>
        <v>1275</v>
      </c>
      <c r="M18" s="33">
        <f t="shared" si="3"/>
        <v>1275</v>
      </c>
      <c r="N18" s="33">
        <f t="shared" si="3"/>
        <v>1275</v>
      </c>
      <c r="O18" s="33">
        <f t="shared" si="3"/>
        <v>1275</v>
      </c>
      <c r="P18" s="33">
        <f t="shared" si="3"/>
        <v>2550</v>
      </c>
      <c r="Q18" s="33">
        <f t="shared" si="3"/>
        <v>2550</v>
      </c>
      <c r="R18" s="33">
        <f t="shared" si="3"/>
        <v>2550</v>
      </c>
      <c r="S18" s="33">
        <f t="shared" si="3"/>
        <v>2550</v>
      </c>
      <c r="T18" s="33">
        <f t="shared" si="3"/>
        <v>2550</v>
      </c>
      <c r="U18" s="33">
        <f t="shared" si="3"/>
        <v>2550</v>
      </c>
      <c r="V18" s="33">
        <f t="shared" si="3"/>
        <v>2550</v>
      </c>
      <c r="W18" s="33">
        <f t="shared" si="3"/>
        <v>2550</v>
      </c>
      <c r="X18" s="33">
        <f t="shared" si="3"/>
        <v>2550</v>
      </c>
      <c r="Y18" s="33">
        <f t="shared" si="3"/>
        <v>2550</v>
      </c>
      <c r="Z18" s="33">
        <f t="shared" si="3"/>
        <v>2550</v>
      </c>
      <c r="AA18" s="33">
        <f t="shared" si="3"/>
        <v>2550</v>
      </c>
      <c r="AB18" s="33">
        <f t="shared" si="3"/>
        <v>3400</v>
      </c>
      <c r="AC18" s="33">
        <f t="shared" si="3"/>
        <v>3400</v>
      </c>
      <c r="AD18" s="33">
        <f t="shared" si="3"/>
        <v>3400</v>
      </c>
      <c r="AE18" s="33">
        <f t="shared" si="3"/>
        <v>3400</v>
      </c>
      <c r="AF18" s="33">
        <f t="shared" si="3"/>
        <v>3400</v>
      </c>
      <c r="AG18" s="33">
        <f t="shared" si="3"/>
        <v>3400</v>
      </c>
      <c r="AH18" s="33">
        <f t="shared" si="3"/>
        <v>3400</v>
      </c>
      <c r="AI18" s="33">
        <f t="shared" si="3"/>
        <v>3400</v>
      </c>
      <c r="AJ18" s="33">
        <f t="shared" ref="AJ18:BO18" si="4">AJ12-AJ16-AJ17</f>
        <v>3400</v>
      </c>
      <c r="AK18" s="33">
        <f t="shared" si="4"/>
        <v>3400</v>
      </c>
      <c r="AL18" s="33">
        <f t="shared" si="4"/>
        <v>3400</v>
      </c>
      <c r="AM18" s="33">
        <f t="shared" si="4"/>
        <v>3400</v>
      </c>
      <c r="AN18" s="33">
        <f t="shared" si="4"/>
        <v>3400</v>
      </c>
      <c r="AO18" s="33">
        <f t="shared" si="4"/>
        <v>3400</v>
      </c>
      <c r="AP18" s="33">
        <f t="shared" si="4"/>
        <v>3400</v>
      </c>
      <c r="AQ18" s="33">
        <f t="shared" si="4"/>
        <v>3400</v>
      </c>
      <c r="AR18" s="33">
        <f t="shared" si="4"/>
        <v>3400</v>
      </c>
      <c r="AS18" s="33">
        <f t="shared" si="4"/>
        <v>3400</v>
      </c>
      <c r="AT18" s="33">
        <f t="shared" si="4"/>
        <v>3400</v>
      </c>
      <c r="AU18" s="33">
        <f t="shared" si="4"/>
        <v>3400</v>
      </c>
      <c r="AV18" s="33">
        <f t="shared" si="4"/>
        <v>3400</v>
      </c>
      <c r="AW18" s="33">
        <f t="shared" si="4"/>
        <v>3400</v>
      </c>
      <c r="AX18" s="33">
        <f t="shared" si="4"/>
        <v>3400</v>
      </c>
      <c r="AY18" s="33">
        <f t="shared" si="4"/>
        <v>3400</v>
      </c>
      <c r="AZ18" s="33">
        <f t="shared" si="4"/>
        <v>3400</v>
      </c>
      <c r="BA18" s="33">
        <f t="shared" si="4"/>
        <v>3400</v>
      </c>
      <c r="BB18" s="33">
        <f t="shared" si="4"/>
        <v>3400</v>
      </c>
      <c r="BC18" s="33">
        <f t="shared" si="4"/>
        <v>3400</v>
      </c>
      <c r="BD18" s="33">
        <f t="shared" si="4"/>
        <v>3400</v>
      </c>
      <c r="BE18" s="33">
        <f t="shared" si="4"/>
        <v>3400</v>
      </c>
      <c r="BF18" s="33">
        <f t="shared" si="4"/>
        <v>3400</v>
      </c>
      <c r="BG18" s="33">
        <f t="shared" si="4"/>
        <v>3400</v>
      </c>
      <c r="BH18" s="33">
        <f t="shared" si="4"/>
        <v>3400</v>
      </c>
      <c r="BI18" s="33">
        <f t="shared" si="4"/>
        <v>3400</v>
      </c>
      <c r="BJ18" s="33">
        <f t="shared" si="4"/>
        <v>3400</v>
      </c>
      <c r="BK18" s="33">
        <f t="shared" si="4"/>
        <v>3400</v>
      </c>
      <c r="BL18" s="33">
        <f t="shared" si="4"/>
        <v>3400</v>
      </c>
      <c r="BM18" s="33">
        <f t="shared" si="4"/>
        <v>3400</v>
      </c>
      <c r="BN18" s="33">
        <f t="shared" si="4"/>
        <v>3400</v>
      </c>
      <c r="BO18" s="33">
        <f t="shared" si="4"/>
        <v>3400</v>
      </c>
      <c r="BP18" s="33">
        <f t="shared" ref="BP18:CU18" si="5">BP12-BP16-BP17</f>
        <v>3400</v>
      </c>
      <c r="BQ18" s="33">
        <f t="shared" si="5"/>
        <v>3400</v>
      </c>
      <c r="BR18" s="33">
        <f t="shared" si="5"/>
        <v>3400</v>
      </c>
      <c r="BS18" s="33">
        <f t="shared" si="5"/>
        <v>3400</v>
      </c>
      <c r="BT18" s="33">
        <f t="shared" si="5"/>
        <v>3400</v>
      </c>
      <c r="BU18" s="33">
        <f t="shared" si="5"/>
        <v>3400</v>
      </c>
      <c r="BV18" s="33">
        <f t="shared" si="5"/>
        <v>3400</v>
      </c>
      <c r="BW18" s="33">
        <f t="shared" si="5"/>
        <v>3400</v>
      </c>
      <c r="BX18" s="33">
        <f t="shared" si="5"/>
        <v>3400</v>
      </c>
      <c r="BY18" s="33">
        <f t="shared" si="5"/>
        <v>3400</v>
      </c>
      <c r="BZ18" s="33">
        <f t="shared" si="5"/>
        <v>3400</v>
      </c>
      <c r="CA18" s="33">
        <f t="shared" si="5"/>
        <v>3400</v>
      </c>
      <c r="CB18" s="33">
        <f t="shared" si="5"/>
        <v>3400</v>
      </c>
      <c r="CC18" s="33">
        <f t="shared" si="5"/>
        <v>3400</v>
      </c>
      <c r="CD18" s="33">
        <f t="shared" si="5"/>
        <v>3400</v>
      </c>
      <c r="CE18" s="33">
        <f t="shared" si="5"/>
        <v>3400</v>
      </c>
      <c r="CF18" s="33">
        <f t="shared" si="5"/>
        <v>3400</v>
      </c>
      <c r="CG18" s="33">
        <f t="shared" si="5"/>
        <v>3400</v>
      </c>
      <c r="CH18" s="33">
        <f t="shared" si="5"/>
        <v>3400</v>
      </c>
      <c r="CI18" s="33">
        <f t="shared" si="5"/>
        <v>3400</v>
      </c>
    </row>
    <row r="19" spans="1:87" ht="16">
      <c r="A19" s="5" t="s">
        <v>591</v>
      </c>
      <c r="B19" s="30" t="s">
        <v>465</v>
      </c>
      <c r="C19" s="15"/>
      <c r="D19" s="36">
        <f t="shared" ref="D19:AI19" si="6">D12+D15</f>
        <v>1948.69</v>
      </c>
      <c r="E19" s="36">
        <f t="shared" si="6"/>
        <v>1948.69</v>
      </c>
      <c r="F19" s="36">
        <f t="shared" si="6"/>
        <v>1948.69</v>
      </c>
      <c r="G19" s="36">
        <f t="shared" si="6"/>
        <v>1948.69</v>
      </c>
      <c r="H19" s="36">
        <f t="shared" si="6"/>
        <v>1948.69</v>
      </c>
      <c r="I19" s="36">
        <f t="shared" si="6"/>
        <v>1948.69</v>
      </c>
      <c r="J19" s="36">
        <f t="shared" si="6"/>
        <v>1948.69</v>
      </c>
      <c r="K19" s="36">
        <f t="shared" si="6"/>
        <v>1948.69</v>
      </c>
      <c r="L19" s="36">
        <f t="shared" si="6"/>
        <v>1948.69</v>
      </c>
      <c r="M19" s="36">
        <f t="shared" si="6"/>
        <v>1948.69</v>
      </c>
      <c r="N19" s="36">
        <f t="shared" si="6"/>
        <v>1948.69</v>
      </c>
      <c r="O19" s="36">
        <f t="shared" si="6"/>
        <v>1948.69</v>
      </c>
      <c r="P19" s="36">
        <f t="shared" si="6"/>
        <v>3448.69</v>
      </c>
      <c r="Q19" s="36">
        <f t="shared" si="6"/>
        <v>3448.69</v>
      </c>
      <c r="R19" s="36">
        <f t="shared" si="6"/>
        <v>3448.69</v>
      </c>
      <c r="S19" s="36">
        <f t="shared" si="6"/>
        <v>3448.69</v>
      </c>
      <c r="T19" s="36">
        <f t="shared" si="6"/>
        <v>3448.69</v>
      </c>
      <c r="U19" s="36">
        <f t="shared" si="6"/>
        <v>3448.69</v>
      </c>
      <c r="V19" s="36">
        <f t="shared" si="6"/>
        <v>3448.69</v>
      </c>
      <c r="W19" s="36">
        <f t="shared" si="6"/>
        <v>3448.69</v>
      </c>
      <c r="X19" s="36">
        <f t="shared" si="6"/>
        <v>3448.69</v>
      </c>
      <c r="Y19" s="36">
        <f t="shared" si="6"/>
        <v>3448.69</v>
      </c>
      <c r="Z19" s="36">
        <f t="shared" si="6"/>
        <v>3448.69</v>
      </c>
      <c r="AA19" s="36">
        <f t="shared" si="6"/>
        <v>3448.69</v>
      </c>
      <c r="AB19" s="36">
        <f t="shared" si="6"/>
        <v>4448.6899999999996</v>
      </c>
      <c r="AC19" s="36">
        <f t="shared" si="6"/>
        <v>4448.6899999999996</v>
      </c>
      <c r="AD19" s="36">
        <f t="shared" si="6"/>
        <v>4448.6899999999996</v>
      </c>
      <c r="AE19" s="36">
        <f t="shared" si="6"/>
        <v>4448.6899999999996</v>
      </c>
      <c r="AF19" s="36">
        <f t="shared" si="6"/>
        <v>4448.6899999999996</v>
      </c>
      <c r="AG19" s="36">
        <f t="shared" si="6"/>
        <v>4448.6899999999996</v>
      </c>
      <c r="AH19" s="36">
        <f t="shared" si="6"/>
        <v>4448.6899999999996</v>
      </c>
      <c r="AI19" s="36">
        <f t="shared" si="6"/>
        <v>4448.6899999999996</v>
      </c>
      <c r="AJ19" s="36">
        <f t="shared" ref="AJ19:BO19" si="7">AJ12+AJ15</f>
        <v>4448.6899999999996</v>
      </c>
      <c r="AK19" s="36">
        <f t="shared" si="7"/>
        <v>4448.6899999999996</v>
      </c>
      <c r="AL19" s="36">
        <f t="shared" si="7"/>
        <v>4448.6899999999996</v>
      </c>
      <c r="AM19" s="36">
        <f t="shared" si="7"/>
        <v>4448.6899999999996</v>
      </c>
      <c r="AN19" s="36">
        <f t="shared" si="7"/>
        <v>4448.6899999999996</v>
      </c>
      <c r="AO19" s="36">
        <f t="shared" si="7"/>
        <v>4448.6899999999996</v>
      </c>
      <c r="AP19" s="36">
        <f t="shared" si="7"/>
        <v>4448.6899999999996</v>
      </c>
      <c r="AQ19" s="36">
        <f t="shared" si="7"/>
        <v>4448.6899999999996</v>
      </c>
      <c r="AR19" s="36">
        <f t="shared" si="7"/>
        <v>4448.6899999999996</v>
      </c>
      <c r="AS19" s="36">
        <f t="shared" si="7"/>
        <v>4448.6899999999996</v>
      </c>
      <c r="AT19" s="36">
        <f t="shared" si="7"/>
        <v>4448.6899999999996</v>
      </c>
      <c r="AU19" s="36">
        <f t="shared" si="7"/>
        <v>4448.6899999999996</v>
      </c>
      <c r="AV19" s="36">
        <f t="shared" si="7"/>
        <v>4448.6899999999996</v>
      </c>
      <c r="AW19" s="36">
        <f t="shared" si="7"/>
        <v>4448.6899999999996</v>
      </c>
      <c r="AX19" s="36">
        <f t="shared" si="7"/>
        <v>4448.6899999999996</v>
      </c>
      <c r="AY19" s="36">
        <f t="shared" si="7"/>
        <v>4448.6899999999996</v>
      </c>
      <c r="AZ19" s="36">
        <f t="shared" si="7"/>
        <v>4448.6899999999996</v>
      </c>
      <c r="BA19" s="36">
        <f t="shared" si="7"/>
        <v>4448.6899999999996</v>
      </c>
      <c r="BB19" s="36">
        <f t="shared" si="7"/>
        <v>4448.6899999999996</v>
      </c>
      <c r="BC19" s="36">
        <f t="shared" si="7"/>
        <v>4448.6899999999996</v>
      </c>
      <c r="BD19" s="36">
        <f t="shared" si="7"/>
        <v>4448.6899999999996</v>
      </c>
      <c r="BE19" s="36">
        <f t="shared" si="7"/>
        <v>4448.6899999999996</v>
      </c>
      <c r="BF19" s="36">
        <f t="shared" si="7"/>
        <v>4448.6899999999996</v>
      </c>
      <c r="BG19" s="36">
        <f t="shared" si="7"/>
        <v>4448.6899999999996</v>
      </c>
      <c r="BH19" s="36">
        <f t="shared" si="7"/>
        <v>4448.6899999999996</v>
      </c>
      <c r="BI19" s="36">
        <f t="shared" si="7"/>
        <v>4448.6899999999996</v>
      </c>
      <c r="BJ19" s="36">
        <f t="shared" si="7"/>
        <v>4448.6899999999996</v>
      </c>
      <c r="BK19" s="36">
        <f t="shared" si="7"/>
        <v>4448.6899999999996</v>
      </c>
      <c r="BL19" s="36">
        <f t="shared" si="7"/>
        <v>4448.6899999999996</v>
      </c>
      <c r="BM19" s="36">
        <f t="shared" si="7"/>
        <v>4448.6899999999996</v>
      </c>
      <c r="BN19" s="36">
        <f t="shared" si="7"/>
        <v>4448.6899999999996</v>
      </c>
      <c r="BO19" s="36">
        <f t="shared" si="7"/>
        <v>4448.6899999999996</v>
      </c>
      <c r="BP19" s="36">
        <f t="shared" ref="BP19:CI19" si="8">BP12+BP15</f>
        <v>4448.6899999999996</v>
      </c>
      <c r="BQ19" s="36">
        <f t="shared" si="8"/>
        <v>4448.6899999999996</v>
      </c>
      <c r="BR19" s="36">
        <f t="shared" si="8"/>
        <v>4448.6899999999996</v>
      </c>
      <c r="BS19" s="36">
        <f t="shared" si="8"/>
        <v>4448.6899999999996</v>
      </c>
      <c r="BT19" s="36">
        <f t="shared" si="8"/>
        <v>4448.6899999999996</v>
      </c>
      <c r="BU19" s="36">
        <f t="shared" si="8"/>
        <v>4448.6899999999996</v>
      </c>
      <c r="BV19" s="36">
        <f t="shared" si="8"/>
        <v>4448.6899999999996</v>
      </c>
      <c r="BW19" s="36">
        <f t="shared" si="8"/>
        <v>4448.6899999999996</v>
      </c>
      <c r="BX19" s="36">
        <f t="shared" si="8"/>
        <v>4448.6899999999996</v>
      </c>
      <c r="BY19" s="36">
        <f t="shared" si="8"/>
        <v>4448.6899999999996</v>
      </c>
      <c r="BZ19" s="36">
        <f t="shared" si="8"/>
        <v>4448.6899999999996</v>
      </c>
      <c r="CA19" s="36">
        <f t="shared" si="8"/>
        <v>4448.6899999999996</v>
      </c>
      <c r="CB19" s="36">
        <f t="shared" si="8"/>
        <v>4448.6899999999996</v>
      </c>
      <c r="CC19" s="36">
        <f t="shared" si="8"/>
        <v>4448.6899999999996</v>
      </c>
      <c r="CD19" s="36">
        <f t="shared" si="8"/>
        <v>4448.6899999999996</v>
      </c>
      <c r="CE19" s="36">
        <f t="shared" si="8"/>
        <v>4448.6899999999996</v>
      </c>
      <c r="CF19" s="36">
        <f t="shared" si="8"/>
        <v>4448.6899999999996</v>
      </c>
      <c r="CG19" s="36">
        <f t="shared" si="8"/>
        <v>4448.6899999999996</v>
      </c>
      <c r="CH19" s="36">
        <f t="shared" si="8"/>
        <v>4448.6899999999996</v>
      </c>
      <c r="CI19" s="36">
        <f t="shared" si="8"/>
        <v>4448.6899999999996</v>
      </c>
    </row>
    <row r="21" spans="1:87" ht="16.5">
      <c r="A21" s="6" t="s">
        <v>582</v>
      </c>
      <c r="B21" s="30" t="s">
        <v>465</v>
      </c>
      <c r="C21" s="44">
        <f>'1_PANEL_CONTROL'!$C$40</f>
        <v>18000</v>
      </c>
      <c r="D21" s="33">
        <f>IF(D$8&gt;='1_PANEL_CONTROL'!$D$40, IF(D$8&lt;=12, 18000, IF(D$8&lt;=24, 30000, 40000))/'1_PANEL_CONTROL'!$C$32, 0)</f>
        <v>1500</v>
      </c>
      <c r="E21" s="33">
        <f>IF(E$8&gt;='1_PANEL_CONTROL'!$D$40, IF(E$8&lt;=12, 18000, IF(E$8&lt;=24, 30000, 40000))/'1_PANEL_CONTROL'!$C$32, 0)</f>
        <v>1500</v>
      </c>
      <c r="F21" s="33">
        <f>IF(F$8&gt;='1_PANEL_CONTROL'!$D$40, IF(F$8&lt;=12, 18000, IF(F$8&lt;=24, 30000, 40000))/'1_PANEL_CONTROL'!$C$32, 0)</f>
        <v>1500</v>
      </c>
      <c r="G21" s="33">
        <f>IF(G$8&gt;='1_PANEL_CONTROL'!$D$40, IF(G$8&lt;=12, 18000, IF(G$8&lt;=24, 30000, 40000))/'1_PANEL_CONTROL'!$C$32, 0)</f>
        <v>1500</v>
      </c>
      <c r="H21" s="33">
        <f>IF(H$8&gt;='1_PANEL_CONTROL'!$D$40, IF(H$8&lt;=12, 18000, IF(H$8&lt;=24, 30000, 40000))/'1_PANEL_CONTROL'!$C$32, 0)</f>
        <v>1500</v>
      </c>
      <c r="I21" s="33">
        <f>IF(I$8&gt;='1_PANEL_CONTROL'!$D$40, IF(I$8&lt;=12, 18000, IF(I$8&lt;=24, 30000, 40000))/'1_PANEL_CONTROL'!$C$32, 0)</f>
        <v>1500</v>
      </c>
      <c r="J21" s="33">
        <f>IF(J$8&gt;='1_PANEL_CONTROL'!$D$40, IF(J$8&lt;=12, 18000, IF(J$8&lt;=24, 30000, 40000))/'1_PANEL_CONTROL'!$C$32, 0)</f>
        <v>1500</v>
      </c>
      <c r="K21" s="33">
        <f>IF(K$8&gt;='1_PANEL_CONTROL'!$D$40, IF(K$8&lt;=12, 18000, IF(K$8&lt;=24, 30000, 40000))/'1_PANEL_CONTROL'!$C$32, 0)</f>
        <v>1500</v>
      </c>
      <c r="L21" s="33">
        <f>IF(L$8&gt;='1_PANEL_CONTROL'!$D$40, IF(L$8&lt;=12, 18000, IF(L$8&lt;=24, 30000, 40000))/'1_PANEL_CONTROL'!$C$32, 0)</f>
        <v>1500</v>
      </c>
      <c r="M21" s="33">
        <f>IF(M$8&gt;='1_PANEL_CONTROL'!$D$40, IF(M$8&lt;=12, 18000, IF(M$8&lt;=24, 30000, 40000))/'1_PANEL_CONTROL'!$C$32, 0)</f>
        <v>1500</v>
      </c>
      <c r="N21" s="33">
        <f>IF(N$8&gt;='1_PANEL_CONTROL'!$D$40, IF(N$8&lt;=12, 18000, IF(N$8&lt;=24, 30000, 40000))/'1_PANEL_CONTROL'!$C$32, 0)</f>
        <v>1500</v>
      </c>
      <c r="O21" s="33">
        <f>IF(O$8&gt;='1_PANEL_CONTROL'!$D$40, IF(O$8&lt;=12, 18000, IF(O$8&lt;=24, 30000, 40000))/'1_PANEL_CONTROL'!$C$32, 0)</f>
        <v>1500</v>
      </c>
      <c r="P21" s="33">
        <f>IF(P$8&gt;='1_PANEL_CONTROL'!$D$40, IF(P$8&lt;=12, 18000, IF(P$8&lt;=24, 30000, 40000))/'1_PANEL_CONTROL'!$C$32, 0)</f>
        <v>2500</v>
      </c>
      <c r="Q21" s="33">
        <f>IF(Q$8&gt;='1_PANEL_CONTROL'!$D$40, IF(Q$8&lt;=12, 18000, IF(Q$8&lt;=24, 30000, 40000))/'1_PANEL_CONTROL'!$C$32, 0)</f>
        <v>2500</v>
      </c>
      <c r="R21" s="33">
        <f>IF(R$8&gt;='1_PANEL_CONTROL'!$D$40, IF(R$8&lt;=12, 18000, IF(R$8&lt;=24, 30000, 40000))/'1_PANEL_CONTROL'!$C$32, 0)</f>
        <v>2500</v>
      </c>
      <c r="S21" s="33">
        <f>IF(S$8&gt;='1_PANEL_CONTROL'!$D$40, IF(S$8&lt;=12, 18000, IF(S$8&lt;=24, 30000, 40000))/'1_PANEL_CONTROL'!$C$32, 0)</f>
        <v>2500</v>
      </c>
      <c r="T21" s="33">
        <f>IF(T$8&gt;='1_PANEL_CONTROL'!$D$40, IF(T$8&lt;=12, 18000, IF(T$8&lt;=24, 30000, 40000))/'1_PANEL_CONTROL'!$C$32, 0)</f>
        <v>2500</v>
      </c>
      <c r="U21" s="33">
        <f>IF(U$8&gt;='1_PANEL_CONTROL'!$D$40, IF(U$8&lt;=12, 18000, IF(U$8&lt;=24, 30000, 40000))/'1_PANEL_CONTROL'!$C$32, 0)</f>
        <v>2500</v>
      </c>
      <c r="V21" s="33">
        <f>IF(V$8&gt;='1_PANEL_CONTROL'!$D$40, IF(V$8&lt;=12, 18000, IF(V$8&lt;=24, 30000, 40000))/'1_PANEL_CONTROL'!$C$32, 0)</f>
        <v>2500</v>
      </c>
      <c r="W21" s="33">
        <f>IF(W$8&gt;='1_PANEL_CONTROL'!$D$40, IF(W$8&lt;=12, 18000, IF(W$8&lt;=24, 30000, 40000))/'1_PANEL_CONTROL'!$C$32, 0)</f>
        <v>2500</v>
      </c>
      <c r="X21" s="33">
        <f>IF(X$8&gt;='1_PANEL_CONTROL'!$D$40, IF(X$8&lt;=12, 18000, IF(X$8&lt;=24, 30000, 40000))/'1_PANEL_CONTROL'!$C$32, 0)</f>
        <v>2500</v>
      </c>
      <c r="Y21" s="33">
        <f>IF(Y$8&gt;='1_PANEL_CONTROL'!$D$40, IF(Y$8&lt;=12, 18000, IF(Y$8&lt;=24, 30000, 40000))/'1_PANEL_CONTROL'!$C$32, 0)</f>
        <v>2500</v>
      </c>
      <c r="Z21" s="33">
        <f>IF(Z$8&gt;='1_PANEL_CONTROL'!$D$40, IF(Z$8&lt;=12, 18000, IF(Z$8&lt;=24, 30000, 40000))/'1_PANEL_CONTROL'!$C$32, 0)</f>
        <v>2500</v>
      </c>
      <c r="AA21" s="33">
        <f>IF(AA$8&gt;='1_PANEL_CONTROL'!$D$40, IF(AA$8&lt;=12, 18000, IF(AA$8&lt;=24, 30000, 40000))/'1_PANEL_CONTROL'!$C$32, 0)</f>
        <v>2500</v>
      </c>
      <c r="AB21" s="33">
        <f>IF(AB$8&gt;='1_PANEL_CONTROL'!$D$40, IF(AB$8&lt;=12, 18000, IF(AB$8&lt;=24, 30000, 40000))/'1_PANEL_CONTROL'!$C$32, 0)</f>
        <v>3333.3333333333335</v>
      </c>
      <c r="AC21" s="33">
        <f>IF(AC$8&gt;='1_PANEL_CONTROL'!$D$40, IF(AC$8&lt;=12, 18000, IF(AC$8&lt;=24, 30000, 40000))/'1_PANEL_CONTROL'!$C$32, 0)</f>
        <v>3333.3333333333335</v>
      </c>
      <c r="AD21" s="33">
        <f>IF(AD$8&gt;='1_PANEL_CONTROL'!$D$40, IF(AD$8&lt;=12, 18000, IF(AD$8&lt;=24, 30000, 40000))/'1_PANEL_CONTROL'!$C$32, 0)</f>
        <v>3333.3333333333335</v>
      </c>
      <c r="AE21" s="33">
        <f>IF(AE$8&gt;='1_PANEL_CONTROL'!$D$40, IF(AE$8&lt;=12, 18000, IF(AE$8&lt;=24, 30000, 40000))/'1_PANEL_CONTROL'!$C$32, 0)</f>
        <v>3333.3333333333335</v>
      </c>
      <c r="AF21" s="33">
        <f>IF(AF$8&gt;='1_PANEL_CONTROL'!$D$40, IF(AF$8&lt;=12, 18000, IF(AF$8&lt;=24, 30000, 40000))/'1_PANEL_CONTROL'!$C$32, 0)</f>
        <v>3333.3333333333335</v>
      </c>
      <c r="AG21" s="33">
        <f>IF(AG$8&gt;='1_PANEL_CONTROL'!$D$40, IF(AG$8&lt;=12, 18000, IF(AG$8&lt;=24, 30000, 40000))/'1_PANEL_CONTROL'!$C$32, 0)</f>
        <v>3333.3333333333335</v>
      </c>
      <c r="AH21" s="33">
        <f>IF(AH$8&gt;='1_PANEL_CONTROL'!$D$40, IF(AH$8&lt;=12, 18000, IF(AH$8&lt;=24, 30000, 40000))/'1_PANEL_CONTROL'!$C$32, 0)</f>
        <v>3333.3333333333335</v>
      </c>
      <c r="AI21" s="33">
        <f>IF(AI$8&gt;='1_PANEL_CONTROL'!$D$40, IF(AI$8&lt;=12, 18000, IF(AI$8&lt;=24, 30000, 40000))/'1_PANEL_CONTROL'!$C$32, 0)</f>
        <v>3333.3333333333335</v>
      </c>
      <c r="AJ21" s="33">
        <f>IF(AJ$8&gt;='1_PANEL_CONTROL'!$D$40, IF(AJ$8&lt;=12, 18000, IF(AJ$8&lt;=24, 30000, 40000))/'1_PANEL_CONTROL'!$C$32, 0)</f>
        <v>3333.3333333333335</v>
      </c>
      <c r="AK21" s="33">
        <f>IF(AK$8&gt;='1_PANEL_CONTROL'!$D$40, IF(AK$8&lt;=12, 18000, IF(AK$8&lt;=24, 30000, 40000))/'1_PANEL_CONTROL'!$C$32, 0)</f>
        <v>3333.3333333333335</v>
      </c>
      <c r="AL21" s="33">
        <f>IF(AL$8&gt;='1_PANEL_CONTROL'!$D$40, IF(AL$8&lt;=12, 18000, IF(AL$8&lt;=24, 30000, 40000))/'1_PANEL_CONTROL'!$C$32, 0)</f>
        <v>3333.3333333333335</v>
      </c>
      <c r="AM21" s="33">
        <f>IF(AM$8&gt;='1_PANEL_CONTROL'!$D$40, IF(AM$8&lt;=12, 18000, IF(AM$8&lt;=24, 30000, 40000))/'1_PANEL_CONTROL'!$C$32, 0)</f>
        <v>3333.3333333333335</v>
      </c>
      <c r="AN21" s="33">
        <f>IF(AN$8&gt;='1_PANEL_CONTROL'!$D$40, IF(AN$8&lt;=12, 18000, IF(AN$8&lt;=24, 30000, 40000))/'1_PANEL_CONTROL'!$C$32, 0)</f>
        <v>3333.3333333333335</v>
      </c>
      <c r="AO21" s="33">
        <f>IF(AO$8&gt;='1_PANEL_CONTROL'!$D$40, IF(AO$8&lt;=12, 18000, IF(AO$8&lt;=24, 30000, 40000))/'1_PANEL_CONTROL'!$C$32, 0)</f>
        <v>3333.3333333333335</v>
      </c>
      <c r="AP21" s="33">
        <f>IF(AP$8&gt;='1_PANEL_CONTROL'!$D$40, IF(AP$8&lt;=12, 18000, IF(AP$8&lt;=24, 30000, 40000))/'1_PANEL_CONTROL'!$C$32, 0)</f>
        <v>3333.3333333333335</v>
      </c>
      <c r="AQ21" s="33">
        <f>IF(AQ$8&gt;='1_PANEL_CONTROL'!$D$40, IF(AQ$8&lt;=12, 18000, IF(AQ$8&lt;=24, 30000, 40000))/'1_PANEL_CONTROL'!$C$32, 0)</f>
        <v>3333.3333333333335</v>
      </c>
      <c r="AR21" s="33">
        <f>IF(AR$8&gt;='1_PANEL_CONTROL'!$D$40, IF(AR$8&lt;=12, 18000, IF(AR$8&lt;=24, 30000, 40000))/'1_PANEL_CONTROL'!$C$32, 0)</f>
        <v>3333.3333333333335</v>
      </c>
      <c r="AS21" s="33">
        <f>IF(AS$8&gt;='1_PANEL_CONTROL'!$D$40, IF(AS$8&lt;=12, 18000, IF(AS$8&lt;=24, 30000, 40000))/'1_PANEL_CONTROL'!$C$32, 0)</f>
        <v>3333.3333333333335</v>
      </c>
      <c r="AT21" s="33">
        <f>IF(AT$8&gt;='1_PANEL_CONTROL'!$D$40, IF(AT$8&lt;=12, 18000, IF(AT$8&lt;=24, 30000, 40000))/'1_PANEL_CONTROL'!$C$32, 0)</f>
        <v>3333.3333333333335</v>
      </c>
      <c r="AU21" s="33">
        <f>IF(AU$8&gt;='1_PANEL_CONTROL'!$D$40, IF(AU$8&lt;=12, 18000, IF(AU$8&lt;=24, 30000, 40000))/'1_PANEL_CONTROL'!$C$32, 0)</f>
        <v>3333.3333333333335</v>
      </c>
      <c r="AV21" s="33">
        <f>IF(AV$8&gt;='1_PANEL_CONTROL'!$D$40, IF(AV$8&lt;=12, 18000, IF(AV$8&lt;=24, 30000, 40000))/'1_PANEL_CONTROL'!$C$32, 0)</f>
        <v>3333.3333333333335</v>
      </c>
      <c r="AW21" s="33">
        <f>IF(AW$8&gt;='1_PANEL_CONTROL'!$D$40, IF(AW$8&lt;=12, 18000, IF(AW$8&lt;=24, 30000, 40000))/'1_PANEL_CONTROL'!$C$32, 0)</f>
        <v>3333.3333333333335</v>
      </c>
      <c r="AX21" s="33">
        <f>IF(AX$8&gt;='1_PANEL_CONTROL'!$D$40, IF(AX$8&lt;=12, 18000, IF(AX$8&lt;=24, 30000, 40000))/'1_PANEL_CONTROL'!$C$32, 0)</f>
        <v>3333.3333333333335</v>
      </c>
      <c r="AY21" s="33">
        <f>IF(AY$8&gt;='1_PANEL_CONTROL'!$D$40, IF(AY$8&lt;=12, 18000, IF(AY$8&lt;=24, 30000, 40000))/'1_PANEL_CONTROL'!$C$32, 0)</f>
        <v>3333.3333333333335</v>
      </c>
      <c r="AZ21" s="33">
        <f>IF(AZ$8&gt;='1_PANEL_CONTROL'!$D$40, IF(AZ$8&lt;=12, 18000, IF(AZ$8&lt;=24, 30000, 40000))/'1_PANEL_CONTROL'!$C$32, 0)</f>
        <v>3333.3333333333335</v>
      </c>
      <c r="BA21" s="33">
        <f>IF(BA$8&gt;='1_PANEL_CONTROL'!$D$40, IF(BA$8&lt;=12, 18000, IF(BA$8&lt;=24, 30000, 40000))/'1_PANEL_CONTROL'!$C$32, 0)</f>
        <v>3333.3333333333335</v>
      </c>
      <c r="BB21" s="33">
        <f>IF(BB$8&gt;='1_PANEL_CONTROL'!$D$40, IF(BB$8&lt;=12, 18000, IF(BB$8&lt;=24, 30000, 40000))/'1_PANEL_CONTROL'!$C$32, 0)</f>
        <v>3333.3333333333335</v>
      </c>
      <c r="BC21" s="33">
        <f>IF(BC$8&gt;='1_PANEL_CONTROL'!$D$40, IF(BC$8&lt;=12, 18000, IF(BC$8&lt;=24, 30000, 40000))/'1_PANEL_CONTROL'!$C$32, 0)</f>
        <v>3333.3333333333335</v>
      </c>
      <c r="BD21" s="33">
        <f>IF(BD$8&gt;='1_PANEL_CONTROL'!$D$40, IF(BD$8&lt;=12, 18000, IF(BD$8&lt;=24, 30000, 40000))/'1_PANEL_CONTROL'!$C$32, 0)</f>
        <v>3333.3333333333335</v>
      </c>
      <c r="BE21" s="33">
        <f>IF(BE$8&gt;='1_PANEL_CONTROL'!$D$40, IF(BE$8&lt;=12, 18000, IF(BE$8&lt;=24, 30000, 40000))/'1_PANEL_CONTROL'!$C$32, 0)</f>
        <v>3333.3333333333335</v>
      </c>
      <c r="BF21" s="33">
        <f>IF(BF$8&gt;='1_PANEL_CONTROL'!$D$40, IF(BF$8&lt;=12, 18000, IF(BF$8&lt;=24, 30000, 40000))/'1_PANEL_CONTROL'!$C$32, 0)</f>
        <v>3333.3333333333335</v>
      </c>
      <c r="BG21" s="33">
        <f>IF(BG$8&gt;='1_PANEL_CONTROL'!$D$40, IF(BG$8&lt;=12, 18000, IF(BG$8&lt;=24, 30000, 40000))/'1_PANEL_CONTROL'!$C$32, 0)</f>
        <v>3333.3333333333335</v>
      </c>
      <c r="BH21" s="33">
        <f>IF(BH$8&gt;='1_PANEL_CONTROL'!$D$40, IF(BH$8&lt;=12, 18000, IF(BH$8&lt;=24, 30000, 40000))/'1_PANEL_CONTROL'!$C$32, 0)</f>
        <v>3333.3333333333335</v>
      </c>
      <c r="BI21" s="33">
        <f>IF(BI$8&gt;='1_PANEL_CONTROL'!$D$40, IF(BI$8&lt;=12, 18000, IF(BI$8&lt;=24, 30000, 40000))/'1_PANEL_CONTROL'!$C$32, 0)</f>
        <v>3333.3333333333335</v>
      </c>
      <c r="BJ21" s="33">
        <f>IF(BJ$8&gt;='1_PANEL_CONTROL'!$D$40, IF(BJ$8&lt;=12, 18000, IF(BJ$8&lt;=24, 30000, 40000))/'1_PANEL_CONTROL'!$C$32, 0)</f>
        <v>3333.3333333333335</v>
      </c>
      <c r="BK21" s="33">
        <f>IF(BK$8&gt;='1_PANEL_CONTROL'!$D$40, IF(BK$8&lt;=12, 18000, IF(BK$8&lt;=24, 30000, 40000))/'1_PANEL_CONTROL'!$C$32, 0)</f>
        <v>3333.3333333333335</v>
      </c>
      <c r="BL21" s="33">
        <f>IF(BL$8&gt;='1_PANEL_CONTROL'!$D$40, IF(BL$8&lt;=12, 18000, IF(BL$8&lt;=24, 30000, 40000))/'1_PANEL_CONTROL'!$C$32, 0)</f>
        <v>3333.3333333333335</v>
      </c>
      <c r="BM21" s="33">
        <f>IF(BM$8&gt;='1_PANEL_CONTROL'!$D$40, IF(BM$8&lt;=12, 18000, IF(BM$8&lt;=24, 30000, 40000))/'1_PANEL_CONTROL'!$C$32, 0)</f>
        <v>3333.3333333333335</v>
      </c>
      <c r="BN21" s="33">
        <f>IF(BN$8&gt;='1_PANEL_CONTROL'!$D$40, IF(BN$8&lt;=12, 18000, IF(BN$8&lt;=24, 30000, 40000))/'1_PANEL_CONTROL'!$C$32, 0)</f>
        <v>3333.3333333333335</v>
      </c>
      <c r="BO21" s="33">
        <f>IF(BO$8&gt;='1_PANEL_CONTROL'!$D$40, IF(BO$8&lt;=12, 18000, IF(BO$8&lt;=24, 30000, 40000))/'1_PANEL_CONTROL'!$C$32, 0)</f>
        <v>3333.3333333333335</v>
      </c>
      <c r="BP21" s="33">
        <f>IF(BP$8&gt;='1_PANEL_CONTROL'!$D$40, IF(BP$8&lt;=12, 18000, IF(BP$8&lt;=24, 30000, 40000))/'1_PANEL_CONTROL'!$C$32, 0)</f>
        <v>3333.3333333333335</v>
      </c>
      <c r="BQ21" s="33">
        <f>IF(BQ$8&gt;='1_PANEL_CONTROL'!$D$40, IF(BQ$8&lt;=12, 18000, IF(BQ$8&lt;=24, 30000, 40000))/'1_PANEL_CONTROL'!$C$32, 0)</f>
        <v>3333.3333333333335</v>
      </c>
      <c r="BR21" s="33">
        <f>IF(BR$8&gt;='1_PANEL_CONTROL'!$D$40, IF(BR$8&lt;=12, 18000, IF(BR$8&lt;=24, 30000, 40000))/'1_PANEL_CONTROL'!$C$32, 0)</f>
        <v>3333.3333333333335</v>
      </c>
      <c r="BS21" s="33">
        <f>IF(BS$8&gt;='1_PANEL_CONTROL'!$D$40, IF(BS$8&lt;=12, 18000, IF(BS$8&lt;=24, 30000, 40000))/'1_PANEL_CONTROL'!$C$32, 0)</f>
        <v>3333.3333333333335</v>
      </c>
      <c r="BT21" s="33">
        <f>IF(BT$8&gt;='1_PANEL_CONTROL'!$D$40, IF(BT$8&lt;=12, 18000, IF(BT$8&lt;=24, 30000, 40000))/'1_PANEL_CONTROL'!$C$32, 0)</f>
        <v>3333.3333333333335</v>
      </c>
      <c r="BU21" s="33">
        <f>IF(BU$8&gt;='1_PANEL_CONTROL'!$D$40, IF(BU$8&lt;=12, 18000, IF(BU$8&lt;=24, 30000, 40000))/'1_PANEL_CONTROL'!$C$32, 0)</f>
        <v>3333.3333333333335</v>
      </c>
      <c r="BV21" s="33">
        <f>IF(BV$8&gt;='1_PANEL_CONTROL'!$D$40, IF(BV$8&lt;=12, 18000, IF(BV$8&lt;=24, 30000, 40000))/'1_PANEL_CONTROL'!$C$32, 0)</f>
        <v>3333.3333333333335</v>
      </c>
      <c r="BW21" s="33">
        <f>IF(BW$8&gt;='1_PANEL_CONTROL'!$D$40, IF(BW$8&lt;=12, 18000, IF(BW$8&lt;=24, 30000, 40000))/'1_PANEL_CONTROL'!$C$32, 0)</f>
        <v>3333.3333333333335</v>
      </c>
      <c r="BX21" s="33">
        <f>IF(BX$8&gt;='1_PANEL_CONTROL'!$D$40, IF(BX$8&lt;=12, 18000, IF(BX$8&lt;=24, 30000, 40000))/'1_PANEL_CONTROL'!$C$32, 0)</f>
        <v>3333.3333333333335</v>
      </c>
      <c r="BY21" s="33">
        <f>IF(BY$8&gt;='1_PANEL_CONTROL'!$D$40, IF(BY$8&lt;=12, 18000, IF(BY$8&lt;=24, 30000, 40000))/'1_PANEL_CONTROL'!$C$32, 0)</f>
        <v>3333.3333333333335</v>
      </c>
      <c r="BZ21" s="33">
        <f>IF(BZ$8&gt;='1_PANEL_CONTROL'!$D$40, IF(BZ$8&lt;=12, 18000, IF(BZ$8&lt;=24, 30000, 40000))/'1_PANEL_CONTROL'!$C$32, 0)</f>
        <v>3333.3333333333335</v>
      </c>
      <c r="CA21" s="33">
        <f>IF(CA$8&gt;='1_PANEL_CONTROL'!$D$40, IF(CA$8&lt;=12, 18000, IF(CA$8&lt;=24, 30000, 40000))/'1_PANEL_CONTROL'!$C$32, 0)</f>
        <v>3333.3333333333335</v>
      </c>
      <c r="CB21" s="33">
        <f>IF(CB$8&gt;='1_PANEL_CONTROL'!$D$40, IF(CB$8&lt;=12, 18000, IF(CB$8&lt;=24, 30000, 40000))/'1_PANEL_CONTROL'!$C$32, 0)</f>
        <v>3333.3333333333335</v>
      </c>
      <c r="CC21" s="33">
        <f>IF(CC$8&gt;='1_PANEL_CONTROL'!$D$40, IF(CC$8&lt;=12, 18000, IF(CC$8&lt;=24, 30000, 40000))/'1_PANEL_CONTROL'!$C$32, 0)</f>
        <v>3333.3333333333335</v>
      </c>
      <c r="CD21" s="33">
        <f>IF(CD$8&gt;='1_PANEL_CONTROL'!$D$40, IF(CD$8&lt;=12, 18000, IF(CD$8&lt;=24, 30000, 40000))/'1_PANEL_CONTROL'!$C$32, 0)</f>
        <v>3333.3333333333335</v>
      </c>
      <c r="CE21" s="33">
        <f>IF(CE$8&gt;='1_PANEL_CONTROL'!$D$40, IF(CE$8&lt;=12, 18000, IF(CE$8&lt;=24, 30000, 40000))/'1_PANEL_CONTROL'!$C$32, 0)</f>
        <v>3333.3333333333335</v>
      </c>
      <c r="CF21" s="33">
        <f>IF(CF$8&gt;='1_PANEL_CONTROL'!$D$40, IF(CF$8&lt;=12, 18000, IF(CF$8&lt;=24, 30000, 40000))/'1_PANEL_CONTROL'!$C$32, 0)</f>
        <v>3333.3333333333335</v>
      </c>
      <c r="CG21" s="33">
        <f>IF(CG$8&gt;='1_PANEL_CONTROL'!$D$40, IF(CG$8&lt;=12, 18000, IF(CG$8&lt;=24, 30000, 40000))/'1_PANEL_CONTROL'!$C$32, 0)</f>
        <v>3333.3333333333335</v>
      </c>
      <c r="CH21" s="33">
        <f>IF(CH$8&gt;='1_PANEL_CONTROL'!$D$40, IF(CH$8&lt;=12, 18000, IF(CH$8&lt;=24, 30000, 40000))/'1_PANEL_CONTROL'!$C$32, 0)</f>
        <v>3333.3333333333335</v>
      </c>
      <c r="CI21" s="33">
        <f>IF(CI$8&gt;='1_PANEL_CONTROL'!$D$40, IF(CI$8&lt;=12, 18000, IF(CI$8&lt;=24, 30000, 40000))/'1_PANEL_CONTROL'!$C$32, 0)</f>
        <v>3333.3333333333335</v>
      </c>
    </row>
    <row r="22" spans="1:87" ht="16">
      <c r="A22" s="6" t="s">
        <v>583</v>
      </c>
      <c r="B22" s="30" t="s">
        <v>465</v>
      </c>
      <c r="C22" s="15"/>
      <c r="D22" s="33">
        <f>IF(D$8&gt;='1_PANEL_CONTROL'!$D$40, IF('1_PANEL_CONTROL'!$C$32=14, IF(OR(MOD(D$8,12)=6, MOD(D$8,12)=0), IF(D$8&lt;=12, 18000, IF(D$8&lt;=24, 30000, 40000))/14, 0), 0), 0)</f>
        <v>0</v>
      </c>
      <c r="E22" s="33">
        <f>IF(E$8&gt;='1_PANEL_CONTROL'!$D$40, IF('1_PANEL_CONTROL'!$C$32=14, IF(OR(MOD(E$8,12)=6, MOD(E$8,12)=0), IF(E$8&lt;=12, 18000, IF(E$8&lt;=24, 30000, 40000))/14, 0), 0), 0)</f>
        <v>0</v>
      </c>
      <c r="F22" s="33">
        <f>IF(F$8&gt;='1_PANEL_CONTROL'!$D$40, IF('1_PANEL_CONTROL'!$C$32=14, IF(OR(MOD(F$8,12)=6, MOD(F$8,12)=0), IF(F$8&lt;=12, 18000, IF(F$8&lt;=24, 30000, 40000))/14, 0), 0), 0)</f>
        <v>0</v>
      </c>
      <c r="G22" s="33">
        <f>IF(G$8&gt;='1_PANEL_CONTROL'!$D$40, IF('1_PANEL_CONTROL'!$C$32=14, IF(OR(MOD(G$8,12)=6, MOD(G$8,12)=0), IF(G$8&lt;=12, 18000, IF(G$8&lt;=24, 30000, 40000))/14, 0), 0), 0)</f>
        <v>0</v>
      </c>
      <c r="H22" s="33">
        <f>IF(H$8&gt;='1_PANEL_CONTROL'!$D$40, IF('1_PANEL_CONTROL'!$C$32=14, IF(OR(MOD(H$8,12)=6, MOD(H$8,12)=0), IF(H$8&lt;=12, 18000, IF(H$8&lt;=24, 30000, 40000))/14, 0), 0), 0)</f>
        <v>0</v>
      </c>
      <c r="I22" s="33">
        <f>IF(I$8&gt;='1_PANEL_CONTROL'!$D$40, IF('1_PANEL_CONTROL'!$C$32=14, IF(OR(MOD(I$8,12)=6, MOD(I$8,12)=0), IF(I$8&lt;=12, 18000, IF(I$8&lt;=24, 30000, 40000))/14, 0), 0), 0)</f>
        <v>0</v>
      </c>
      <c r="J22" s="33">
        <f>IF(J$8&gt;='1_PANEL_CONTROL'!$D$40, IF('1_PANEL_CONTROL'!$C$32=14, IF(OR(MOD(J$8,12)=6, MOD(J$8,12)=0), IF(J$8&lt;=12, 18000, IF(J$8&lt;=24, 30000, 40000))/14, 0), 0), 0)</f>
        <v>0</v>
      </c>
      <c r="K22" s="33">
        <f>IF(K$8&gt;='1_PANEL_CONTROL'!$D$40, IF('1_PANEL_CONTROL'!$C$32=14, IF(OR(MOD(K$8,12)=6, MOD(K$8,12)=0), IF(K$8&lt;=12, 18000, IF(K$8&lt;=24, 30000, 40000))/14, 0), 0), 0)</f>
        <v>0</v>
      </c>
      <c r="L22" s="33">
        <f>IF(L$8&gt;='1_PANEL_CONTROL'!$D$40, IF('1_PANEL_CONTROL'!$C$32=14, IF(OR(MOD(L$8,12)=6, MOD(L$8,12)=0), IF(L$8&lt;=12, 18000, IF(L$8&lt;=24, 30000, 40000))/14, 0), 0), 0)</f>
        <v>0</v>
      </c>
      <c r="M22" s="33">
        <f>IF(M$8&gt;='1_PANEL_CONTROL'!$D$40, IF('1_PANEL_CONTROL'!$C$32=14, IF(OR(MOD(M$8,12)=6, MOD(M$8,12)=0), IF(M$8&lt;=12, 18000, IF(M$8&lt;=24, 30000, 40000))/14, 0), 0), 0)</f>
        <v>0</v>
      </c>
      <c r="N22" s="33">
        <f>IF(N$8&gt;='1_PANEL_CONTROL'!$D$40, IF('1_PANEL_CONTROL'!$C$32=14, IF(OR(MOD(N$8,12)=6, MOD(N$8,12)=0), IF(N$8&lt;=12, 18000, IF(N$8&lt;=24, 30000, 40000))/14, 0), 0), 0)</f>
        <v>0</v>
      </c>
      <c r="O22" s="33">
        <f>IF(O$8&gt;='1_PANEL_CONTROL'!$D$40, IF('1_PANEL_CONTROL'!$C$32=14, IF(OR(MOD(O$8,12)=6, MOD(O$8,12)=0), IF(O$8&lt;=12, 18000, IF(O$8&lt;=24, 30000, 40000))/14, 0), 0), 0)</f>
        <v>0</v>
      </c>
      <c r="P22" s="33">
        <f>IF(P$8&gt;='1_PANEL_CONTROL'!$D$40, IF('1_PANEL_CONTROL'!$C$32=14, IF(OR(MOD(P$8,12)=6, MOD(P$8,12)=0), IF(P$8&lt;=12, 18000, IF(P$8&lt;=24, 30000, 40000))/14, 0), 0), 0)</f>
        <v>0</v>
      </c>
      <c r="Q22" s="33">
        <f>IF(Q$8&gt;='1_PANEL_CONTROL'!$D$40, IF('1_PANEL_CONTROL'!$C$32=14, IF(OR(MOD(Q$8,12)=6, MOD(Q$8,12)=0), IF(Q$8&lt;=12, 18000, IF(Q$8&lt;=24, 30000, 40000))/14, 0), 0), 0)</f>
        <v>0</v>
      </c>
      <c r="R22" s="33">
        <f>IF(R$8&gt;='1_PANEL_CONTROL'!$D$40, IF('1_PANEL_CONTROL'!$C$32=14, IF(OR(MOD(R$8,12)=6, MOD(R$8,12)=0), IF(R$8&lt;=12, 18000, IF(R$8&lt;=24, 30000, 40000))/14, 0), 0), 0)</f>
        <v>0</v>
      </c>
      <c r="S22" s="33">
        <f>IF(S$8&gt;='1_PANEL_CONTROL'!$D$40, IF('1_PANEL_CONTROL'!$C$32=14, IF(OR(MOD(S$8,12)=6, MOD(S$8,12)=0), IF(S$8&lt;=12, 18000, IF(S$8&lt;=24, 30000, 40000))/14, 0), 0), 0)</f>
        <v>0</v>
      </c>
      <c r="T22" s="33">
        <f>IF(T$8&gt;='1_PANEL_CONTROL'!$D$40, IF('1_PANEL_CONTROL'!$C$32=14, IF(OR(MOD(T$8,12)=6, MOD(T$8,12)=0), IF(T$8&lt;=12, 18000, IF(T$8&lt;=24, 30000, 40000))/14, 0), 0), 0)</f>
        <v>0</v>
      </c>
      <c r="U22" s="33">
        <f>IF(U$8&gt;='1_PANEL_CONTROL'!$D$40, IF('1_PANEL_CONTROL'!$C$32=14, IF(OR(MOD(U$8,12)=6, MOD(U$8,12)=0), IF(U$8&lt;=12, 18000, IF(U$8&lt;=24, 30000, 40000))/14, 0), 0), 0)</f>
        <v>0</v>
      </c>
      <c r="V22" s="33">
        <f>IF(V$8&gt;='1_PANEL_CONTROL'!$D$40, IF('1_PANEL_CONTROL'!$C$32=14, IF(OR(MOD(V$8,12)=6, MOD(V$8,12)=0), IF(V$8&lt;=12, 18000, IF(V$8&lt;=24, 30000, 40000))/14, 0), 0), 0)</f>
        <v>0</v>
      </c>
      <c r="W22" s="33">
        <f>IF(W$8&gt;='1_PANEL_CONTROL'!$D$40, IF('1_PANEL_CONTROL'!$C$32=14, IF(OR(MOD(W$8,12)=6, MOD(W$8,12)=0), IF(W$8&lt;=12, 18000, IF(W$8&lt;=24, 30000, 40000))/14, 0), 0), 0)</f>
        <v>0</v>
      </c>
      <c r="X22" s="33">
        <f>IF(X$8&gt;='1_PANEL_CONTROL'!$D$40, IF('1_PANEL_CONTROL'!$C$32=14, IF(OR(MOD(X$8,12)=6, MOD(X$8,12)=0), IF(X$8&lt;=12, 18000, IF(X$8&lt;=24, 30000, 40000))/14, 0), 0), 0)</f>
        <v>0</v>
      </c>
      <c r="Y22" s="33">
        <f>IF(Y$8&gt;='1_PANEL_CONTROL'!$D$40, IF('1_PANEL_CONTROL'!$C$32=14, IF(OR(MOD(Y$8,12)=6, MOD(Y$8,12)=0), IF(Y$8&lt;=12, 18000, IF(Y$8&lt;=24, 30000, 40000))/14, 0), 0), 0)</f>
        <v>0</v>
      </c>
      <c r="Z22" s="33">
        <f>IF(Z$8&gt;='1_PANEL_CONTROL'!$D$40, IF('1_PANEL_CONTROL'!$C$32=14, IF(OR(MOD(Z$8,12)=6, MOD(Z$8,12)=0), IF(Z$8&lt;=12, 18000, IF(Z$8&lt;=24, 30000, 40000))/14, 0), 0), 0)</f>
        <v>0</v>
      </c>
      <c r="AA22" s="33">
        <f>IF(AA$8&gt;='1_PANEL_CONTROL'!$D$40, IF('1_PANEL_CONTROL'!$C$32=14, IF(OR(MOD(AA$8,12)=6, MOD(AA$8,12)=0), IF(AA$8&lt;=12, 18000, IF(AA$8&lt;=24, 30000, 40000))/14, 0), 0), 0)</f>
        <v>0</v>
      </c>
      <c r="AB22" s="33">
        <f>IF(AB$8&gt;='1_PANEL_CONTROL'!$D$40, IF('1_PANEL_CONTROL'!$C$32=14, IF(OR(MOD(AB$8,12)=6, MOD(AB$8,12)=0), IF(AB$8&lt;=12, 18000, IF(AB$8&lt;=24, 30000, 40000))/14, 0), 0), 0)</f>
        <v>0</v>
      </c>
      <c r="AC22" s="33">
        <f>IF(AC$8&gt;='1_PANEL_CONTROL'!$D$40, IF('1_PANEL_CONTROL'!$C$32=14, IF(OR(MOD(AC$8,12)=6, MOD(AC$8,12)=0), IF(AC$8&lt;=12, 18000, IF(AC$8&lt;=24, 30000, 40000))/14, 0), 0), 0)</f>
        <v>0</v>
      </c>
      <c r="AD22" s="33">
        <f>IF(AD$8&gt;='1_PANEL_CONTROL'!$D$40, IF('1_PANEL_CONTROL'!$C$32=14, IF(OR(MOD(AD$8,12)=6, MOD(AD$8,12)=0), IF(AD$8&lt;=12, 18000, IF(AD$8&lt;=24, 30000, 40000))/14, 0), 0), 0)</f>
        <v>0</v>
      </c>
      <c r="AE22" s="33">
        <f>IF(AE$8&gt;='1_PANEL_CONTROL'!$D$40, IF('1_PANEL_CONTROL'!$C$32=14, IF(OR(MOD(AE$8,12)=6, MOD(AE$8,12)=0), IF(AE$8&lt;=12, 18000, IF(AE$8&lt;=24, 30000, 40000))/14, 0), 0), 0)</f>
        <v>0</v>
      </c>
      <c r="AF22" s="33">
        <f>IF(AF$8&gt;='1_PANEL_CONTROL'!$D$40, IF('1_PANEL_CONTROL'!$C$32=14, IF(OR(MOD(AF$8,12)=6, MOD(AF$8,12)=0), IF(AF$8&lt;=12, 18000, IF(AF$8&lt;=24, 30000, 40000))/14, 0), 0), 0)</f>
        <v>0</v>
      </c>
      <c r="AG22" s="33">
        <f>IF(AG$8&gt;='1_PANEL_CONTROL'!$D$40, IF('1_PANEL_CONTROL'!$C$32=14, IF(OR(MOD(AG$8,12)=6, MOD(AG$8,12)=0), IF(AG$8&lt;=12, 18000, IF(AG$8&lt;=24, 30000, 40000))/14, 0), 0), 0)</f>
        <v>0</v>
      </c>
      <c r="AH22" s="33">
        <f>IF(AH$8&gt;='1_PANEL_CONTROL'!$D$40, IF('1_PANEL_CONTROL'!$C$32=14, IF(OR(MOD(AH$8,12)=6, MOD(AH$8,12)=0), IF(AH$8&lt;=12, 18000, IF(AH$8&lt;=24, 30000, 40000))/14, 0), 0), 0)</f>
        <v>0</v>
      </c>
      <c r="AI22" s="33">
        <f>IF(AI$8&gt;='1_PANEL_CONTROL'!$D$40, IF('1_PANEL_CONTROL'!$C$32=14, IF(OR(MOD(AI$8,12)=6, MOD(AI$8,12)=0), IF(AI$8&lt;=12, 18000, IF(AI$8&lt;=24, 30000, 40000))/14, 0), 0), 0)</f>
        <v>0</v>
      </c>
      <c r="AJ22" s="33">
        <f>IF(AJ$8&gt;='1_PANEL_CONTROL'!$D$40, IF('1_PANEL_CONTROL'!$C$32=14, IF(OR(MOD(AJ$8,12)=6, MOD(AJ$8,12)=0), IF(AJ$8&lt;=12, 18000, IF(AJ$8&lt;=24, 30000, 40000))/14, 0), 0), 0)</f>
        <v>0</v>
      </c>
      <c r="AK22" s="33">
        <f>IF(AK$8&gt;='1_PANEL_CONTROL'!$D$40, IF('1_PANEL_CONTROL'!$C$32=14, IF(OR(MOD(AK$8,12)=6, MOD(AK$8,12)=0), IF(AK$8&lt;=12, 18000, IF(AK$8&lt;=24, 30000, 40000))/14, 0), 0), 0)</f>
        <v>0</v>
      </c>
      <c r="AL22" s="33">
        <f>IF(AL$8&gt;='1_PANEL_CONTROL'!$D$40, IF('1_PANEL_CONTROL'!$C$32=14, IF(OR(MOD(AL$8,12)=6, MOD(AL$8,12)=0), IF(AL$8&lt;=12, 18000, IF(AL$8&lt;=24, 30000, 40000))/14, 0), 0), 0)</f>
        <v>0</v>
      </c>
      <c r="AM22" s="33">
        <f>IF(AM$8&gt;='1_PANEL_CONTROL'!$D$40, IF('1_PANEL_CONTROL'!$C$32=14, IF(OR(MOD(AM$8,12)=6, MOD(AM$8,12)=0), IF(AM$8&lt;=12, 18000, IF(AM$8&lt;=24, 30000, 40000))/14, 0), 0), 0)</f>
        <v>0</v>
      </c>
      <c r="AN22" s="33">
        <f>IF(AN$8&gt;='1_PANEL_CONTROL'!$D$40, IF('1_PANEL_CONTROL'!$C$32=14, IF(OR(MOD(AN$8,12)=6, MOD(AN$8,12)=0), IF(AN$8&lt;=12, 18000, IF(AN$8&lt;=24, 30000, 40000))/14, 0), 0), 0)</f>
        <v>0</v>
      </c>
      <c r="AO22" s="33">
        <f>IF(AO$8&gt;='1_PANEL_CONTROL'!$D$40, IF('1_PANEL_CONTROL'!$C$32=14, IF(OR(MOD(AO$8,12)=6, MOD(AO$8,12)=0), IF(AO$8&lt;=12, 18000, IF(AO$8&lt;=24, 30000, 40000))/14, 0), 0), 0)</f>
        <v>0</v>
      </c>
      <c r="AP22" s="33">
        <f>IF(AP$8&gt;='1_PANEL_CONTROL'!$D$40, IF('1_PANEL_CONTROL'!$C$32=14, IF(OR(MOD(AP$8,12)=6, MOD(AP$8,12)=0), IF(AP$8&lt;=12, 18000, IF(AP$8&lt;=24, 30000, 40000))/14, 0), 0), 0)</f>
        <v>0</v>
      </c>
      <c r="AQ22" s="33">
        <f>IF(AQ$8&gt;='1_PANEL_CONTROL'!$D$40, IF('1_PANEL_CONTROL'!$C$32=14, IF(OR(MOD(AQ$8,12)=6, MOD(AQ$8,12)=0), IF(AQ$8&lt;=12, 18000, IF(AQ$8&lt;=24, 30000, 40000))/14, 0), 0), 0)</f>
        <v>0</v>
      </c>
      <c r="AR22" s="33">
        <f>IF(AR$8&gt;='1_PANEL_CONTROL'!$D$40, IF('1_PANEL_CONTROL'!$C$32=14, IF(OR(MOD(AR$8,12)=6, MOD(AR$8,12)=0), IF(AR$8&lt;=12, 18000, IF(AR$8&lt;=24, 30000, 40000))/14, 0), 0), 0)</f>
        <v>0</v>
      </c>
      <c r="AS22" s="33">
        <f>IF(AS$8&gt;='1_PANEL_CONTROL'!$D$40, IF('1_PANEL_CONTROL'!$C$32=14, IF(OR(MOD(AS$8,12)=6, MOD(AS$8,12)=0), IF(AS$8&lt;=12, 18000, IF(AS$8&lt;=24, 30000, 40000))/14, 0), 0), 0)</f>
        <v>0</v>
      </c>
      <c r="AT22" s="33">
        <f>IF(AT$8&gt;='1_PANEL_CONTROL'!$D$40, IF('1_PANEL_CONTROL'!$C$32=14, IF(OR(MOD(AT$8,12)=6, MOD(AT$8,12)=0), IF(AT$8&lt;=12, 18000, IF(AT$8&lt;=24, 30000, 40000))/14, 0), 0), 0)</f>
        <v>0</v>
      </c>
      <c r="AU22" s="33">
        <f>IF(AU$8&gt;='1_PANEL_CONTROL'!$D$40, IF('1_PANEL_CONTROL'!$C$32=14, IF(OR(MOD(AU$8,12)=6, MOD(AU$8,12)=0), IF(AU$8&lt;=12, 18000, IF(AU$8&lt;=24, 30000, 40000))/14, 0), 0), 0)</f>
        <v>0</v>
      </c>
      <c r="AV22" s="33">
        <f>IF(AV$8&gt;='1_PANEL_CONTROL'!$D$40, IF('1_PANEL_CONTROL'!$C$32=14, IF(OR(MOD(AV$8,12)=6, MOD(AV$8,12)=0), IF(AV$8&lt;=12, 18000, IF(AV$8&lt;=24, 30000, 40000))/14, 0), 0), 0)</f>
        <v>0</v>
      </c>
      <c r="AW22" s="33">
        <f>IF(AW$8&gt;='1_PANEL_CONTROL'!$D$40, IF('1_PANEL_CONTROL'!$C$32=14, IF(OR(MOD(AW$8,12)=6, MOD(AW$8,12)=0), IF(AW$8&lt;=12, 18000, IF(AW$8&lt;=24, 30000, 40000))/14, 0), 0), 0)</f>
        <v>0</v>
      </c>
      <c r="AX22" s="33">
        <f>IF(AX$8&gt;='1_PANEL_CONTROL'!$D$40, IF('1_PANEL_CONTROL'!$C$32=14, IF(OR(MOD(AX$8,12)=6, MOD(AX$8,12)=0), IF(AX$8&lt;=12, 18000, IF(AX$8&lt;=24, 30000, 40000))/14, 0), 0), 0)</f>
        <v>0</v>
      </c>
      <c r="AY22" s="33">
        <f>IF(AY$8&gt;='1_PANEL_CONTROL'!$D$40, IF('1_PANEL_CONTROL'!$C$32=14, IF(OR(MOD(AY$8,12)=6, MOD(AY$8,12)=0), IF(AY$8&lt;=12, 18000, IF(AY$8&lt;=24, 30000, 40000))/14, 0), 0), 0)</f>
        <v>0</v>
      </c>
      <c r="AZ22" s="33">
        <f>IF(AZ$8&gt;='1_PANEL_CONTROL'!$D$40, IF('1_PANEL_CONTROL'!$C$32=14, IF(OR(MOD(AZ$8,12)=6, MOD(AZ$8,12)=0), IF(AZ$8&lt;=12, 18000, IF(AZ$8&lt;=24, 30000, 40000))/14, 0), 0), 0)</f>
        <v>0</v>
      </c>
      <c r="BA22" s="33">
        <f>IF(BA$8&gt;='1_PANEL_CONTROL'!$D$40, IF('1_PANEL_CONTROL'!$C$32=14, IF(OR(MOD(BA$8,12)=6, MOD(BA$8,12)=0), IF(BA$8&lt;=12, 18000, IF(BA$8&lt;=24, 30000, 40000))/14, 0), 0), 0)</f>
        <v>0</v>
      </c>
      <c r="BB22" s="33">
        <f>IF(BB$8&gt;='1_PANEL_CONTROL'!$D$40, IF('1_PANEL_CONTROL'!$C$32=14, IF(OR(MOD(BB$8,12)=6, MOD(BB$8,12)=0), IF(BB$8&lt;=12, 18000, IF(BB$8&lt;=24, 30000, 40000))/14, 0), 0), 0)</f>
        <v>0</v>
      </c>
      <c r="BC22" s="33">
        <f>IF(BC$8&gt;='1_PANEL_CONTROL'!$D$40, IF('1_PANEL_CONTROL'!$C$32=14, IF(OR(MOD(BC$8,12)=6, MOD(BC$8,12)=0), IF(BC$8&lt;=12, 18000, IF(BC$8&lt;=24, 30000, 40000))/14, 0), 0), 0)</f>
        <v>0</v>
      </c>
      <c r="BD22" s="33">
        <f>IF(BD$8&gt;='1_PANEL_CONTROL'!$D$40, IF('1_PANEL_CONTROL'!$C$32=14, IF(OR(MOD(BD$8,12)=6, MOD(BD$8,12)=0), IF(BD$8&lt;=12, 18000, IF(BD$8&lt;=24, 30000, 40000))/14, 0), 0), 0)</f>
        <v>0</v>
      </c>
      <c r="BE22" s="33">
        <f>IF(BE$8&gt;='1_PANEL_CONTROL'!$D$40, IF('1_PANEL_CONTROL'!$C$32=14, IF(OR(MOD(BE$8,12)=6, MOD(BE$8,12)=0), IF(BE$8&lt;=12, 18000, IF(BE$8&lt;=24, 30000, 40000))/14, 0), 0), 0)</f>
        <v>0</v>
      </c>
      <c r="BF22" s="33">
        <f>IF(BF$8&gt;='1_PANEL_CONTROL'!$D$40, IF('1_PANEL_CONTROL'!$C$32=14, IF(OR(MOD(BF$8,12)=6, MOD(BF$8,12)=0), IF(BF$8&lt;=12, 18000, IF(BF$8&lt;=24, 30000, 40000))/14, 0), 0), 0)</f>
        <v>0</v>
      </c>
      <c r="BG22" s="33">
        <f>IF(BG$8&gt;='1_PANEL_CONTROL'!$D$40, IF('1_PANEL_CONTROL'!$C$32=14, IF(OR(MOD(BG$8,12)=6, MOD(BG$8,12)=0), IF(BG$8&lt;=12, 18000, IF(BG$8&lt;=24, 30000, 40000))/14, 0), 0), 0)</f>
        <v>0</v>
      </c>
      <c r="BH22" s="33">
        <f>IF(BH$8&gt;='1_PANEL_CONTROL'!$D$40, IF('1_PANEL_CONTROL'!$C$32=14, IF(OR(MOD(BH$8,12)=6, MOD(BH$8,12)=0), IF(BH$8&lt;=12, 18000, IF(BH$8&lt;=24, 30000, 40000))/14, 0), 0), 0)</f>
        <v>0</v>
      </c>
      <c r="BI22" s="33">
        <f>IF(BI$8&gt;='1_PANEL_CONTROL'!$D$40, IF('1_PANEL_CONTROL'!$C$32=14, IF(OR(MOD(BI$8,12)=6, MOD(BI$8,12)=0), IF(BI$8&lt;=12, 18000, IF(BI$8&lt;=24, 30000, 40000))/14, 0), 0), 0)</f>
        <v>0</v>
      </c>
      <c r="BJ22" s="33">
        <f>IF(BJ$8&gt;='1_PANEL_CONTROL'!$D$40, IF('1_PANEL_CONTROL'!$C$32=14, IF(OR(MOD(BJ$8,12)=6, MOD(BJ$8,12)=0), IF(BJ$8&lt;=12, 18000, IF(BJ$8&lt;=24, 30000, 40000))/14, 0), 0), 0)</f>
        <v>0</v>
      </c>
      <c r="BK22" s="33">
        <f>IF(BK$8&gt;='1_PANEL_CONTROL'!$D$40, IF('1_PANEL_CONTROL'!$C$32=14, IF(OR(MOD(BK$8,12)=6, MOD(BK$8,12)=0), IF(BK$8&lt;=12, 18000, IF(BK$8&lt;=24, 30000, 40000))/14, 0), 0), 0)</f>
        <v>0</v>
      </c>
      <c r="BL22" s="33">
        <f>IF(BL$8&gt;='1_PANEL_CONTROL'!$D$40, IF('1_PANEL_CONTROL'!$C$32=14, IF(OR(MOD(BL$8,12)=6, MOD(BL$8,12)=0), IF(BL$8&lt;=12, 18000, IF(BL$8&lt;=24, 30000, 40000))/14, 0), 0), 0)</f>
        <v>0</v>
      </c>
      <c r="BM22" s="33">
        <f>IF(BM$8&gt;='1_PANEL_CONTROL'!$D$40, IF('1_PANEL_CONTROL'!$C$32=14, IF(OR(MOD(BM$8,12)=6, MOD(BM$8,12)=0), IF(BM$8&lt;=12, 18000, IF(BM$8&lt;=24, 30000, 40000))/14, 0), 0), 0)</f>
        <v>0</v>
      </c>
      <c r="BN22" s="33">
        <f>IF(BN$8&gt;='1_PANEL_CONTROL'!$D$40, IF('1_PANEL_CONTROL'!$C$32=14, IF(OR(MOD(BN$8,12)=6, MOD(BN$8,12)=0), IF(BN$8&lt;=12, 18000, IF(BN$8&lt;=24, 30000, 40000))/14, 0), 0), 0)</f>
        <v>0</v>
      </c>
      <c r="BO22" s="33">
        <f>IF(BO$8&gt;='1_PANEL_CONTROL'!$D$40, IF('1_PANEL_CONTROL'!$C$32=14, IF(OR(MOD(BO$8,12)=6, MOD(BO$8,12)=0), IF(BO$8&lt;=12, 18000, IF(BO$8&lt;=24, 30000, 40000))/14, 0), 0), 0)</f>
        <v>0</v>
      </c>
      <c r="BP22" s="33">
        <f>IF(BP$8&gt;='1_PANEL_CONTROL'!$D$40, IF('1_PANEL_CONTROL'!$C$32=14, IF(OR(MOD(BP$8,12)=6, MOD(BP$8,12)=0), IF(BP$8&lt;=12, 18000, IF(BP$8&lt;=24, 30000, 40000))/14, 0), 0), 0)</f>
        <v>0</v>
      </c>
      <c r="BQ22" s="33">
        <f>IF(BQ$8&gt;='1_PANEL_CONTROL'!$D$40, IF('1_PANEL_CONTROL'!$C$32=14, IF(OR(MOD(BQ$8,12)=6, MOD(BQ$8,12)=0), IF(BQ$8&lt;=12, 18000, IF(BQ$8&lt;=24, 30000, 40000))/14, 0), 0), 0)</f>
        <v>0</v>
      </c>
      <c r="BR22" s="33">
        <f>IF(BR$8&gt;='1_PANEL_CONTROL'!$D$40, IF('1_PANEL_CONTROL'!$C$32=14, IF(OR(MOD(BR$8,12)=6, MOD(BR$8,12)=0), IF(BR$8&lt;=12, 18000, IF(BR$8&lt;=24, 30000, 40000))/14, 0), 0), 0)</f>
        <v>0</v>
      </c>
      <c r="BS22" s="33">
        <f>IF(BS$8&gt;='1_PANEL_CONTROL'!$D$40, IF('1_PANEL_CONTROL'!$C$32=14, IF(OR(MOD(BS$8,12)=6, MOD(BS$8,12)=0), IF(BS$8&lt;=12, 18000, IF(BS$8&lt;=24, 30000, 40000))/14, 0), 0), 0)</f>
        <v>0</v>
      </c>
      <c r="BT22" s="33">
        <f>IF(BT$8&gt;='1_PANEL_CONTROL'!$D$40, IF('1_PANEL_CONTROL'!$C$32=14, IF(OR(MOD(BT$8,12)=6, MOD(BT$8,12)=0), IF(BT$8&lt;=12, 18000, IF(BT$8&lt;=24, 30000, 40000))/14, 0), 0), 0)</f>
        <v>0</v>
      </c>
      <c r="BU22" s="33">
        <f>IF(BU$8&gt;='1_PANEL_CONTROL'!$D$40, IF('1_PANEL_CONTROL'!$C$32=14, IF(OR(MOD(BU$8,12)=6, MOD(BU$8,12)=0), IF(BU$8&lt;=12, 18000, IF(BU$8&lt;=24, 30000, 40000))/14, 0), 0), 0)</f>
        <v>0</v>
      </c>
      <c r="BV22" s="33">
        <f>IF(BV$8&gt;='1_PANEL_CONTROL'!$D$40, IF('1_PANEL_CONTROL'!$C$32=14, IF(OR(MOD(BV$8,12)=6, MOD(BV$8,12)=0), IF(BV$8&lt;=12, 18000, IF(BV$8&lt;=24, 30000, 40000))/14, 0), 0), 0)</f>
        <v>0</v>
      </c>
      <c r="BW22" s="33">
        <f>IF(BW$8&gt;='1_PANEL_CONTROL'!$D$40, IF('1_PANEL_CONTROL'!$C$32=14, IF(OR(MOD(BW$8,12)=6, MOD(BW$8,12)=0), IF(BW$8&lt;=12, 18000, IF(BW$8&lt;=24, 30000, 40000))/14, 0), 0), 0)</f>
        <v>0</v>
      </c>
      <c r="BX22" s="33">
        <f>IF(BX$8&gt;='1_PANEL_CONTROL'!$D$40, IF('1_PANEL_CONTROL'!$C$32=14, IF(OR(MOD(BX$8,12)=6, MOD(BX$8,12)=0), IF(BX$8&lt;=12, 18000, IF(BX$8&lt;=24, 30000, 40000))/14, 0), 0), 0)</f>
        <v>0</v>
      </c>
      <c r="BY22" s="33">
        <f>IF(BY$8&gt;='1_PANEL_CONTROL'!$D$40, IF('1_PANEL_CONTROL'!$C$32=14, IF(OR(MOD(BY$8,12)=6, MOD(BY$8,12)=0), IF(BY$8&lt;=12, 18000, IF(BY$8&lt;=24, 30000, 40000))/14, 0), 0), 0)</f>
        <v>0</v>
      </c>
      <c r="BZ22" s="33">
        <f>IF(BZ$8&gt;='1_PANEL_CONTROL'!$D$40, IF('1_PANEL_CONTROL'!$C$32=14, IF(OR(MOD(BZ$8,12)=6, MOD(BZ$8,12)=0), IF(BZ$8&lt;=12, 18000, IF(BZ$8&lt;=24, 30000, 40000))/14, 0), 0), 0)</f>
        <v>0</v>
      </c>
      <c r="CA22" s="33">
        <f>IF(CA$8&gt;='1_PANEL_CONTROL'!$D$40, IF('1_PANEL_CONTROL'!$C$32=14, IF(OR(MOD(CA$8,12)=6, MOD(CA$8,12)=0), IF(CA$8&lt;=12, 18000, IF(CA$8&lt;=24, 30000, 40000))/14, 0), 0), 0)</f>
        <v>0</v>
      </c>
      <c r="CB22" s="33">
        <f>IF(CB$8&gt;='1_PANEL_CONTROL'!$D$40, IF('1_PANEL_CONTROL'!$C$32=14, IF(OR(MOD(CB$8,12)=6, MOD(CB$8,12)=0), IF(CB$8&lt;=12, 18000, IF(CB$8&lt;=24, 30000, 40000))/14, 0), 0), 0)</f>
        <v>0</v>
      </c>
      <c r="CC22" s="33">
        <f>IF(CC$8&gt;='1_PANEL_CONTROL'!$D$40, IF('1_PANEL_CONTROL'!$C$32=14, IF(OR(MOD(CC$8,12)=6, MOD(CC$8,12)=0), IF(CC$8&lt;=12, 18000, IF(CC$8&lt;=24, 30000, 40000))/14, 0), 0), 0)</f>
        <v>0</v>
      </c>
      <c r="CD22" s="33">
        <f>IF(CD$8&gt;='1_PANEL_CONTROL'!$D$40, IF('1_PANEL_CONTROL'!$C$32=14, IF(OR(MOD(CD$8,12)=6, MOD(CD$8,12)=0), IF(CD$8&lt;=12, 18000, IF(CD$8&lt;=24, 30000, 40000))/14, 0), 0), 0)</f>
        <v>0</v>
      </c>
      <c r="CE22" s="33">
        <f>IF(CE$8&gt;='1_PANEL_CONTROL'!$D$40, IF('1_PANEL_CONTROL'!$C$32=14, IF(OR(MOD(CE$8,12)=6, MOD(CE$8,12)=0), IF(CE$8&lt;=12, 18000, IF(CE$8&lt;=24, 30000, 40000))/14, 0), 0), 0)</f>
        <v>0</v>
      </c>
      <c r="CF22" s="33">
        <f>IF(CF$8&gt;='1_PANEL_CONTROL'!$D$40, IF('1_PANEL_CONTROL'!$C$32=14, IF(OR(MOD(CF$8,12)=6, MOD(CF$8,12)=0), IF(CF$8&lt;=12, 18000, IF(CF$8&lt;=24, 30000, 40000))/14, 0), 0), 0)</f>
        <v>0</v>
      </c>
      <c r="CG22" s="33">
        <f>IF(CG$8&gt;='1_PANEL_CONTROL'!$D$40, IF('1_PANEL_CONTROL'!$C$32=14, IF(OR(MOD(CG$8,12)=6, MOD(CG$8,12)=0), IF(CG$8&lt;=12, 18000, IF(CG$8&lt;=24, 30000, 40000))/14, 0), 0), 0)</f>
        <v>0</v>
      </c>
      <c r="CH22" s="33">
        <f>IF(CH$8&gt;='1_PANEL_CONTROL'!$D$40, IF('1_PANEL_CONTROL'!$C$32=14, IF(OR(MOD(CH$8,12)=6, MOD(CH$8,12)=0), IF(CH$8&lt;=12, 18000, IF(CH$8&lt;=24, 30000, 40000))/14, 0), 0), 0)</f>
        <v>0</v>
      </c>
      <c r="CI22" s="33">
        <f>IF(CI$8&gt;='1_PANEL_CONTROL'!$D$40, IF('1_PANEL_CONTROL'!$C$32=14, IF(OR(MOD(CI$8,12)=6, MOD(CI$8,12)=0), IF(CI$8&lt;=12, 18000, IF(CI$8&lt;=24, 30000, 40000))/14, 0), 0), 0)</f>
        <v>0</v>
      </c>
    </row>
    <row r="23" spans="1:87" ht="16">
      <c r="A23" s="6" t="s">
        <v>584</v>
      </c>
      <c r="B23" s="30" t="s">
        <v>465</v>
      </c>
      <c r="C23" s="15"/>
      <c r="D23" s="33">
        <f t="shared" ref="D23:AI23" si="9">D21+D22</f>
        <v>1500</v>
      </c>
      <c r="E23" s="33">
        <f t="shared" si="9"/>
        <v>1500</v>
      </c>
      <c r="F23" s="33">
        <f t="shared" si="9"/>
        <v>1500</v>
      </c>
      <c r="G23" s="33">
        <f t="shared" si="9"/>
        <v>1500</v>
      </c>
      <c r="H23" s="33">
        <f t="shared" si="9"/>
        <v>1500</v>
      </c>
      <c r="I23" s="33">
        <f t="shared" si="9"/>
        <v>1500</v>
      </c>
      <c r="J23" s="33">
        <f t="shared" si="9"/>
        <v>1500</v>
      </c>
      <c r="K23" s="33">
        <f t="shared" si="9"/>
        <v>1500</v>
      </c>
      <c r="L23" s="33">
        <f t="shared" si="9"/>
        <v>1500</v>
      </c>
      <c r="M23" s="33">
        <f t="shared" si="9"/>
        <v>1500</v>
      </c>
      <c r="N23" s="33">
        <f t="shared" si="9"/>
        <v>1500</v>
      </c>
      <c r="O23" s="33">
        <f t="shared" si="9"/>
        <v>1500</v>
      </c>
      <c r="P23" s="33">
        <f t="shared" si="9"/>
        <v>2500</v>
      </c>
      <c r="Q23" s="33">
        <f t="shared" si="9"/>
        <v>2500</v>
      </c>
      <c r="R23" s="33">
        <f t="shared" si="9"/>
        <v>2500</v>
      </c>
      <c r="S23" s="33">
        <f t="shared" si="9"/>
        <v>2500</v>
      </c>
      <c r="T23" s="33">
        <f t="shared" si="9"/>
        <v>2500</v>
      </c>
      <c r="U23" s="33">
        <f t="shared" si="9"/>
        <v>2500</v>
      </c>
      <c r="V23" s="33">
        <f t="shared" si="9"/>
        <v>2500</v>
      </c>
      <c r="W23" s="33">
        <f t="shared" si="9"/>
        <v>2500</v>
      </c>
      <c r="X23" s="33">
        <f t="shared" si="9"/>
        <v>2500</v>
      </c>
      <c r="Y23" s="33">
        <f t="shared" si="9"/>
        <v>2500</v>
      </c>
      <c r="Z23" s="33">
        <f t="shared" si="9"/>
        <v>2500</v>
      </c>
      <c r="AA23" s="33">
        <f t="shared" si="9"/>
        <v>2500</v>
      </c>
      <c r="AB23" s="33">
        <f t="shared" si="9"/>
        <v>3333.3333333333335</v>
      </c>
      <c r="AC23" s="33">
        <f t="shared" si="9"/>
        <v>3333.3333333333335</v>
      </c>
      <c r="AD23" s="33">
        <f t="shared" si="9"/>
        <v>3333.3333333333335</v>
      </c>
      <c r="AE23" s="33">
        <f t="shared" si="9"/>
        <v>3333.3333333333335</v>
      </c>
      <c r="AF23" s="33">
        <f t="shared" si="9"/>
        <v>3333.3333333333335</v>
      </c>
      <c r="AG23" s="33">
        <f t="shared" si="9"/>
        <v>3333.3333333333335</v>
      </c>
      <c r="AH23" s="33">
        <f t="shared" si="9"/>
        <v>3333.3333333333335</v>
      </c>
      <c r="AI23" s="33">
        <f t="shared" si="9"/>
        <v>3333.3333333333335</v>
      </c>
      <c r="AJ23" s="33">
        <f t="shared" ref="AJ23:BO23" si="10">AJ21+AJ22</f>
        <v>3333.3333333333335</v>
      </c>
      <c r="AK23" s="33">
        <f t="shared" si="10"/>
        <v>3333.3333333333335</v>
      </c>
      <c r="AL23" s="33">
        <f t="shared" si="10"/>
        <v>3333.3333333333335</v>
      </c>
      <c r="AM23" s="33">
        <f t="shared" si="10"/>
        <v>3333.3333333333335</v>
      </c>
      <c r="AN23" s="33">
        <f t="shared" si="10"/>
        <v>3333.3333333333335</v>
      </c>
      <c r="AO23" s="33">
        <f t="shared" si="10"/>
        <v>3333.3333333333335</v>
      </c>
      <c r="AP23" s="33">
        <f t="shared" si="10"/>
        <v>3333.3333333333335</v>
      </c>
      <c r="AQ23" s="33">
        <f t="shared" si="10"/>
        <v>3333.3333333333335</v>
      </c>
      <c r="AR23" s="33">
        <f t="shared" si="10"/>
        <v>3333.3333333333335</v>
      </c>
      <c r="AS23" s="33">
        <f t="shared" si="10"/>
        <v>3333.3333333333335</v>
      </c>
      <c r="AT23" s="33">
        <f t="shared" si="10"/>
        <v>3333.3333333333335</v>
      </c>
      <c r="AU23" s="33">
        <f t="shared" si="10"/>
        <v>3333.3333333333335</v>
      </c>
      <c r="AV23" s="33">
        <f t="shared" si="10"/>
        <v>3333.3333333333335</v>
      </c>
      <c r="AW23" s="33">
        <f t="shared" si="10"/>
        <v>3333.3333333333335</v>
      </c>
      <c r="AX23" s="33">
        <f t="shared" si="10"/>
        <v>3333.3333333333335</v>
      </c>
      <c r="AY23" s="33">
        <f t="shared" si="10"/>
        <v>3333.3333333333335</v>
      </c>
      <c r="AZ23" s="33">
        <f t="shared" si="10"/>
        <v>3333.3333333333335</v>
      </c>
      <c r="BA23" s="33">
        <f t="shared" si="10"/>
        <v>3333.3333333333335</v>
      </c>
      <c r="BB23" s="33">
        <f t="shared" si="10"/>
        <v>3333.3333333333335</v>
      </c>
      <c r="BC23" s="33">
        <f t="shared" si="10"/>
        <v>3333.3333333333335</v>
      </c>
      <c r="BD23" s="33">
        <f t="shared" si="10"/>
        <v>3333.3333333333335</v>
      </c>
      <c r="BE23" s="33">
        <f t="shared" si="10"/>
        <v>3333.3333333333335</v>
      </c>
      <c r="BF23" s="33">
        <f t="shared" si="10"/>
        <v>3333.3333333333335</v>
      </c>
      <c r="BG23" s="33">
        <f t="shared" si="10"/>
        <v>3333.3333333333335</v>
      </c>
      <c r="BH23" s="33">
        <f t="shared" si="10"/>
        <v>3333.3333333333335</v>
      </c>
      <c r="BI23" s="33">
        <f t="shared" si="10"/>
        <v>3333.3333333333335</v>
      </c>
      <c r="BJ23" s="33">
        <f t="shared" si="10"/>
        <v>3333.3333333333335</v>
      </c>
      <c r="BK23" s="33">
        <f t="shared" si="10"/>
        <v>3333.3333333333335</v>
      </c>
      <c r="BL23" s="33">
        <f t="shared" si="10"/>
        <v>3333.3333333333335</v>
      </c>
      <c r="BM23" s="33">
        <f t="shared" si="10"/>
        <v>3333.3333333333335</v>
      </c>
      <c r="BN23" s="33">
        <f t="shared" si="10"/>
        <v>3333.3333333333335</v>
      </c>
      <c r="BO23" s="33">
        <f t="shared" si="10"/>
        <v>3333.3333333333335</v>
      </c>
      <c r="BP23" s="33">
        <f t="shared" ref="BP23:CU23" si="11">BP21+BP22</f>
        <v>3333.3333333333335</v>
      </c>
      <c r="BQ23" s="33">
        <f t="shared" si="11"/>
        <v>3333.3333333333335</v>
      </c>
      <c r="BR23" s="33">
        <f t="shared" si="11"/>
        <v>3333.3333333333335</v>
      </c>
      <c r="BS23" s="33">
        <f t="shared" si="11"/>
        <v>3333.3333333333335</v>
      </c>
      <c r="BT23" s="33">
        <f t="shared" si="11"/>
        <v>3333.3333333333335</v>
      </c>
      <c r="BU23" s="33">
        <f t="shared" si="11"/>
        <v>3333.3333333333335</v>
      </c>
      <c r="BV23" s="33">
        <f t="shared" si="11"/>
        <v>3333.3333333333335</v>
      </c>
      <c r="BW23" s="33">
        <f t="shared" si="11"/>
        <v>3333.3333333333335</v>
      </c>
      <c r="BX23" s="33">
        <f t="shared" si="11"/>
        <v>3333.3333333333335</v>
      </c>
      <c r="BY23" s="33">
        <f t="shared" si="11"/>
        <v>3333.3333333333335</v>
      </c>
      <c r="BZ23" s="33">
        <f t="shared" si="11"/>
        <v>3333.3333333333335</v>
      </c>
      <c r="CA23" s="33">
        <f t="shared" si="11"/>
        <v>3333.3333333333335</v>
      </c>
      <c r="CB23" s="33">
        <f t="shared" si="11"/>
        <v>3333.3333333333335</v>
      </c>
      <c r="CC23" s="33">
        <f t="shared" si="11"/>
        <v>3333.3333333333335</v>
      </c>
      <c r="CD23" s="33">
        <f t="shared" si="11"/>
        <v>3333.3333333333335</v>
      </c>
      <c r="CE23" s="33">
        <f t="shared" si="11"/>
        <v>3333.3333333333335</v>
      </c>
      <c r="CF23" s="33">
        <f t="shared" si="11"/>
        <v>3333.3333333333335</v>
      </c>
      <c r="CG23" s="33">
        <f t="shared" si="11"/>
        <v>3333.3333333333335</v>
      </c>
      <c r="CH23" s="33">
        <f t="shared" si="11"/>
        <v>3333.3333333333335</v>
      </c>
      <c r="CI23" s="33">
        <f t="shared" si="11"/>
        <v>3333.3333333333335</v>
      </c>
    </row>
    <row r="24" spans="1:87" ht="16">
      <c r="A24" s="6" t="s">
        <v>585</v>
      </c>
      <c r="B24" s="30" t="s">
        <v>465</v>
      </c>
      <c r="C24" s="15"/>
      <c r="D24" s="33">
        <f>IF(D$8&gt;='1_PANEL_CONTROL'!$D$40, IF(D$8&lt;=12, 18000, IF(D$8&lt;=24, 30000, 40000))/12, 0)</f>
        <v>1500</v>
      </c>
      <c r="E24" s="33">
        <f>IF(E$8&gt;='1_PANEL_CONTROL'!$D$40, IF(E$8&lt;=12, 18000, IF(E$8&lt;=24, 30000, 40000))/12, 0)</f>
        <v>1500</v>
      </c>
      <c r="F24" s="33">
        <f>IF(F$8&gt;='1_PANEL_CONTROL'!$D$40, IF(F$8&lt;=12, 18000, IF(F$8&lt;=24, 30000, 40000))/12, 0)</f>
        <v>1500</v>
      </c>
      <c r="G24" s="33">
        <f>IF(G$8&gt;='1_PANEL_CONTROL'!$D$40, IF(G$8&lt;=12, 18000, IF(G$8&lt;=24, 30000, 40000))/12, 0)</f>
        <v>1500</v>
      </c>
      <c r="H24" s="33">
        <f>IF(H$8&gt;='1_PANEL_CONTROL'!$D$40, IF(H$8&lt;=12, 18000, IF(H$8&lt;=24, 30000, 40000))/12, 0)</f>
        <v>1500</v>
      </c>
      <c r="I24" s="33">
        <f>IF(I$8&gt;='1_PANEL_CONTROL'!$D$40, IF(I$8&lt;=12, 18000, IF(I$8&lt;=24, 30000, 40000))/12, 0)</f>
        <v>1500</v>
      </c>
      <c r="J24" s="33">
        <f>IF(J$8&gt;='1_PANEL_CONTROL'!$D$40, IF(J$8&lt;=12, 18000, IF(J$8&lt;=24, 30000, 40000))/12, 0)</f>
        <v>1500</v>
      </c>
      <c r="K24" s="33">
        <f>IF(K$8&gt;='1_PANEL_CONTROL'!$D$40, IF(K$8&lt;=12, 18000, IF(K$8&lt;=24, 30000, 40000))/12, 0)</f>
        <v>1500</v>
      </c>
      <c r="L24" s="33">
        <f>IF(L$8&gt;='1_PANEL_CONTROL'!$D$40, IF(L$8&lt;=12, 18000, IF(L$8&lt;=24, 30000, 40000))/12, 0)</f>
        <v>1500</v>
      </c>
      <c r="M24" s="33">
        <f>IF(M$8&gt;='1_PANEL_CONTROL'!$D$40, IF(M$8&lt;=12, 18000, IF(M$8&lt;=24, 30000, 40000))/12, 0)</f>
        <v>1500</v>
      </c>
      <c r="N24" s="33">
        <f>IF(N$8&gt;='1_PANEL_CONTROL'!$D$40, IF(N$8&lt;=12, 18000, IF(N$8&lt;=24, 30000, 40000))/12, 0)</f>
        <v>1500</v>
      </c>
      <c r="O24" s="33">
        <f>IF(O$8&gt;='1_PANEL_CONTROL'!$D$40, IF(O$8&lt;=12, 18000, IF(O$8&lt;=24, 30000, 40000))/12, 0)</f>
        <v>1500</v>
      </c>
      <c r="P24" s="33">
        <f>IF(P$8&gt;='1_PANEL_CONTROL'!$D$40, IF(P$8&lt;=12, 18000, IF(P$8&lt;=24, 30000, 40000))/12, 0)</f>
        <v>2500</v>
      </c>
      <c r="Q24" s="33">
        <f>IF(Q$8&gt;='1_PANEL_CONTROL'!$D$40, IF(Q$8&lt;=12, 18000, IF(Q$8&lt;=24, 30000, 40000))/12, 0)</f>
        <v>2500</v>
      </c>
      <c r="R24" s="33">
        <f>IF(R$8&gt;='1_PANEL_CONTROL'!$D$40, IF(R$8&lt;=12, 18000, IF(R$8&lt;=24, 30000, 40000))/12, 0)</f>
        <v>2500</v>
      </c>
      <c r="S24" s="33">
        <f>IF(S$8&gt;='1_PANEL_CONTROL'!$D$40, IF(S$8&lt;=12, 18000, IF(S$8&lt;=24, 30000, 40000))/12, 0)</f>
        <v>2500</v>
      </c>
      <c r="T24" s="33">
        <f>IF(T$8&gt;='1_PANEL_CONTROL'!$D$40, IF(T$8&lt;=12, 18000, IF(T$8&lt;=24, 30000, 40000))/12, 0)</f>
        <v>2500</v>
      </c>
      <c r="U24" s="33">
        <f>IF(U$8&gt;='1_PANEL_CONTROL'!$D$40, IF(U$8&lt;=12, 18000, IF(U$8&lt;=24, 30000, 40000))/12, 0)</f>
        <v>2500</v>
      </c>
      <c r="V24" s="33">
        <f>IF(V$8&gt;='1_PANEL_CONTROL'!$D$40, IF(V$8&lt;=12, 18000, IF(V$8&lt;=24, 30000, 40000))/12, 0)</f>
        <v>2500</v>
      </c>
      <c r="W24" s="33">
        <f>IF(W$8&gt;='1_PANEL_CONTROL'!$D$40, IF(W$8&lt;=12, 18000, IF(W$8&lt;=24, 30000, 40000))/12, 0)</f>
        <v>2500</v>
      </c>
      <c r="X24" s="33">
        <f>IF(X$8&gt;='1_PANEL_CONTROL'!$D$40, IF(X$8&lt;=12, 18000, IF(X$8&lt;=24, 30000, 40000))/12, 0)</f>
        <v>2500</v>
      </c>
      <c r="Y24" s="33">
        <f>IF(Y$8&gt;='1_PANEL_CONTROL'!$D$40, IF(Y$8&lt;=12, 18000, IF(Y$8&lt;=24, 30000, 40000))/12, 0)</f>
        <v>2500</v>
      </c>
      <c r="Z24" s="33">
        <f>IF(Z$8&gt;='1_PANEL_CONTROL'!$D$40, IF(Z$8&lt;=12, 18000, IF(Z$8&lt;=24, 30000, 40000))/12, 0)</f>
        <v>2500</v>
      </c>
      <c r="AA24" s="33">
        <f>IF(AA$8&gt;='1_PANEL_CONTROL'!$D$40, IF(AA$8&lt;=12, 18000, IF(AA$8&lt;=24, 30000, 40000))/12, 0)</f>
        <v>2500</v>
      </c>
      <c r="AB24" s="33">
        <f>IF(AB$8&gt;='1_PANEL_CONTROL'!$D$40, IF(AB$8&lt;=12, 18000, IF(AB$8&lt;=24, 30000, 40000))/12, 0)</f>
        <v>3333.3333333333335</v>
      </c>
      <c r="AC24" s="33">
        <f>IF(AC$8&gt;='1_PANEL_CONTROL'!$D$40, IF(AC$8&lt;=12, 18000, IF(AC$8&lt;=24, 30000, 40000))/12, 0)</f>
        <v>3333.3333333333335</v>
      </c>
      <c r="AD24" s="33">
        <f>IF(AD$8&gt;='1_PANEL_CONTROL'!$D$40, IF(AD$8&lt;=12, 18000, IF(AD$8&lt;=24, 30000, 40000))/12, 0)</f>
        <v>3333.3333333333335</v>
      </c>
      <c r="AE24" s="33">
        <f>IF(AE$8&gt;='1_PANEL_CONTROL'!$D$40, IF(AE$8&lt;=12, 18000, IF(AE$8&lt;=24, 30000, 40000))/12, 0)</f>
        <v>3333.3333333333335</v>
      </c>
      <c r="AF24" s="33">
        <f>IF(AF$8&gt;='1_PANEL_CONTROL'!$D$40, IF(AF$8&lt;=12, 18000, IF(AF$8&lt;=24, 30000, 40000))/12, 0)</f>
        <v>3333.3333333333335</v>
      </c>
      <c r="AG24" s="33">
        <f>IF(AG$8&gt;='1_PANEL_CONTROL'!$D$40, IF(AG$8&lt;=12, 18000, IF(AG$8&lt;=24, 30000, 40000))/12, 0)</f>
        <v>3333.3333333333335</v>
      </c>
      <c r="AH24" s="33">
        <f>IF(AH$8&gt;='1_PANEL_CONTROL'!$D$40, IF(AH$8&lt;=12, 18000, IF(AH$8&lt;=24, 30000, 40000))/12, 0)</f>
        <v>3333.3333333333335</v>
      </c>
      <c r="AI24" s="33">
        <f>IF(AI$8&gt;='1_PANEL_CONTROL'!$D$40, IF(AI$8&lt;=12, 18000, IF(AI$8&lt;=24, 30000, 40000))/12, 0)</f>
        <v>3333.3333333333335</v>
      </c>
      <c r="AJ24" s="33">
        <f>IF(AJ$8&gt;='1_PANEL_CONTROL'!$D$40, IF(AJ$8&lt;=12, 18000, IF(AJ$8&lt;=24, 30000, 40000))/12, 0)</f>
        <v>3333.3333333333335</v>
      </c>
      <c r="AK24" s="33">
        <f>IF(AK$8&gt;='1_PANEL_CONTROL'!$D$40, IF(AK$8&lt;=12, 18000, IF(AK$8&lt;=24, 30000, 40000))/12, 0)</f>
        <v>3333.3333333333335</v>
      </c>
      <c r="AL24" s="33">
        <f>IF(AL$8&gt;='1_PANEL_CONTROL'!$D$40, IF(AL$8&lt;=12, 18000, IF(AL$8&lt;=24, 30000, 40000))/12, 0)</f>
        <v>3333.3333333333335</v>
      </c>
      <c r="AM24" s="33">
        <f>IF(AM$8&gt;='1_PANEL_CONTROL'!$D$40, IF(AM$8&lt;=12, 18000, IF(AM$8&lt;=24, 30000, 40000))/12, 0)</f>
        <v>3333.3333333333335</v>
      </c>
      <c r="AN24" s="33">
        <f>IF(AN$8&gt;='1_PANEL_CONTROL'!$D$40, IF(AN$8&lt;=12, 18000, IF(AN$8&lt;=24, 30000, 40000))/12, 0)</f>
        <v>3333.3333333333335</v>
      </c>
      <c r="AO24" s="33">
        <f>IF(AO$8&gt;='1_PANEL_CONTROL'!$D$40, IF(AO$8&lt;=12, 18000, IF(AO$8&lt;=24, 30000, 40000))/12, 0)</f>
        <v>3333.3333333333335</v>
      </c>
      <c r="AP24" s="33">
        <f>IF(AP$8&gt;='1_PANEL_CONTROL'!$D$40, IF(AP$8&lt;=12, 18000, IF(AP$8&lt;=24, 30000, 40000))/12, 0)</f>
        <v>3333.3333333333335</v>
      </c>
      <c r="AQ24" s="33">
        <f>IF(AQ$8&gt;='1_PANEL_CONTROL'!$D$40, IF(AQ$8&lt;=12, 18000, IF(AQ$8&lt;=24, 30000, 40000))/12, 0)</f>
        <v>3333.3333333333335</v>
      </c>
      <c r="AR24" s="33">
        <f>IF(AR$8&gt;='1_PANEL_CONTROL'!$D$40, IF(AR$8&lt;=12, 18000, IF(AR$8&lt;=24, 30000, 40000))/12, 0)</f>
        <v>3333.3333333333335</v>
      </c>
      <c r="AS24" s="33">
        <f>IF(AS$8&gt;='1_PANEL_CONTROL'!$D$40, IF(AS$8&lt;=12, 18000, IF(AS$8&lt;=24, 30000, 40000))/12, 0)</f>
        <v>3333.3333333333335</v>
      </c>
      <c r="AT24" s="33">
        <f>IF(AT$8&gt;='1_PANEL_CONTROL'!$D$40, IF(AT$8&lt;=12, 18000, IF(AT$8&lt;=24, 30000, 40000))/12, 0)</f>
        <v>3333.3333333333335</v>
      </c>
      <c r="AU24" s="33">
        <f>IF(AU$8&gt;='1_PANEL_CONTROL'!$D$40, IF(AU$8&lt;=12, 18000, IF(AU$8&lt;=24, 30000, 40000))/12, 0)</f>
        <v>3333.3333333333335</v>
      </c>
      <c r="AV24" s="33">
        <f>IF(AV$8&gt;='1_PANEL_CONTROL'!$D$40, IF(AV$8&lt;=12, 18000, IF(AV$8&lt;=24, 30000, 40000))/12, 0)</f>
        <v>3333.3333333333335</v>
      </c>
      <c r="AW24" s="33">
        <f>IF(AW$8&gt;='1_PANEL_CONTROL'!$D$40, IF(AW$8&lt;=12, 18000, IF(AW$8&lt;=24, 30000, 40000))/12, 0)</f>
        <v>3333.3333333333335</v>
      </c>
      <c r="AX24" s="33">
        <f>IF(AX$8&gt;='1_PANEL_CONTROL'!$D$40, IF(AX$8&lt;=12, 18000, IF(AX$8&lt;=24, 30000, 40000))/12, 0)</f>
        <v>3333.3333333333335</v>
      </c>
      <c r="AY24" s="33">
        <f>IF(AY$8&gt;='1_PANEL_CONTROL'!$D$40, IF(AY$8&lt;=12, 18000, IF(AY$8&lt;=24, 30000, 40000))/12, 0)</f>
        <v>3333.3333333333335</v>
      </c>
      <c r="AZ24" s="33">
        <f>IF(AZ$8&gt;='1_PANEL_CONTROL'!$D$40, IF(AZ$8&lt;=12, 18000, IF(AZ$8&lt;=24, 30000, 40000))/12, 0)</f>
        <v>3333.3333333333335</v>
      </c>
      <c r="BA24" s="33">
        <f>IF(BA$8&gt;='1_PANEL_CONTROL'!$D$40, IF(BA$8&lt;=12, 18000, IF(BA$8&lt;=24, 30000, 40000))/12, 0)</f>
        <v>3333.3333333333335</v>
      </c>
      <c r="BB24" s="33">
        <f>IF(BB$8&gt;='1_PANEL_CONTROL'!$D$40, IF(BB$8&lt;=12, 18000, IF(BB$8&lt;=24, 30000, 40000))/12, 0)</f>
        <v>3333.3333333333335</v>
      </c>
      <c r="BC24" s="33">
        <f>IF(BC$8&gt;='1_PANEL_CONTROL'!$D$40, IF(BC$8&lt;=12, 18000, IF(BC$8&lt;=24, 30000, 40000))/12, 0)</f>
        <v>3333.3333333333335</v>
      </c>
      <c r="BD24" s="33">
        <f>IF(BD$8&gt;='1_PANEL_CONTROL'!$D$40, IF(BD$8&lt;=12, 18000, IF(BD$8&lt;=24, 30000, 40000))/12, 0)</f>
        <v>3333.3333333333335</v>
      </c>
      <c r="BE24" s="33">
        <f>IF(BE$8&gt;='1_PANEL_CONTROL'!$D$40, IF(BE$8&lt;=12, 18000, IF(BE$8&lt;=24, 30000, 40000))/12, 0)</f>
        <v>3333.3333333333335</v>
      </c>
      <c r="BF24" s="33">
        <f>IF(BF$8&gt;='1_PANEL_CONTROL'!$D$40, IF(BF$8&lt;=12, 18000, IF(BF$8&lt;=24, 30000, 40000))/12, 0)</f>
        <v>3333.3333333333335</v>
      </c>
      <c r="BG24" s="33">
        <f>IF(BG$8&gt;='1_PANEL_CONTROL'!$D$40, IF(BG$8&lt;=12, 18000, IF(BG$8&lt;=24, 30000, 40000))/12, 0)</f>
        <v>3333.3333333333335</v>
      </c>
      <c r="BH24" s="33">
        <f>IF(BH$8&gt;='1_PANEL_CONTROL'!$D$40, IF(BH$8&lt;=12, 18000, IF(BH$8&lt;=24, 30000, 40000))/12, 0)</f>
        <v>3333.3333333333335</v>
      </c>
      <c r="BI24" s="33">
        <f>IF(BI$8&gt;='1_PANEL_CONTROL'!$D$40, IF(BI$8&lt;=12, 18000, IF(BI$8&lt;=24, 30000, 40000))/12, 0)</f>
        <v>3333.3333333333335</v>
      </c>
      <c r="BJ24" s="33">
        <f>IF(BJ$8&gt;='1_PANEL_CONTROL'!$D$40, IF(BJ$8&lt;=12, 18000, IF(BJ$8&lt;=24, 30000, 40000))/12, 0)</f>
        <v>3333.3333333333335</v>
      </c>
      <c r="BK24" s="33">
        <f>IF(BK$8&gt;='1_PANEL_CONTROL'!$D$40, IF(BK$8&lt;=12, 18000, IF(BK$8&lt;=24, 30000, 40000))/12, 0)</f>
        <v>3333.3333333333335</v>
      </c>
      <c r="BL24" s="33">
        <f>IF(BL$8&gt;='1_PANEL_CONTROL'!$D$40, IF(BL$8&lt;=12, 18000, IF(BL$8&lt;=24, 30000, 40000))/12, 0)</f>
        <v>3333.3333333333335</v>
      </c>
      <c r="BM24" s="33">
        <f>IF(BM$8&gt;='1_PANEL_CONTROL'!$D$40, IF(BM$8&lt;=12, 18000, IF(BM$8&lt;=24, 30000, 40000))/12, 0)</f>
        <v>3333.3333333333335</v>
      </c>
      <c r="BN24" s="33">
        <f>IF(BN$8&gt;='1_PANEL_CONTROL'!$D$40, IF(BN$8&lt;=12, 18000, IF(BN$8&lt;=24, 30000, 40000))/12, 0)</f>
        <v>3333.3333333333335</v>
      </c>
      <c r="BO24" s="33">
        <f>IF(BO$8&gt;='1_PANEL_CONTROL'!$D$40, IF(BO$8&lt;=12, 18000, IF(BO$8&lt;=24, 30000, 40000))/12, 0)</f>
        <v>3333.3333333333335</v>
      </c>
      <c r="BP24" s="33">
        <f>IF(BP$8&gt;='1_PANEL_CONTROL'!$D$40, IF(BP$8&lt;=12, 18000, IF(BP$8&lt;=24, 30000, 40000))/12, 0)</f>
        <v>3333.3333333333335</v>
      </c>
      <c r="BQ24" s="33">
        <f>IF(BQ$8&gt;='1_PANEL_CONTROL'!$D$40, IF(BQ$8&lt;=12, 18000, IF(BQ$8&lt;=24, 30000, 40000))/12, 0)</f>
        <v>3333.3333333333335</v>
      </c>
      <c r="BR24" s="33">
        <f>IF(BR$8&gt;='1_PANEL_CONTROL'!$D$40, IF(BR$8&lt;=12, 18000, IF(BR$8&lt;=24, 30000, 40000))/12, 0)</f>
        <v>3333.3333333333335</v>
      </c>
      <c r="BS24" s="33">
        <f>IF(BS$8&gt;='1_PANEL_CONTROL'!$D$40, IF(BS$8&lt;=12, 18000, IF(BS$8&lt;=24, 30000, 40000))/12, 0)</f>
        <v>3333.3333333333335</v>
      </c>
      <c r="BT24" s="33">
        <f>IF(BT$8&gt;='1_PANEL_CONTROL'!$D$40, IF(BT$8&lt;=12, 18000, IF(BT$8&lt;=24, 30000, 40000))/12, 0)</f>
        <v>3333.3333333333335</v>
      </c>
      <c r="BU24" s="33">
        <f>IF(BU$8&gt;='1_PANEL_CONTROL'!$D$40, IF(BU$8&lt;=12, 18000, IF(BU$8&lt;=24, 30000, 40000))/12, 0)</f>
        <v>3333.3333333333335</v>
      </c>
      <c r="BV24" s="33">
        <f>IF(BV$8&gt;='1_PANEL_CONTROL'!$D$40, IF(BV$8&lt;=12, 18000, IF(BV$8&lt;=24, 30000, 40000))/12, 0)</f>
        <v>3333.3333333333335</v>
      </c>
      <c r="BW24" s="33">
        <f>IF(BW$8&gt;='1_PANEL_CONTROL'!$D$40, IF(BW$8&lt;=12, 18000, IF(BW$8&lt;=24, 30000, 40000))/12, 0)</f>
        <v>3333.3333333333335</v>
      </c>
      <c r="BX24" s="33">
        <f>IF(BX$8&gt;='1_PANEL_CONTROL'!$D$40, IF(BX$8&lt;=12, 18000, IF(BX$8&lt;=24, 30000, 40000))/12, 0)</f>
        <v>3333.3333333333335</v>
      </c>
      <c r="BY24" s="33">
        <f>IF(BY$8&gt;='1_PANEL_CONTROL'!$D$40, IF(BY$8&lt;=12, 18000, IF(BY$8&lt;=24, 30000, 40000))/12, 0)</f>
        <v>3333.3333333333335</v>
      </c>
      <c r="BZ24" s="33">
        <f>IF(BZ$8&gt;='1_PANEL_CONTROL'!$D$40, IF(BZ$8&lt;=12, 18000, IF(BZ$8&lt;=24, 30000, 40000))/12, 0)</f>
        <v>3333.3333333333335</v>
      </c>
      <c r="CA24" s="33">
        <f>IF(CA$8&gt;='1_PANEL_CONTROL'!$D$40, IF(CA$8&lt;=12, 18000, IF(CA$8&lt;=24, 30000, 40000))/12, 0)</f>
        <v>3333.3333333333335</v>
      </c>
      <c r="CB24" s="33">
        <f>IF(CB$8&gt;='1_PANEL_CONTROL'!$D$40, IF(CB$8&lt;=12, 18000, IF(CB$8&lt;=24, 30000, 40000))/12, 0)</f>
        <v>3333.3333333333335</v>
      </c>
      <c r="CC24" s="33">
        <f>IF(CC$8&gt;='1_PANEL_CONTROL'!$D$40, IF(CC$8&lt;=12, 18000, IF(CC$8&lt;=24, 30000, 40000))/12, 0)</f>
        <v>3333.3333333333335</v>
      </c>
      <c r="CD24" s="33">
        <f>IF(CD$8&gt;='1_PANEL_CONTROL'!$D$40, IF(CD$8&lt;=12, 18000, IF(CD$8&lt;=24, 30000, 40000))/12, 0)</f>
        <v>3333.3333333333335</v>
      </c>
      <c r="CE24" s="33">
        <f>IF(CE$8&gt;='1_PANEL_CONTROL'!$D$40, IF(CE$8&lt;=12, 18000, IF(CE$8&lt;=24, 30000, 40000))/12, 0)</f>
        <v>3333.3333333333335</v>
      </c>
      <c r="CF24" s="33">
        <f>IF(CF$8&gt;='1_PANEL_CONTROL'!$D$40, IF(CF$8&lt;=12, 18000, IF(CF$8&lt;=24, 30000, 40000))/12, 0)</f>
        <v>3333.3333333333335</v>
      </c>
      <c r="CG24" s="33">
        <f>IF(CG$8&gt;='1_PANEL_CONTROL'!$D$40, IF(CG$8&lt;=12, 18000, IF(CG$8&lt;=24, 30000, 40000))/12, 0)</f>
        <v>3333.3333333333335</v>
      </c>
      <c r="CH24" s="33">
        <f>IF(CH$8&gt;='1_PANEL_CONTROL'!$D$40, IF(CH$8&lt;=12, 18000, IF(CH$8&lt;=24, 30000, 40000))/12, 0)</f>
        <v>3333.3333333333335</v>
      </c>
      <c r="CI24" s="33">
        <f>IF(CI$8&gt;='1_PANEL_CONTROL'!$D$40, IF(CI$8&lt;=12, 18000, IF(CI$8&lt;=24, 30000, 40000))/12, 0)</f>
        <v>3333.3333333333335</v>
      </c>
    </row>
    <row r="25" spans="1:87" ht="16">
      <c r="A25" s="6" t="s">
        <v>586</v>
      </c>
      <c r="B25" s="30" t="s">
        <v>465</v>
      </c>
      <c r="C25" s="15"/>
      <c r="D25" s="33">
        <f>IF(D$8&gt;='1_PANEL_CONTROL'!$D$40, MIN(MAX(D24, $D$6), $D$5), 0)</f>
        <v>1500</v>
      </c>
      <c r="E25" s="33">
        <f>IF(E$8&gt;='1_PANEL_CONTROL'!$D$40, MIN(MAX(E24, $D$6), $D$5), 0)</f>
        <v>1500</v>
      </c>
      <c r="F25" s="33">
        <f>IF(F$8&gt;='1_PANEL_CONTROL'!$D$40, MIN(MAX(F24, $D$6), $D$5), 0)</f>
        <v>1500</v>
      </c>
      <c r="G25" s="33">
        <f>IF(G$8&gt;='1_PANEL_CONTROL'!$D$40, MIN(MAX(G24, $D$6), $D$5), 0)</f>
        <v>1500</v>
      </c>
      <c r="H25" s="33">
        <f>IF(H$8&gt;='1_PANEL_CONTROL'!$D$40, MIN(MAX(H24, $D$6), $D$5), 0)</f>
        <v>1500</v>
      </c>
      <c r="I25" s="33">
        <f>IF(I$8&gt;='1_PANEL_CONTROL'!$D$40, MIN(MAX(I24, $D$6), $D$5), 0)</f>
        <v>1500</v>
      </c>
      <c r="J25" s="33">
        <f>IF(J$8&gt;='1_PANEL_CONTROL'!$D$40, MIN(MAX(J24, $D$6), $D$5), 0)</f>
        <v>1500</v>
      </c>
      <c r="K25" s="33">
        <f>IF(K$8&gt;='1_PANEL_CONTROL'!$D$40, MIN(MAX(K24, $D$6), $D$5), 0)</f>
        <v>1500</v>
      </c>
      <c r="L25" s="33">
        <f>IF(L$8&gt;='1_PANEL_CONTROL'!$D$40, MIN(MAX(L24, $D$6), $D$5), 0)</f>
        <v>1500</v>
      </c>
      <c r="M25" s="33">
        <f>IF(M$8&gt;='1_PANEL_CONTROL'!$D$40, MIN(MAX(M24, $D$6), $D$5), 0)</f>
        <v>1500</v>
      </c>
      <c r="N25" s="33">
        <f>IF(N$8&gt;='1_PANEL_CONTROL'!$D$40, MIN(MAX(N24, $D$6), $D$5), 0)</f>
        <v>1500</v>
      </c>
      <c r="O25" s="33">
        <f>IF(O$8&gt;='1_PANEL_CONTROL'!$D$40, MIN(MAX(O24, $D$6), $D$5), 0)</f>
        <v>1500</v>
      </c>
      <c r="P25" s="33">
        <f>IF(P$8&gt;='1_PANEL_CONTROL'!$D$40, MIN(MAX(P24, $D$6), $D$5), 0)</f>
        <v>2500</v>
      </c>
      <c r="Q25" s="33">
        <f>IF(Q$8&gt;='1_PANEL_CONTROL'!$D$40, MIN(MAX(Q24, $D$6), $D$5), 0)</f>
        <v>2500</v>
      </c>
      <c r="R25" s="33">
        <f>IF(R$8&gt;='1_PANEL_CONTROL'!$D$40, MIN(MAX(R24, $D$6), $D$5), 0)</f>
        <v>2500</v>
      </c>
      <c r="S25" s="33">
        <f>IF(S$8&gt;='1_PANEL_CONTROL'!$D$40, MIN(MAX(S24, $D$6), $D$5), 0)</f>
        <v>2500</v>
      </c>
      <c r="T25" s="33">
        <f>IF(T$8&gt;='1_PANEL_CONTROL'!$D$40, MIN(MAX(T24, $D$6), $D$5), 0)</f>
        <v>2500</v>
      </c>
      <c r="U25" s="33">
        <f>IF(U$8&gt;='1_PANEL_CONTROL'!$D$40, MIN(MAX(U24, $D$6), $D$5), 0)</f>
        <v>2500</v>
      </c>
      <c r="V25" s="33">
        <f>IF(V$8&gt;='1_PANEL_CONTROL'!$D$40, MIN(MAX(V24, $D$6), $D$5), 0)</f>
        <v>2500</v>
      </c>
      <c r="W25" s="33">
        <f>IF(W$8&gt;='1_PANEL_CONTROL'!$D$40, MIN(MAX(W24, $D$6), $D$5), 0)</f>
        <v>2500</v>
      </c>
      <c r="X25" s="33">
        <f>IF(X$8&gt;='1_PANEL_CONTROL'!$D$40, MIN(MAX(X24, $D$6), $D$5), 0)</f>
        <v>2500</v>
      </c>
      <c r="Y25" s="33">
        <f>IF(Y$8&gt;='1_PANEL_CONTROL'!$D$40, MIN(MAX(Y24, $D$6), $D$5), 0)</f>
        <v>2500</v>
      </c>
      <c r="Z25" s="33">
        <f>IF(Z$8&gt;='1_PANEL_CONTROL'!$D$40, MIN(MAX(Z24, $D$6), $D$5), 0)</f>
        <v>2500</v>
      </c>
      <c r="AA25" s="33">
        <f>IF(AA$8&gt;='1_PANEL_CONTROL'!$D$40, MIN(MAX(AA24, $D$6), $D$5), 0)</f>
        <v>2500</v>
      </c>
      <c r="AB25" s="33">
        <f>IF(AB$8&gt;='1_PANEL_CONTROL'!$D$40, MIN(MAX(AB24, $D$6), $D$5), 0)</f>
        <v>3333.3333333333335</v>
      </c>
      <c r="AC25" s="33">
        <f>IF(AC$8&gt;='1_PANEL_CONTROL'!$D$40, MIN(MAX(AC24, $D$6), $D$5), 0)</f>
        <v>3333.3333333333335</v>
      </c>
      <c r="AD25" s="33">
        <f>IF(AD$8&gt;='1_PANEL_CONTROL'!$D$40, MIN(MAX(AD24, $D$6), $D$5), 0)</f>
        <v>3333.3333333333335</v>
      </c>
      <c r="AE25" s="33">
        <f>IF(AE$8&gt;='1_PANEL_CONTROL'!$D$40, MIN(MAX(AE24, $D$6), $D$5), 0)</f>
        <v>3333.3333333333335</v>
      </c>
      <c r="AF25" s="33">
        <f>IF(AF$8&gt;='1_PANEL_CONTROL'!$D$40, MIN(MAX(AF24, $D$6), $D$5), 0)</f>
        <v>3333.3333333333335</v>
      </c>
      <c r="AG25" s="33">
        <f>IF(AG$8&gt;='1_PANEL_CONTROL'!$D$40, MIN(MAX(AG24, $D$6), $D$5), 0)</f>
        <v>3333.3333333333335</v>
      </c>
      <c r="AH25" s="33">
        <f>IF(AH$8&gt;='1_PANEL_CONTROL'!$D$40, MIN(MAX(AH24, $D$6), $D$5), 0)</f>
        <v>3333.3333333333335</v>
      </c>
      <c r="AI25" s="33">
        <f>IF(AI$8&gt;='1_PANEL_CONTROL'!$D$40, MIN(MAX(AI24, $D$6), $D$5), 0)</f>
        <v>3333.3333333333335</v>
      </c>
      <c r="AJ25" s="33">
        <f>IF(AJ$8&gt;='1_PANEL_CONTROL'!$D$40, MIN(MAX(AJ24, $D$6), $D$5), 0)</f>
        <v>3333.3333333333335</v>
      </c>
      <c r="AK25" s="33">
        <f>IF(AK$8&gt;='1_PANEL_CONTROL'!$D$40, MIN(MAX(AK24, $D$6), $D$5), 0)</f>
        <v>3333.3333333333335</v>
      </c>
      <c r="AL25" s="33">
        <f>IF(AL$8&gt;='1_PANEL_CONTROL'!$D$40, MIN(MAX(AL24, $D$6), $D$5), 0)</f>
        <v>3333.3333333333335</v>
      </c>
      <c r="AM25" s="33">
        <f>IF(AM$8&gt;='1_PANEL_CONTROL'!$D$40, MIN(MAX(AM24, $D$6), $D$5), 0)</f>
        <v>3333.3333333333335</v>
      </c>
      <c r="AN25" s="33">
        <f>IF(AN$8&gt;='1_PANEL_CONTROL'!$D$40, MIN(MAX(AN24, $D$6), $D$5), 0)</f>
        <v>3333.3333333333335</v>
      </c>
      <c r="AO25" s="33">
        <f>IF(AO$8&gt;='1_PANEL_CONTROL'!$D$40, MIN(MAX(AO24, $D$6), $D$5), 0)</f>
        <v>3333.3333333333335</v>
      </c>
      <c r="AP25" s="33">
        <f>IF(AP$8&gt;='1_PANEL_CONTROL'!$D$40, MIN(MAX(AP24, $D$6), $D$5), 0)</f>
        <v>3333.3333333333335</v>
      </c>
      <c r="AQ25" s="33">
        <f>IF(AQ$8&gt;='1_PANEL_CONTROL'!$D$40, MIN(MAX(AQ24, $D$6), $D$5), 0)</f>
        <v>3333.3333333333335</v>
      </c>
      <c r="AR25" s="33">
        <f>IF(AR$8&gt;='1_PANEL_CONTROL'!$D$40, MIN(MAX(AR24, $D$6), $D$5), 0)</f>
        <v>3333.3333333333335</v>
      </c>
      <c r="AS25" s="33">
        <f>IF(AS$8&gt;='1_PANEL_CONTROL'!$D$40, MIN(MAX(AS24, $D$6), $D$5), 0)</f>
        <v>3333.3333333333335</v>
      </c>
      <c r="AT25" s="33">
        <f>IF(AT$8&gt;='1_PANEL_CONTROL'!$D$40, MIN(MAX(AT24, $D$6), $D$5), 0)</f>
        <v>3333.3333333333335</v>
      </c>
      <c r="AU25" s="33">
        <f>IF(AU$8&gt;='1_PANEL_CONTROL'!$D$40, MIN(MAX(AU24, $D$6), $D$5), 0)</f>
        <v>3333.3333333333335</v>
      </c>
      <c r="AV25" s="33">
        <f>IF(AV$8&gt;='1_PANEL_CONTROL'!$D$40, MIN(MAX(AV24, $D$6), $D$5), 0)</f>
        <v>3333.3333333333335</v>
      </c>
      <c r="AW25" s="33">
        <f>IF(AW$8&gt;='1_PANEL_CONTROL'!$D$40, MIN(MAX(AW24, $D$6), $D$5), 0)</f>
        <v>3333.3333333333335</v>
      </c>
      <c r="AX25" s="33">
        <f>IF(AX$8&gt;='1_PANEL_CONTROL'!$D$40, MIN(MAX(AX24, $D$6), $D$5), 0)</f>
        <v>3333.3333333333335</v>
      </c>
      <c r="AY25" s="33">
        <f>IF(AY$8&gt;='1_PANEL_CONTROL'!$D$40, MIN(MAX(AY24, $D$6), $D$5), 0)</f>
        <v>3333.3333333333335</v>
      </c>
      <c r="AZ25" s="33">
        <f>IF(AZ$8&gt;='1_PANEL_CONTROL'!$D$40, MIN(MAX(AZ24, $D$6), $D$5), 0)</f>
        <v>3333.3333333333335</v>
      </c>
      <c r="BA25" s="33">
        <f>IF(BA$8&gt;='1_PANEL_CONTROL'!$D$40, MIN(MAX(BA24, $D$6), $D$5), 0)</f>
        <v>3333.3333333333335</v>
      </c>
      <c r="BB25" s="33">
        <f>IF(BB$8&gt;='1_PANEL_CONTROL'!$D$40, MIN(MAX(BB24, $D$6), $D$5), 0)</f>
        <v>3333.3333333333335</v>
      </c>
      <c r="BC25" s="33">
        <f>IF(BC$8&gt;='1_PANEL_CONTROL'!$D$40, MIN(MAX(BC24, $D$6), $D$5), 0)</f>
        <v>3333.3333333333335</v>
      </c>
      <c r="BD25" s="33">
        <f>IF(BD$8&gt;='1_PANEL_CONTROL'!$D$40, MIN(MAX(BD24, $D$6), $D$5), 0)</f>
        <v>3333.3333333333335</v>
      </c>
      <c r="BE25" s="33">
        <f>IF(BE$8&gt;='1_PANEL_CONTROL'!$D$40, MIN(MAX(BE24, $D$6), $D$5), 0)</f>
        <v>3333.3333333333335</v>
      </c>
      <c r="BF25" s="33">
        <f>IF(BF$8&gt;='1_PANEL_CONTROL'!$D$40, MIN(MAX(BF24, $D$6), $D$5), 0)</f>
        <v>3333.3333333333335</v>
      </c>
      <c r="BG25" s="33">
        <f>IF(BG$8&gt;='1_PANEL_CONTROL'!$D$40, MIN(MAX(BG24, $D$6), $D$5), 0)</f>
        <v>3333.3333333333335</v>
      </c>
      <c r="BH25" s="33">
        <f>IF(BH$8&gt;='1_PANEL_CONTROL'!$D$40, MIN(MAX(BH24, $D$6), $D$5), 0)</f>
        <v>3333.3333333333335</v>
      </c>
      <c r="BI25" s="33">
        <f>IF(BI$8&gt;='1_PANEL_CONTROL'!$D$40, MIN(MAX(BI24, $D$6), $D$5), 0)</f>
        <v>3333.3333333333335</v>
      </c>
      <c r="BJ25" s="33">
        <f>IF(BJ$8&gt;='1_PANEL_CONTROL'!$D$40, MIN(MAX(BJ24, $D$6), $D$5), 0)</f>
        <v>3333.3333333333335</v>
      </c>
      <c r="BK25" s="33">
        <f>IF(BK$8&gt;='1_PANEL_CONTROL'!$D$40, MIN(MAX(BK24, $D$6), $D$5), 0)</f>
        <v>3333.3333333333335</v>
      </c>
      <c r="BL25" s="33">
        <f>IF(BL$8&gt;='1_PANEL_CONTROL'!$D$40, MIN(MAX(BL24, $D$6), $D$5), 0)</f>
        <v>3333.3333333333335</v>
      </c>
      <c r="BM25" s="33">
        <f>IF(BM$8&gt;='1_PANEL_CONTROL'!$D$40, MIN(MAX(BM24, $D$6), $D$5), 0)</f>
        <v>3333.3333333333335</v>
      </c>
      <c r="BN25" s="33">
        <f>IF(BN$8&gt;='1_PANEL_CONTROL'!$D$40, MIN(MAX(BN24, $D$6), $D$5), 0)</f>
        <v>3333.3333333333335</v>
      </c>
      <c r="BO25" s="33">
        <f>IF(BO$8&gt;='1_PANEL_CONTROL'!$D$40, MIN(MAX(BO24, $D$6), $D$5), 0)</f>
        <v>3333.3333333333335</v>
      </c>
      <c r="BP25" s="33">
        <f>IF(BP$8&gt;='1_PANEL_CONTROL'!$D$40, MIN(MAX(BP24, $D$6), $D$5), 0)</f>
        <v>3333.3333333333335</v>
      </c>
      <c r="BQ25" s="33">
        <f>IF(BQ$8&gt;='1_PANEL_CONTROL'!$D$40, MIN(MAX(BQ24, $D$6), $D$5), 0)</f>
        <v>3333.3333333333335</v>
      </c>
      <c r="BR25" s="33">
        <f>IF(BR$8&gt;='1_PANEL_CONTROL'!$D$40, MIN(MAX(BR24, $D$6), $D$5), 0)</f>
        <v>3333.3333333333335</v>
      </c>
      <c r="BS25" s="33">
        <f>IF(BS$8&gt;='1_PANEL_CONTROL'!$D$40, MIN(MAX(BS24, $D$6), $D$5), 0)</f>
        <v>3333.3333333333335</v>
      </c>
      <c r="BT25" s="33">
        <f>IF(BT$8&gt;='1_PANEL_CONTROL'!$D$40, MIN(MAX(BT24, $D$6), $D$5), 0)</f>
        <v>3333.3333333333335</v>
      </c>
      <c r="BU25" s="33">
        <f>IF(BU$8&gt;='1_PANEL_CONTROL'!$D$40, MIN(MAX(BU24, $D$6), $D$5), 0)</f>
        <v>3333.3333333333335</v>
      </c>
      <c r="BV25" s="33">
        <f>IF(BV$8&gt;='1_PANEL_CONTROL'!$D$40, MIN(MAX(BV24, $D$6), $D$5), 0)</f>
        <v>3333.3333333333335</v>
      </c>
      <c r="BW25" s="33">
        <f>IF(BW$8&gt;='1_PANEL_CONTROL'!$D$40, MIN(MAX(BW24, $D$6), $D$5), 0)</f>
        <v>3333.3333333333335</v>
      </c>
      <c r="BX25" s="33">
        <f>IF(BX$8&gt;='1_PANEL_CONTROL'!$D$40, MIN(MAX(BX24, $D$6), $D$5), 0)</f>
        <v>3333.3333333333335</v>
      </c>
      <c r="BY25" s="33">
        <f>IF(BY$8&gt;='1_PANEL_CONTROL'!$D$40, MIN(MAX(BY24, $D$6), $D$5), 0)</f>
        <v>3333.3333333333335</v>
      </c>
      <c r="BZ25" s="33">
        <f>IF(BZ$8&gt;='1_PANEL_CONTROL'!$D$40, MIN(MAX(BZ24, $D$6), $D$5), 0)</f>
        <v>3333.3333333333335</v>
      </c>
      <c r="CA25" s="33">
        <f>IF(CA$8&gt;='1_PANEL_CONTROL'!$D$40, MIN(MAX(CA24, $D$6), $D$5), 0)</f>
        <v>3333.3333333333335</v>
      </c>
      <c r="CB25" s="33">
        <f>IF(CB$8&gt;='1_PANEL_CONTROL'!$D$40, MIN(MAX(CB24, $D$6), $D$5), 0)</f>
        <v>3333.3333333333335</v>
      </c>
      <c r="CC25" s="33">
        <f>IF(CC$8&gt;='1_PANEL_CONTROL'!$D$40, MIN(MAX(CC24, $D$6), $D$5), 0)</f>
        <v>3333.3333333333335</v>
      </c>
      <c r="CD25" s="33">
        <f>IF(CD$8&gt;='1_PANEL_CONTROL'!$D$40, MIN(MAX(CD24, $D$6), $D$5), 0)</f>
        <v>3333.3333333333335</v>
      </c>
      <c r="CE25" s="33">
        <f>IF(CE$8&gt;='1_PANEL_CONTROL'!$D$40, MIN(MAX(CE24, $D$6), $D$5), 0)</f>
        <v>3333.3333333333335</v>
      </c>
      <c r="CF25" s="33">
        <f>IF(CF$8&gt;='1_PANEL_CONTROL'!$D$40, MIN(MAX(CF24, $D$6), $D$5), 0)</f>
        <v>3333.3333333333335</v>
      </c>
      <c r="CG25" s="33">
        <f>IF(CG$8&gt;='1_PANEL_CONTROL'!$D$40, MIN(MAX(CG24, $D$6), $D$5), 0)</f>
        <v>3333.3333333333335</v>
      </c>
      <c r="CH25" s="33">
        <f>IF(CH$8&gt;='1_PANEL_CONTROL'!$D$40, MIN(MAX(CH24, $D$6), $D$5), 0)</f>
        <v>3333.3333333333335</v>
      </c>
      <c r="CI25" s="33">
        <f>IF(CI$8&gt;='1_PANEL_CONTROL'!$D$40, MIN(MAX(CI24, $D$6), $D$5), 0)</f>
        <v>3333.3333333333335</v>
      </c>
    </row>
    <row r="26" spans="1:87" ht="16">
      <c r="A26" s="6" t="s">
        <v>587</v>
      </c>
      <c r="B26" s="30" t="s">
        <v>465</v>
      </c>
      <c r="C26" s="15"/>
      <c r="D26" s="33">
        <f>IF(D$8&gt;='1_PANEL_CONTROL'!$D$40, '1_PANEL_CONTROL'!$F$33, 0)</f>
        <v>448.69</v>
      </c>
      <c r="E26" s="33">
        <f>IF(E$8&gt;='1_PANEL_CONTROL'!$D$40, '1_PANEL_CONTROL'!$F$33, 0)</f>
        <v>448.69</v>
      </c>
      <c r="F26" s="33">
        <f>IF(F$8&gt;='1_PANEL_CONTROL'!$D$40, '1_PANEL_CONTROL'!$F$33, 0)</f>
        <v>448.69</v>
      </c>
      <c r="G26" s="33">
        <f>IF(G$8&gt;='1_PANEL_CONTROL'!$D$40, '1_PANEL_CONTROL'!$F$33, 0)</f>
        <v>448.69</v>
      </c>
      <c r="H26" s="33">
        <f>IF(H$8&gt;='1_PANEL_CONTROL'!$D$40, '1_PANEL_CONTROL'!$F$33, 0)</f>
        <v>448.69</v>
      </c>
      <c r="I26" s="33">
        <f>IF(I$8&gt;='1_PANEL_CONTROL'!$D$40, '1_PANEL_CONTROL'!$F$33, 0)</f>
        <v>448.69</v>
      </c>
      <c r="J26" s="33">
        <f>IF(J$8&gt;='1_PANEL_CONTROL'!$D$40, '1_PANEL_CONTROL'!$F$33, 0)</f>
        <v>448.69</v>
      </c>
      <c r="K26" s="33">
        <f>IF(K$8&gt;='1_PANEL_CONTROL'!$D$40, '1_PANEL_CONTROL'!$F$33, 0)</f>
        <v>448.69</v>
      </c>
      <c r="L26" s="33">
        <f>IF(L$8&gt;='1_PANEL_CONTROL'!$D$40, '1_PANEL_CONTROL'!$F$33, 0)</f>
        <v>448.69</v>
      </c>
      <c r="M26" s="33">
        <f>IF(M$8&gt;='1_PANEL_CONTROL'!$D$40, '1_PANEL_CONTROL'!$F$33, 0)</f>
        <v>448.69</v>
      </c>
      <c r="N26" s="33">
        <f>IF(N$8&gt;='1_PANEL_CONTROL'!$D$40, '1_PANEL_CONTROL'!$F$33, 0)</f>
        <v>448.69</v>
      </c>
      <c r="O26" s="33">
        <f>IF(O$8&gt;='1_PANEL_CONTROL'!$D$40, '1_PANEL_CONTROL'!$F$33, 0)</f>
        <v>448.69</v>
      </c>
      <c r="P26" s="33">
        <f>IF(P$8&gt;='1_PANEL_CONTROL'!$D$40, '1_PANEL_CONTROL'!$F$33, 0)</f>
        <v>448.69</v>
      </c>
      <c r="Q26" s="33">
        <f>IF(Q$8&gt;='1_PANEL_CONTROL'!$D$40, '1_PANEL_CONTROL'!$F$33, 0)</f>
        <v>448.69</v>
      </c>
      <c r="R26" s="33">
        <f>IF(R$8&gt;='1_PANEL_CONTROL'!$D$40, '1_PANEL_CONTROL'!$F$33, 0)</f>
        <v>448.69</v>
      </c>
      <c r="S26" s="33">
        <f>IF(S$8&gt;='1_PANEL_CONTROL'!$D$40, '1_PANEL_CONTROL'!$F$33, 0)</f>
        <v>448.69</v>
      </c>
      <c r="T26" s="33">
        <f>IF(T$8&gt;='1_PANEL_CONTROL'!$D$40, '1_PANEL_CONTROL'!$F$33, 0)</f>
        <v>448.69</v>
      </c>
      <c r="U26" s="33">
        <f>IF(U$8&gt;='1_PANEL_CONTROL'!$D$40, '1_PANEL_CONTROL'!$F$33, 0)</f>
        <v>448.69</v>
      </c>
      <c r="V26" s="33">
        <f>IF(V$8&gt;='1_PANEL_CONTROL'!$D$40, '1_PANEL_CONTROL'!$F$33, 0)</f>
        <v>448.69</v>
      </c>
      <c r="W26" s="33">
        <f>IF(W$8&gt;='1_PANEL_CONTROL'!$D$40, '1_PANEL_CONTROL'!$F$33, 0)</f>
        <v>448.69</v>
      </c>
      <c r="X26" s="33">
        <f>IF(X$8&gt;='1_PANEL_CONTROL'!$D$40, '1_PANEL_CONTROL'!$F$33, 0)</f>
        <v>448.69</v>
      </c>
      <c r="Y26" s="33">
        <f>IF(Y$8&gt;='1_PANEL_CONTROL'!$D$40, '1_PANEL_CONTROL'!$F$33, 0)</f>
        <v>448.69</v>
      </c>
      <c r="Z26" s="33">
        <f>IF(Z$8&gt;='1_PANEL_CONTROL'!$D$40, '1_PANEL_CONTROL'!$F$33, 0)</f>
        <v>448.69</v>
      </c>
      <c r="AA26" s="33">
        <f>IF(AA$8&gt;='1_PANEL_CONTROL'!$D$40, '1_PANEL_CONTROL'!$F$33, 0)</f>
        <v>448.69</v>
      </c>
      <c r="AB26" s="33">
        <f>IF(AB$8&gt;='1_PANEL_CONTROL'!$D$40, '1_PANEL_CONTROL'!$F$33, 0)</f>
        <v>448.69</v>
      </c>
      <c r="AC26" s="33">
        <f>IF(AC$8&gt;='1_PANEL_CONTROL'!$D$40, '1_PANEL_CONTROL'!$F$33, 0)</f>
        <v>448.69</v>
      </c>
      <c r="AD26" s="33">
        <f>IF(AD$8&gt;='1_PANEL_CONTROL'!$D$40, '1_PANEL_CONTROL'!$F$33, 0)</f>
        <v>448.69</v>
      </c>
      <c r="AE26" s="33">
        <f>IF(AE$8&gt;='1_PANEL_CONTROL'!$D$40, '1_PANEL_CONTROL'!$F$33, 0)</f>
        <v>448.69</v>
      </c>
      <c r="AF26" s="33">
        <f>IF(AF$8&gt;='1_PANEL_CONTROL'!$D$40, '1_PANEL_CONTROL'!$F$33, 0)</f>
        <v>448.69</v>
      </c>
      <c r="AG26" s="33">
        <f>IF(AG$8&gt;='1_PANEL_CONTROL'!$D$40, '1_PANEL_CONTROL'!$F$33, 0)</f>
        <v>448.69</v>
      </c>
      <c r="AH26" s="33">
        <f>IF(AH$8&gt;='1_PANEL_CONTROL'!$D$40, '1_PANEL_CONTROL'!$F$33, 0)</f>
        <v>448.69</v>
      </c>
      <c r="AI26" s="33">
        <f>IF(AI$8&gt;='1_PANEL_CONTROL'!$D$40, '1_PANEL_CONTROL'!$F$33, 0)</f>
        <v>448.69</v>
      </c>
      <c r="AJ26" s="33">
        <f>IF(AJ$8&gt;='1_PANEL_CONTROL'!$D$40, '1_PANEL_CONTROL'!$F$33, 0)</f>
        <v>448.69</v>
      </c>
      <c r="AK26" s="33">
        <f>IF(AK$8&gt;='1_PANEL_CONTROL'!$D$40, '1_PANEL_CONTROL'!$F$33, 0)</f>
        <v>448.69</v>
      </c>
      <c r="AL26" s="33">
        <f>IF(AL$8&gt;='1_PANEL_CONTROL'!$D$40, '1_PANEL_CONTROL'!$F$33, 0)</f>
        <v>448.69</v>
      </c>
      <c r="AM26" s="33">
        <f>IF(AM$8&gt;='1_PANEL_CONTROL'!$D$40, '1_PANEL_CONTROL'!$F$33, 0)</f>
        <v>448.69</v>
      </c>
      <c r="AN26" s="33">
        <f>IF(AN$8&gt;='1_PANEL_CONTROL'!$D$40, '1_PANEL_CONTROL'!$F$33, 0)</f>
        <v>448.69</v>
      </c>
      <c r="AO26" s="33">
        <f>IF(AO$8&gt;='1_PANEL_CONTROL'!$D$40, '1_PANEL_CONTROL'!$F$33, 0)</f>
        <v>448.69</v>
      </c>
      <c r="AP26" s="33">
        <f>IF(AP$8&gt;='1_PANEL_CONTROL'!$D$40, '1_PANEL_CONTROL'!$F$33, 0)</f>
        <v>448.69</v>
      </c>
      <c r="AQ26" s="33">
        <f>IF(AQ$8&gt;='1_PANEL_CONTROL'!$D$40, '1_PANEL_CONTROL'!$F$33, 0)</f>
        <v>448.69</v>
      </c>
      <c r="AR26" s="33">
        <f>IF(AR$8&gt;='1_PANEL_CONTROL'!$D$40, '1_PANEL_CONTROL'!$F$33, 0)</f>
        <v>448.69</v>
      </c>
      <c r="AS26" s="33">
        <f>IF(AS$8&gt;='1_PANEL_CONTROL'!$D$40, '1_PANEL_CONTROL'!$F$33, 0)</f>
        <v>448.69</v>
      </c>
      <c r="AT26" s="33">
        <f>IF(AT$8&gt;='1_PANEL_CONTROL'!$D$40, '1_PANEL_CONTROL'!$F$33, 0)</f>
        <v>448.69</v>
      </c>
      <c r="AU26" s="33">
        <f>IF(AU$8&gt;='1_PANEL_CONTROL'!$D$40, '1_PANEL_CONTROL'!$F$33, 0)</f>
        <v>448.69</v>
      </c>
      <c r="AV26" s="33">
        <f>IF(AV$8&gt;='1_PANEL_CONTROL'!$D$40, '1_PANEL_CONTROL'!$F$33, 0)</f>
        <v>448.69</v>
      </c>
      <c r="AW26" s="33">
        <f>IF(AW$8&gt;='1_PANEL_CONTROL'!$D$40, '1_PANEL_CONTROL'!$F$33, 0)</f>
        <v>448.69</v>
      </c>
      <c r="AX26" s="33">
        <f>IF(AX$8&gt;='1_PANEL_CONTROL'!$D$40, '1_PANEL_CONTROL'!$F$33, 0)</f>
        <v>448.69</v>
      </c>
      <c r="AY26" s="33">
        <f>IF(AY$8&gt;='1_PANEL_CONTROL'!$D$40, '1_PANEL_CONTROL'!$F$33, 0)</f>
        <v>448.69</v>
      </c>
      <c r="AZ26" s="33">
        <f>IF(AZ$8&gt;='1_PANEL_CONTROL'!$D$40, '1_PANEL_CONTROL'!$F$33, 0)</f>
        <v>448.69</v>
      </c>
      <c r="BA26" s="33">
        <f>IF(BA$8&gt;='1_PANEL_CONTROL'!$D$40, '1_PANEL_CONTROL'!$F$33, 0)</f>
        <v>448.69</v>
      </c>
      <c r="BB26" s="33">
        <f>IF(BB$8&gt;='1_PANEL_CONTROL'!$D$40, '1_PANEL_CONTROL'!$F$33, 0)</f>
        <v>448.69</v>
      </c>
      <c r="BC26" s="33">
        <f>IF(BC$8&gt;='1_PANEL_CONTROL'!$D$40, '1_PANEL_CONTROL'!$F$33, 0)</f>
        <v>448.69</v>
      </c>
      <c r="BD26" s="33">
        <f>IF(BD$8&gt;='1_PANEL_CONTROL'!$D$40, '1_PANEL_CONTROL'!$F$33, 0)</f>
        <v>448.69</v>
      </c>
      <c r="BE26" s="33">
        <f>IF(BE$8&gt;='1_PANEL_CONTROL'!$D$40, '1_PANEL_CONTROL'!$F$33, 0)</f>
        <v>448.69</v>
      </c>
      <c r="BF26" s="33">
        <f>IF(BF$8&gt;='1_PANEL_CONTROL'!$D$40, '1_PANEL_CONTROL'!$F$33, 0)</f>
        <v>448.69</v>
      </c>
      <c r="BG26" s="33">
        <f>IF(BG$8&gt;='1_PANEL_CONTROL'!$D$40, '1_PANEL_CONTROL'!$F$33, 0)</f>
        <v>448.69</v>
      </c>
      <c r="BH26" s="33">
        <f>IF(BH$8&gt;='1_PANEL_CONTROL'!$D$40, '1_PANEL_CONTROL'!$F$33, 0)</f>
        <v>448.69</v>
      </c>
      <c r="BI26" s="33">
        <f>IF(BI$8&gt;='1_PANEL_CONTROL'!$D$40, '1_PANEL_CONTROL'!$F$33, 0)</f>
        <v>448.69</v>
      </c>
      <c r="BJ26" s="33">
        <f>IF(BJ$8&gt;='1_PANEL_CONTROL'!$D$40, '1_PANEL_CONTROL'!$F$33, 0)</f>
        <v>448.69</v>
      </c>
      <c r="BK26" s="33">
        <f>IF(BK$8&gt;='1_PANEL_CONTROL'!$D$40, '1_PANEL_CONTROL'!$F$33, 0)</f>
        <v>448.69</v>
      </c>
      <c r="BL26" s="33">
        <f>IF(BL$8&gt;='1_PANEL_CONTROL'!$D$40, '1_PANEL_CONTROL'!$F$33, 0)</f>
        <v>448.69</v>
      </c>
      <c r="BM26" s="33">
        <f>IF(BM$8&gt;='1_PANEL_CONTROL'!$D$40, '1_PANEL_CONTROL'!$F$33, 0)</f>
        <v>448.69</v>
      </c>
      <c r="BN26" s="33">
        <f>IF(BN$8&gt;='1_PANEL_CONTROL'!$D$40, '1_PANEL_CONTROL'!$F$33, 0)</f>
        <v>448.69</v>
      </c>
      <c r="BO26" s="33">
        <f>IF(BO$8&gt;='1_PANEL_CONTROL'!$D$40, '1_PANEL_CONTROL'!$F$33, 0)</f>
        <v>448.69</v>
      </c>
      <c r="BP26" s="33">
        <f>IF(BP$8&gt;='1_PANEL_CONTROL'!$D$40, '1_PANEL_CONTROL'!$F$33, 0)</f>
        <v>448.69</v>
      </c>
      <c r="BQ26" s="33">
        <f>IF(BQ$8&gt;='1_PANEL_CONTROL'!$D$40, '1_PANEL_CONTROL'!$F$33, 0)</f>
        <v>448.69</v>
      </c>
      <c r="BR26" s="33">
        <f>IF(BR$8&gt;='1_PANEL_CONTROL'!$D$40, '1_PANEL_CONTROL'!$F$33, 0)</f>
        <v>448.69</v>
      </c>
      <c r="BS26" s="33">
        <f>IF(BS$8&gt;='1_PANEL_CONTROL'!$D$40, '1_PANEL_CONTROL'!$F$33, 0)</f>
        <v>448.69</v>
      </c>
      <c r="BT26" s="33">
        <f>IF(BT$8&gt;='1_PANEL_CONTROL'!$D$40, '1_PANEL_CONTROL'!$F$33, 0)</f>
        <v>448.69</v>
      </c>
      <c r="BU26" s="33">
        <f>IF(BU$8&gt;='1_PANEL_CONTROL'!$D$40, '1_PANEL_CONTROL'!$F$33, 0)</f>
        <v>448.69</v>
      </c>
      <c r="BV26" s="33">
        <f>IF(BV$8&gt;='1_PANEL_CONTROL'!$D$40, '1_PANEL_CONTROL'!$F$33, 0)</f>
        <v>448.69</v>
      </c>
      <c r="BW26" s="33">
        <f>IF(BW$8&gt;='1_PANEL_CONTROL'!$D$40, '1_PANEL_CONTROL'!$F$33, 0)</f>
        <v>448.69</v>
      </c>
      <c r="BX26" s="33">
        <f>IF(BX$8&gt;='1_PANEL_CONTROL'!$D$40, '1_PANEL_CONTROL'!$F$33, 0)</f>
        <v>448.69</v>
      </c>
      <c r="BY26" s="33">
        <f>IF(BY$8&gt;='1_PANEL_CONTROL'!$D$40, '1_PANEL_CONTROL'!$F$33, 0)</f>
        <v>448.69</v>
      </c>
      <c r="BZ26" s="33">
        <f>IF(BZ$8&gt;='1_PANEL_CONTROL'!$D$40, '1_PANEL_CONTROL'!$F$33, 0)</f>
        <v>448.69</v>
      </c>
      <c r="CA26" s="33">
        <f>IF(CA$8&gt;='1_PANEL_CONTROL'!$D$40, '1_PANEL_CONTROL'!$F$33, 0)</f>
        <v>448.69</v>
      </c>
      <c r="CB26" s="33">
        <f>IF(CB$8&gt;='1_PANEL_CONTROL'!$D$40, '1_PANEL_CONTROL'!$F$33, 0)</f>
        <v>448.69</v>
      </c>
      <c r="CC26" s="33">
        <f>IF(CC$8&gt;='1_PANEL_CONTROL'!$D$40, '1_PANEL_CONTROL'!$F$33, 0)</f>
        <v>448.69</v>
      </c>
      <c r="CD26" s="33">
        <f>IF(CD$8&gt;='1_PANEL_CONTROL'!$D$40, '1_PANEL_CONTROL'!$F$33, 0)</f>
        <v>448.69</v>
      </c>
      <c r="CE26" s="33">
        <f>IF(CE$8&gt;='1_PANEL_CONTROL'!$D$40, '1_PANEL_CONTROL'!$F$33, 0)</f>
        <v>448.69</v>
      </c>
      <c r="CF26" s="33">
        <f>IF(CF$8&gt;='1_PANEL_CONTROL'!$D$40, '1_PANEL_CONTROL'!$F$33, 0)</f>
        <v>448.69</v>
      </c>
      <c r="CG26" s="33">
        <f>IF(CG$8&gt;='1_PANEL_CONTROL'!$D$40, '1_PANEL_CONTROL'!$F$33, 0)</f>
        <v>448.69</v>
      </c>
      <c r="CH26" s="33">
        <f>IF(CH$8&gt;='1_PANEL_CONTROL'!$D$40, '1_PANEL_CONTROL'!$F$33, 0)</f>
        <v>448.69</v>
      </c>
      <c r="CI26" s="33">
        <f>IF(CI$8&gt;='1_PANEL_CONTROL'!$D$40, '1_PANEL_CONTROL'!$F$33, 0)</f>
        <v>448.69</v>
      </c>
    </row>
    <row r="27" spans="1:87" ht="16">
      <c r="A27" s="6" t="s">
        <v>588</v>
      </c>
      <c r="B27" s="30" t="s">
        <v>465</v>
      </c>
      <c r="C27" s="15"/>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v>0</v>
      </c>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v>0</v>
      </c>
      <c r="CH27" s="33">
        <v>0</v>
      </c>
      <c r="CI27" s="33">
        <v>0</v>
      </c>
    </row>
    <row r="28" spans="1:87" ht="16">
      <c r="A28" s="6" t="s">
        <v>589</v>
      </c>
      <c r="B28" s="30" t="s">
        <v>465</v>
      </c>
      <c r="C28" s="15"/>
      <c r="D28" s="33">
        <f>D23*'1_PANEL_CONTROL'!$E$40</f>
        <v>225</v>
      </c>
      <c r="E28" s="33">
        <f>E23*'1_PANEL_CONTROL'!$E$40</f>
        <v>225</v>
      </c>
      <c r="F28" s="33">
        <f>F23*'1_PANEL_CONTROL'!$E$40</f>
        <v>225</v>
      </c>
      <c r="G28" s="33">
        <f>G23*'1_PANEL_CONTROL'!$E$40</f>
        <v>225</v>
      </c>
      <c r="H28" s="33">
        <f>H23*'1_PANEL_CONTROL'!$E$40</f>
        <v>225</v>
      </c>
      <c r="I28" s="33">
        <f>I23*'1_PANEL_CONTROL'!$E$40</f>
        <v>225</v>
      </c>
      <c r="J28" s="33">
        <f>J23*'1_PANEL_CONTROL'!$E$40</f>
        <v>225</v>
      </c>
      <c r="K28" s="33">
        <f>K23*'1_PANEL_CONTROL'!$E$40</f>
        <v>225</v>
      </c>
      <c r="L28" s="33">
        <f>L23*'1_PANEL_CONTROL'!$E$40</f>
        <v>225</v>
      </c>
      <c r="M28" s="33">
        <f>M23*'1_PANEL_CONTROL'!$E$40</f>
        <v>225</v>
      </c>
      <c r="N28" s="33">
        <f>N23*'1_PANEL_CONTROL'!$E$40</f>
        <v>225</v>
      </c>
      <c r="O28" s="33">
        <f>O23*'1_PANEL_CONTROL'!$E$40</f>
        <v>225</v>
      </c>
      <c r="P28" s="33">
        <f>P23*'1_PANEL_CONTROL'!$E$40</f>
        <v>375</v>
      </c>
      <c r="Q28" s="33">
        <f>Q23*'1_PANEL_CONTROL'!$E$40</f>
        <v>375</v>
      </c>
      <c r="R28" s="33">
        <f>R23*'1_PANEL_CONTROL'!$E$40</f>
        <v>375</v>
      </c>
      <c r="S28" s="33">
        <f>S23*'1_PANEL_CONTROL'!$E$40</f>
        <v>375</v>
      </c>
      <c r="T28" s="33">
        <f>T23*'1_PANEL_CONTROL'!$E$40</f>
        <v>375</v>
      </c>
      <c r="U28" s="33">
        <f>U23*'1_PANEL_CONTROL'!$E$40</f>
        <v>375</v>
      </c>
      <c r="V28" s="33">
        <f>V23*'1_PANEL_CONTROL'!$E$40</f>
        <v>375</v>
      </c>
      <c r="W28" s="33">
        <f>W23*'1_PANEL_CONTROL'!$E$40</f>
        <v>375</v>
      </c>
      <c r="X28" s="33">
        <f>X23*'1_PANEL_CONTROL'!$E$40</f>
        <v>375</v>
      </c>
      <c r="Y28" s="33">
        <f>Y23*'1_PANEL_CONTROL'!$E$40</f>
        <v>375</v>
      </c>
      <c r="Z28" s="33">
        <f>Z23*'1_PANEL_CONTROL'!$E$40</f>
        <v>375</v>
      </c>
      <c r="AA28" s="33">
        <f>AA23*'1_PANEL_CONTROL'!$E$40</f>
        <v>375</v>
      </c>
      <c r="AB28" s="33">
        <f>AB23*'1_PANEL_CONTROL'!$E$40</f>
        <v>500</v>
      </c>
      <c r="AC28" s="33">
        <f>AC23*'1_PANEL_CONTROL'!$E$40</f>
        <v>500</v>
      </c>
      <c r="AD28" s="33">
        <f>AD23*'1_PANEL_CONTROL'!$E$40</f>
        <v>500</v>
      </c>
      <c r="AE28" s="33">
        <f>AE23*'1_PANEL_CONTROL'!$E$40</f>
        <v>500</v>
      </c>
      <c r="AF28" s="33">
        <f>AF23*'1_PANEL_CONTROL'!$E$40</f>
        <v>500</v>
      </c>
      <c r="AG28" s="33">
        <f>AG23*'1_PANEL_CONTROL'!$E$40</f>
        <v>500</v>
      </c>
      <c r="AH28" s="33">
        <f>AH23*'1_PANEL_CONTROL'!$E$40</f>
        <v>500</v>
      </c>
      <c r="AI28" s="33">
        <f>AI23*'1_PANEL_CONTROL'!$E$40</f>
        <v>500</v>
      </c>
      <c r="AJ28" s="33">
        <f>AJ23*'1_PANEL_CONTROL'!$E$40</f>
        <v>500</v>
      </c>
      <c r="AK28" s="33">
        <f>AK23*'1_PANEL_CONTROL'!$E$40</f>
        <v>500</v>
      </c>
      <c r="AL28" s="33">
        <f>AL23*'1_PANEL_CONTROL'!$E$40</f>
        <v>500</v>
      </c>
      <c r="AM28" s="33">
        <f>AM23*'1_PANEL_CONTROL'!$E$40</f>
        <v>500</v>
      </c>
      <c r="AN28" s="33">
        <f>AN23*'1_PANEL_CONTROL'!$E$40</f>
        <v>500</v>
      </c>
      <c r="AO28" s="33">
        <f>AO23*'1_PANEL_CONTROL'!$E$40</f>
        <v>500</v>
      </c>
      <c r="AP28" s="33">
        <f>AP23*'1_PANEL_CONTROL'!$E$40</f>
        <v>500</v>
      </c>
      <c r="AQ28" s="33">
        <f>AQ23*'1_PANEL_CONTROL'!$E$40</f>
        <v>500</v>
      </c>
      <c r="AR28" s="33">
        <f>AR23*'1_PANEL_CONTROL'!$E$40</f>
        <v>500</v>
      </c>
      <c r="AS28" s="33">
        <f>AS23*'1_PANEL_CONTROL'!$E$40</f>
        <v>500</v>
      </c>
      <c r="AT28" s="33">
        <f>AT23*'1_PANEL_CONTROL'!$E$40</f>
        <v>500</v>
      </c>
      <c r="AU28" s="33">
        <f>AU23*'1_PANEL_CONTROL'!$E$40</f>
        <v>500</v>
      </c>
      <c r="AV28" s="33">
        <f>AV23*'1_PANEL_CONTROL'!$E$40</f>
        <v>500</v>
      </c>
      <c r="AW28" s="33">
        <f>AW23*'1_PANEL_CONTROL'!$E$40</f>
        <v>500</v>
      </c>
      <c r="AX28" s="33">
        <f>AX23*'1_PANEL_CONTROL'!$E$40</f>
        <v>500</v>
      </c>
      <c r="AY28" s="33">
        <f>AY23*'1_PANEL_CONTROL'!$E$40</f>
        <v>500</v>
      </c>
      <c r="AZ28" s="33">
        <f>AZ23*'1_PANEL_CONTROL'!$E$40</f>
        <v>500</v>
      </c>
      <c r="BA28" s="33">
        <f>BA23*'1_PANEL_CONTROL'!$E$40</f>
        <v>500</v>
      </c>
      <c r="BB28" s="33">
        <f>BB23*'1_PANEL_CONTROL'!$E$40</f>
        <v>500</v>
      </c>
      <c r="BC28" s="33">
        <f>BC23*'1_PANEL_CONTROL'!$E$40</f>
        <v>500</v>
      </c>
      <c r="BD28" s="33">
        <f>BD23*'1_PANEL_CONTROL'!$E$40</f>
        <v>500</v>
      </c>
      <c r="BE28" s="33">
        <f>BE23*'1_PANEL_CONTROL'!$E$40</f>
        <v>500</v>
      </c>
      <c r="BF28" s="33">
        <f>BF23*'1_PANEL_CONTROL'!$E$40</f>
        <v>500</v>
      </c>
      <c r="BG28" s="33">
        <f>BG23*'1_PANEL_CONTROL'!$E$40</f>
        <v>500</v>
      </c>
      <c r="BH28" s="33">
        <f>BH23*'1_PANEL_CONTROL'!$E$40</f>
        <v>500</v>
      </c>
      <c r="BI28" s="33">
        <f>BI23*'1_PANEL_CONTROL'!$E$40</f>
        <v>500</v>
      </c>
      <c r="BJ28" s="33">
        <f>BJ23*'1_PANEL_CONTROL'!$E$40</f>
        <v>500</v>
      </c>
      <c r="BK28" s="33">
        <f>BK23*'1_PANEL_CONTROL'!$E$40</f>
        <v>500</v>
      </c>
      <c r="BL28" s="33">
        <f>BL23*'1_PANEL_CONTROL'!$E$40</f>
        <v>500</v>
      </c>
      <c r="BM28" s="33">
        <f>BM23*'1_PANEL_CONTROL'!$E$40</f>
        <v>500</v>
      </c>
      <c r="BN28" s="33">
        <f>BN23*'1_PANEL_CONTROL'!$E$40</f>
        <v>500</v>
      </c>
      <c r="BO28" s="33">
        <f>BO23*'1_PANEL_CONTROL'!$E$40</f>
        <v>500</v>
      </c>
      <c r="BP28" s="33">
        <f>BP23*'1_PANEL_CONTROL'!$E$40</f>
        <v>500</v>
      </c>
      <c r="BQ28" s="33">
        <f>BQ23*'1_PANEL_CONTROL'!$E$40</f>
        <v>500</v>
      </c>
      <c r="BR28" s="33">
        <f>BR23*'1_PANEL_CONTROL'!$E$40</f>
        <v>500</v>
      </c>
      <c r="BS28" s="33">
        <f>BS23*'1_PANEL_CONTROL'!$E$40</f>
        <v>500</v>
      </c>
      <c r="BT28" s="33">
        <f>BT23*'1_PANEL_CONTROL'!$E$40</f>
        <v>500</v>
      </c>
      <c r="BU28" s="33">
        <f>BU23*'1_PANEL_CONTROL'!$E$40</f>
        <v>500</v>
      </c>
      <c r="BV28" s="33">
        <f>BV23*'1_PANEL_CONTROL'!$E$40</f>
        <v>500</v>
      </c>
      <c r="BW28" s="33">
        <f>BW23*'1_PANEL_CONTROL'!$E$40</f>
        <v>500</v>
      </c>
      <c r="BX28" s="33">
        <f>BX23*'1_PANEL_CONTROL'!$E$40</f>
        <v>500</v>
      </c>
      <c r="BY28" s="33">
        <f>BY23*'1_PANEL_CONTROL'!$E$40</f>
        <v>500</v>
      </c>
      <c r="BZ28" s="33">
        <f>BZ23*'1_PANEL_CONTROL'!$E$40</f>
        <v>500</v>
      </c>
      <c r="CA28" s="33">
        <f>CA23*'1_PANEL_CONTROL'!$E$40</f>
        <v>500</v>
      </c>
      <c r="CB28" s="33">
        <f>CB23*'1_PANEL_CONTROL'!$E$40</f>
        <v>500</v>
      </c>
      <c r="CC28" s="33">
        <f>CC23*'1_PANEL_CONTROL'!$E$40</f>
        <v>500</v>
      </c>
      <c r="CD28" s="33">
        <f>CD23*'1_PANEL_CONTROL'!$E$40</f>
        <v>500</v>
      </c>
      <c r="CE28" s="33">
        <f>CE23*'1_PANEL_CONTROL'!$E$40</f>
        <v>500</v>
      </c>
      <c r="CF28" s="33">
        <f>CF23*'1_PANEL_CONTROL'!$E$40</f>
        <v>500</v>
      </c>
      <c r="CG28" s="33">
        <f>CG23*'1_PANEL_CONTROL'!$E$40</f>
        <v>500</v>
      </c>
      <c r="CH28" s="33">
        <f>CH23*'1_PANEL_CONTROL'!$E$40</f>
        <v>500</v>
      </c>
      <c r="CI28" s="33">
        <f>CI23*'1_PANEL_CONTROL'!$E$40</f>
        <v>500</v>
      </c>
    </row>
    <row r="29" spans="1:87" ht="16">
      <c r="A29" s="6" t="s">
        <v>590</v>
      </c>
      <c r="B29" s="30" t="s">
        <v>465</v>
      </c>
      <c r="C29" s="15"/>
      <c r="D29" s="33">
        <f t="shared" ref="D29:AI29" si="12">D23-D27-D28</f>
        <v>1275</v>
      </c>
      <c r="E29" s="33">
        <f t="shared" si="12"/>
        <v>1275</v>
      </c>
      <c r="F29" s="33">
        <f t="shared" si="12"/>
        <v>1275</v>
      </c>
      <c r="G29" s="33">
        <f t="shared" si="12"/>
        <v>1275</v>
      </c>
      <c r="H29" s="33">
        <f t="shared" si="12"/>
        <v>1275</v>
      </c>
      <c r="I29" s="33">
        <f t="shared" si="12"/>
        <v>1275</v>
      </c>
      <c r="J29" s="33">
        <f t="shared" si="12"/>
        <v>1275</v>
      </c>
      <c r="K29" s="33">
        <f t="shared" si="12"/>
        <v>1275</v>
      </c>
      <c r="L29" s="33">
        <f t="shared" si="12"/>
        <v>1275</v>
      </c>
      <c r="M29" s="33">
        <f t="shared" si="12"/>
        <v>1275</v>
      </c>
      <c r="N29" s="33">
        <f t="shared" si="12"/>
        <v>1275</v>
      </c>
      <c r="O29" s="33">
        <f t="shared" si="12"/>
        <v>1275</v>
      </c>
      <c r="P29" s="33">
        <f t="shared" si="12"/>
        <v>2125</v>
      </c>
      <c r="Q29" s="33">
        <f t="shared" si="12"/>
        <v>2125</v>
      </c>
      <c r="R29" s="33">
        <f t="shared" si="12"/>
        <v>2125</v>
      </c>
      <c r="S29" s="33">
        <f t="shared" si="12"/>
        <v>2125</v>
      </c>
      <c r="T29" s="33">
        <f t="shared" si="12"/>
        <v>2125</v>
      </c>
      <c r="U29" s="33">
        <f t="shared" si="12"/>
        <v>2125</v>
      </c>
      <c r="V29" s="33">
        <f t="shared" si="12"/>
        <v>2125</v>
      </c>
      <c r="W29" s="33">
        <f t="shared" si="12"/>
        <v>2125</v>
      </c>
      <c r="X29" s="33">
        <f t="shared" si="12"/>
        <v>2125</v>
      </c>
      <c r="Y29" s="33">
        <f t="shared" si="12"/>
        <v>2125</v>
      </c>
      <c r="Z29" s="33">
        <f t="shared" si="12"/>
        <v>2125</v>
      </c>
      <c r="AA29" s="33">
        <f t="shared" si="12"/>
        <v>2125</v>
      </c>
      <c r="AB29" s="33">
        <f t="shared" si="12"/>
        <v>2833.3333333333335</v>
      </c>
      <c r="AC29" s="33">
        <f t="shared" si="12"/>
        <v>2833.3333333333335</v>
      </c>
      <c r="AD29" s="33">
        <f t="shared" si="12"/>
        <v>2833.3333333333335</v>
      </c>
      <c r="AE29" s="33">
        <f t="shared" si="12"/>
        <v>2833.3333333333335</v>
      </c>
      <c r="AF29" s="33">
        <f t="shared" si="12"/>
        <v>2833.3333333333335</v>
      </c>
      <c r="AG29" s="33">
        <f t="shared" si="12"/>
        <v>2833.3333333333335</v>
      </c>
      <c r="AH29" s="33">
        <f t="shared" si="12"/>
        <v>2833.3333333333335</v>
      </c>
      <c r="AI29" s="33">
        <f t="shared" si="12"/>
        <v>2833.3333333333335</v>
      </c>
      <c r="AJ29" s="33">
        <f t="shared" ref="AJ29:BO29" si="13">AJ23-AJ27-AJ28</f>
        <v>2833.3333333333335</v>
      </c>
      <c r="AK29" s="33">
        <f t="shared" si="13"/>
        <v>2833.3333333333335</v>
      </c>
      <c r="AL29" s="33">
        <f t="shared" si="13"/>
        <v>2833.3333333333335</v>
      </c>
      <c r="AM29" s="33">
        <f t="shared" si="13"/>
        <v>2833.3333333333335</v>
      </c>
      <c r="AN29" s="33">
        <f t="shared" si="13"/>
        <v>2833.3333333333335</v>
      </c>
      <c r="AO29" s="33">
        <f t="shared" si="13"/>
        <v>2833.3333333333335</v>
      </c>
      <c r="AP29" s="33">
        <f t="shared" si="13"/>
        <v>2833.3333333333335</v>
      </c>
      <c r="AQ29" s="33">
        <f t="shared" si="13"/>
        <v>2833.3333333333335</v>
      </c>
      <c r="AR29" s="33">
        <f t="shared" si="13"/>
        <v>2833.3333333333335</v>
      </c>
      <c r="AS29" s="33">
        <f t="shared" si="13"/>
        <v>2833.3333333333335</v>
      </c>
      <c r="AT29" s="33">
        <f t="shared" si="13"/>
        <v>2833.3333333333335</v>
      </c>
      <c r="AU29" s="33">
        <f t="shared" si="13"/>
        <v>2833.3333333333335</v>
      </c>
      <c r="AV29" s="33">
        <f t="shared" si="13"/>
        <v>2833.3333333333335</v>
      </c>
      <c r="AW29" s="33">
        <f t="shared" si="13"/>
        <v>2833.3333333333335</v>
      </c>
      <c r="AX29" s="33">
        <f t="shared" si="13"/>
        <v>2833.3333333333335</v>
      </c>
      <c r="AY29" s="33">
        <f t="shared" si="13"/>
        <v>2833.3333333333335</v>
      </c>
      <c r="AZ29" s="33">
        <f t="shared" si="13"/>
        <v>2833.3333333333335</v>
      </c>
      <c r="BA29" s="33">
        <f t="shared" si="13"/>
        <v>2833.3333333333335</v>
      </c>
      <c r="BB29" s="33">
        <f t="shared" si="13"/>
        <v>2833.3333333333335</v>
      </c>
      <c r="BC29" s="33">
        <f t="shared" si="13"/>
        <v>2833.3333333333335</v>
      </c>
      <c r="BD29" s="33">
        <f t="shared" si="13"/>
        <v>2833.3333333333335</v>
      </c>
      <c r="BE29" s="33">
        <f t="shared" si="13"/>
        <v>2833.3333333333335</v>
      </c>
      <c r="BF29" s="33">
        <f t="shared" si="13"/>
        <v>2833.3333333333335</v>
      </c>
      <c r="BG29" s="33">
        <f t="shared" si="13"/>
        <v>2833.3333333333335</v>
      </c>
      <c r="BH29" s="33">
        <f t="shared" si="13"/>
        <v>2833.3333333333335</v>
      </c>
      <c r="BI29" s="33">
        <f t="shared" si="13"/>
        <v>2833.3333333333335</v>
      </c>
      <c r="BJ29" s="33">
        <f t="shared" si="13"/>
        <v>2833.3333333333335</v>
      </c>
      <c r="BK29" s="33">
        <f t="shared" si="13"/>
        <v>2833.3333333333335</v>
      </c>
      <c r="BL29" s="33">
        <f t="shared" si="13"/>
        <v>2833.3333333333335</v>
      </c>
      <c r="BM29" s="33">
        <f t="shared" si="13"/>
        <v>2833.3333333333335</v>
      </c>
      <c r="BN29" s="33">
        <f t="shared" si="13"/>
        <v>2833.3333333333335</v>
      </c>
      <c r="BO29" s="33">
        <f t="shared" si="13"/>
        <v>2833.3333333333335</v>
      </c>
      <c r="BP29" s="33">
        <f t="shared" ref="BP29:CU29" si="14">BP23-BP27-BP28</f>
        <v>2833.3333333333335</v>
      </c>
      <c r="BQ29" s="33">
        <f t="shared" si="14"/>
        <v>2833.3333333333335</v>
      </c>
      <c r="BR29" s="33">
        <f t="shared" si="14"/>
        <v>2833.3333333333335</v>
      </c>
      <c r="BS29" s="33">
        <f t="shared" si="14"/>
        <v>2833.3333333333335</v>
      </c>
      <c r="BT29" s="33">
        <f t="shared" si="14"/>
        <v>2833.3333333333335</v>
      </c>
      <c r="BU29" s="33">
        <f t="shared" si="14"/>
        <v>2833.3333333333335</v>
      </c>
      <c r="BV29" s="33">
        <f t="shared" si="14"/>
        <v>2833.3333333333335</v>
      </c>
      <c r="BW29" s="33">
        <f t="shared" si="14"/>
        <v>2833.3333333333335</v>
      </c>
      <c r="BX29" s="33">
        <f t="shared" si="14"/>
        <v>2833.3333333333335</v>
      </c>
      <c r="BY29" s="33">
        <f t="shared" si="14"/>
        <v>2833.3333333333335</v>
      </c>
      <c r="BZ29" s="33">
        <f t="shared" si="14"/>
        <v>2833.3333333333335</v>
      </c>
      <c r="CA29" s="33">
        <f t="shared" si="14"/>
        <v>2833.3333333333335</v>
      </c>
      <c r="CB29" s="33">
        <f t="shared" si="14"/>
        <v>2833.3333333333335</v>
      </c>
      <c r="CC29" s="33">
        <f t="shared" si="14"/>
        <v>2833.3333333333335</v>
      </c>
      <c r="CD29" s="33">
        <f t="shared" si="14"/>
        <v>2833.3333333333335</v>
      </c>
      <c r="CE29" s="33">
        <f t="shared" si="14"/>
        <v>2833.3333333333335</v>
      </c>
      <c r="CF29" s="33">
        <f t="shared" si="14"/>
        <v>2833.3333333333335</v>
      </c>
      <c r="CG29" s="33">
        <f t="shared" si="14"/>
        <v>2833.3333333333335</v>
      </c>
      <c r="CH29" s="33">
        <f t="shared" si="14"/>
        <v>2833.3333333333335</v>
      </c>
      <c r="CI29" s="33">
        <f t="shared" si="14"/>
        <v>2833.3333333333335</v>
      </c>
    </row>
    <row r="30" spans="1:87" ht="16">
      <c r="A30" s="5" t="s">
        <v>591</v>
      </c>
      <c r="B30" s="30" t="s">
        <v>465</v>
      </c>
      <c r="C30" s="15"/>
      <c r="D30" s="36">
        <f t="shared" ref="D30:AI30" si="15">D23+D26</f>
        <v>1948.69</v>
      </c>
      <c r="E30" s="36">
        <f t="shared" si="15"/>
        <v>1948.69</v>
      </c>
      <c r="F30" s="36">
        <f t="shared" si="15"/>
        <v>1948.69</v>
      </c>
      <c r="G30" s="36">
        <f t="shared" si="15"/>
        <v>1948.69</v>
      </c>
      <c r="H30" s="36">
        <f t="shared" si="15"/>
        <v>1948.69</v>
      </c>
      <c r="I30" s="36">
        <f t="shared" si="15"/>
        <v>1948.69</v>
      </c>
      <c r="J30" s="36">
        <f t="shared" si="15"/>
        <v>1948.69</v>
      </c>
      <c r="K30" s="36">
        <f t="shared" si="15"/>
        <v>1948.69</v>
      </c>
      <c r="L30" s="36">
        <f t="shared" si="15"/>
        <v>1948.69</v>
      </c>
      <c r="M30" s="36">
        <f t="shared" si="15"/>
        <v>1948.69</v>
      </c>
      <c r="N30" s="36">
        <f t="shared" si="15"/>
        <v>1948.69</v>
      </c>
      <c r="O30" s="36">
        <f t="shared" si="15"/>
        <v>1948.69</v>
      </c>
      <c r="P30" s="36">
        <f t="shared" si="15"/>
        <v>2948.69</v>
      </c>
      <c r="Q30" s="36">
        <f t="shared" si="15"/>
        <v>2948.69</v>
      </c>
      <c r="R30" s="36">
        <f t="shared" si="15"/>
        <v>2948.69</v>
      </c>
      <c r="S30" s="36">
        <f t="shared" si="15"/>
        <v>2948.69</v>
      </c>
      <c r="T30" s="36">
        <f t="shared" si="15"/>
        <v>2948.69</v>
      </c>
      <c r="U30" s="36">
        <f t="shared" si="15"/>
        <v>2948.69</v>
      </c>
      <c r="V30" s="36">
        <f t="shared" si="15"/>
        <v>2948.69</v>
      </c>
      <c r="W30" s="36">
        <f t="shared" si="15"/>
        <v>2948.69</v>
      </c>
      <c r="X30" s="36">
        <f t="shared" si="15"/>
        <v>2948.69</v>
      </c>
      <c r="Y30" s="36">
        <f t="shared" si="15"/>
        <v>2948.69</v>
      </c>
      <c r="Z30" s="36">
        <f t="shared" si="15"/>
        <v>2948.69</v>
      </c>
      <c r="AA30" s="36">
        <f t="shared" si="15"/>
        <v>2948.69</v>
      </c>
      <c r="AB30" s="36">
        <f t="shared" si="15"/>
        <v>3782.0233333333335</v>
      </c>
      <c r="AC30" s="36">
        <f t="shared" si="15"/>
        <v>3782.0233333333335</v>
      </c>
      <c r="AD30" s="36">
        <f t="shared" si="15"/>
        <v>3782.0233333333335</v>
      </c>
      <c r="AE30" s="36">
        <f t="shared" si="15"/>
        <v>3782.0233333333335</v>
      </c>
      <c r="AF30" s="36">
        <f t="shared" si="15"/>
        <v>3782.0233333333335</v>
      </c>
      <c r="AG30" s="36">
        <f t="shared" si="15"/>
        <v>3782.0233333333335</v>
      </c>
      <c r="AH30" s="36">
        <f t="shared" si="15"/>
        <v>3782.0233333333335</v>
      </c>
      <c r="AI30" s="36">
        <f t="shared" si="15"/>
        <v>3782.0233333333335</v>
      </c>
      <c r="AJ30" s="36">
        <f t="shared" ref="AJ30:BO30" si="16">AJ23+AJ26</f>
        <v>3782.0233333333335</v>
      </c>
      <c r="AK30" s="36">
        <f t="shared" si="16"/>
        <v>3782.0233333333335</v>
      </c>
      <c r="AL30" s="36">
        <f t="shared" si="16"/>
        <v>3782.0233333333335</v>
      </c>
      <c r="AM30" s="36">
        <f t="shared" si="16"/>
        <v>3782.0233333333335</v>
      </c>
      <c r="AN30" s="36">
        <f t="shared" si="16"/>
        <v>3782.0233333333335</v>
      </c>
      <c r="AO30" s="36">
        <f t="shared" si="16"/>
        <v>3782.0233333333335</v>
      </c>
      <c r="AP30" s="36">
        <f t="shared" si="16"/>
        <v>3782.0233333333335</v>
      </c>
      <c r="AQ30" s="36">
        <f t="shared" si="16"/>
        <v>3782.0233333333335</v>
      </c>
      <c r="AR30" s="36">
        <f t="shared" si="16"/>
        <v>3782.0233333333335</v>
      </c>
      <c r="AS30" s="36">
        <f t="shared" si="16"/>
        <v>3782.0233333333335</v>
      </c>
      <c r="AT30" s="36">
        <f t="shared" si="16"/>
        <v>3782.0233333333335</v>
      </c>
      <c r="AU30" s="36">
        <f t="shared" si="16"/>
        <v>3782.0233333333335</v>
      </c>
      <c r="AV30" s="36">
        <f t="shared" si="16"/>
        <v>3782.0233333333335</v>
      </c>
      <c r="AW30" s="36">
        <f t="shared" si="16"/>
        <v>3782.0233333333335</v>
      </c>
      <c r="AX30" s="36">
        <f t="shared" si="16"/>
        <v>3782.0233333333335</v>
      </c>
      <c r="AY30" s="36">
        <f t="shared" si="16"/>
        <v>3782.0233333333335</v>
      </c>
      <c r="AZ30" s="36">
        <f t="shared" si="16"/>
        <v>3782.0233333333335</v>
      </c>
      <c r="BA30" s="36">
        <f t="shared" si="16"/>
        <v>3782.0233333333335</v>
      </c>
      <c r="BB30" s="36">
        <f t="shared" si="16"/>
        <v>3782.0233333333335</v>
      </c>
      <c r="BC30" s="36">
        <f t="shared" si="16"/>
        <v>3782.0233333333335</v>
      </c>
      <c r="BD30" s="36">
        <f t="shared" si="16"/>
        <v>3782.0233333333335</v>
      </c>
      <c r="BE30" s="36">
        <f t="shared" si="16"/>
        <v>3782.0233333333335</v>
      </c>
      <c r="BF30" s="36">
        <f t="shared" si="16"/>
        <v>3782.0233333333335</v>
      </c>
      <c r="BG30" s="36">
        <f t="shared" si="16"/>
        <v>3782.0233333333335</v>
      </c>
      <c r="BH30" s="36">
        <f t="shared" si="16"/>
        <v>3782.0233333333335</v>
      </c>
      <c r="BI30" s="36">
        <f t="shared" si="16"/>
        <v>3782.0233333333335</v>
      </c>
      <c r="BJ30" s="36">
        <f t="shared" si="16"/>
        <v>3782.0233333333335</v>
      </c>
      <c r="BK30" s="36">
        <f t="shared" si="16"/>
        <v>3782.0233333333335</v>
      </c>
      <c r="BL30" s="36">
        <f t="shared" si="16"/>
        <v>3782.0233333333335</v>
      </c>
      <c r="BM30" s="36">
        <f t="shared" si="16"/>
        <v>3782.0233333333335</v>
      </c>
      <c r="BN30" s="36">
        <f t="shared" si="16"/>
        <v>3782.0233333333335</v>
      </c>
      <c r="BO30" s="36">
        <f t="shared" si="16"/>
        <v>3782.0233333333335</v>
      </c>
      <c r="BP30" s="36">
        <f t="shared" ref="BP30:CI30" si="17">BP23+BP26</f>
        <v>3782.0233333333335</v>
      </c>
      <c r="BQ30" s="36">
        <f t="shared" si="17"/>
        <v>3782.0233333333335</v>
      </c>
      <c r="BR30" s="36">
        <f t="shared" si="17"/>
        <v>3782.0233333333335</v>
      </c>
      <c r="BS30" s="36">
        <f t="shared" si="17"/>
        <v>3782.0233333333335</v>
      </c>
      <c r="BT30" s="36">
        <f t="shared" si="17"/>
        <v>3782.0233333333335</v>
      </c>
      <c r="BU30" s="36">
        <f t="shared" si="17"/>
        <v>3782.0233333333335</v>
      </c>
      <c r="BV30" s="36">
        <f t="shared" si="17"/>
        <v>3782.0233333333335</v>
      </c>
      <c r="BW30" s="36">
        <f t="shared" si="17"/>
        <v>3782.0233333333335</v>
      </c>
      <c r="BX30" s="36">
        <f t="shared" si="17"/>
        <v>3782.0233333333335</v>
      </c>
      <c r="BY30" s="36">
        <f t="shared" si="17"/>
        <v>3782.0233333333335</v>
      </c>
      <c r="BZ30" s="36">
        <f t="shared" si="17"/>
        <v>3782.0233333333335</v>
      </c>
      <c r="CA30" s="36">
        <f t="shared" si="17"/>
        <v>3782.0233333333335</v>
      </c>
      <c r="CB30" s="36">
        <f t="shared" si="17"/>
        <v>3782.0233333333335</v>
      </c>
      <c r="CC30" s="36">
        <f t="shared" si="17"/>
        <v>3782.0233333333335</v>
      </c>
      <c r="CD30" s="36">
        <f t="shared" si="17"/>
        <v>3782.0233333333335</v>
      </c>
      <c r="CE30" s="36">
        <f t="shared" si="17"/>
        <v>3782.0233333333335</v>
      </c>
      <c r="CF30" s="36">
        <f t="shared" si="17"/>
        <v>3782.0233333333335</v>
      </c>
      <c r="CG30" s="36">
        <f t="shared" si="17"/>
        <v>3782.0233333333335</v>
      </c>
      <c r="CH30" s="36">
        <f t="shared" si="17"/>
        <v>3782.0233333333335</v>
      </c>
      <c r="CI30" s="36">
        <f t="shared" si="17"/>
        <v>3782.0233333333335</v>
      </c>
    </row>
    <row r="32" spans="1:87" ht="16.5">
      <c r="A32" s="6" t="s">
        <v>582</v>
      </c>
      <c r="B32" s="30" t="s">
        <v>465</v>
      </c>
      <c r="C32" s="44">
        <f>'1_PANEL_CONTROL'!$C$41</f>
        <v>18000</v>
      </c>
      <c r="D32" s="33">
        <f>IF(D$8&gt;='1_PANEL_CONTROL'!$D$41, IF(D$8&lt;=12, 18000, IF(D$8&lt;=24, 30000, 40000))/'1_PANEL_CONTROL'!$C$32, 0)</f>
        <v>1500</v>
      </c>
      <c r="E32" s="33">
        <f>IF(E$8&gt;='1_PANEL_CONTROL'!$D$41, IF(E$8&lt;=12, 18000, IF(E$8&lt;=24, 30000, 40000))/'1_PANEL_CONTROL'!$C$32, 0)</f>
        <v>1500</v>
      </c>
      <c r="F32" s="33">
        <f>IF(F$8&gt;='1_PANEL_CONTROL'!$D$41, IF(F$8&lt;=12, 18000, IF(F$8&lt;=24, 30000, 40000))/'1_PANEL_CONTROL'!$C$32, 0)</f>
        <v>1500</v>
      </c>
      <c r="G32" s="33">
        <f>IF(G$8&gt;='1_PANEL_CONTROL'!$D$41, IF(G$8&lt;=12, 18000, IF(G$8&lt;=24, 30000, 40000))/'1_PANEL_CONTROL'!$C$32, 0)</f>
        <v>1500</v>
      </c>
      <c r="H32" s="33">
        <f>IF(H$8&gt;='1_PANEL_CONTROL'!$D$41, IF(H$8&lt;=12, 18000, IF(H$8&lt;=24, 30000, 40000))/'1_PANEL_CONTROL'!$C$32, 0)</f>
        <v>1500</v>
      </c>
      <c r="I32" s="33">
        <f>IF(I$8&gt;='1_PANEL_CONTROL'!$D$41, IF(I$8&lt;=12, 18000, IF(I$8&lt;=24, 30000, 40000))/'1_PANEL_CONTROL'!$C$32, 0)</f>
        <v>1500</v>
      </c>
      <c r="J32" s="33">
        <f>IF(J$8&gt;='1_PANEL_CONTROL'!$D$41, IF(J$8&lt;=12, 18000, IF(J$8&lt;=24, 30000, 40000))/'1_PANEL_CONTROL'!$C$32, 0)</f>
        <v>1500</v>
      </c>
      <c r="K32" s="33">
        <f>IF(K$8&gt;='1_PANEL_CONTROL'!$D$41, IF(K$8&lt;=12, 18000, IF(K$8&lt;=24, 30000, 40000))/'1_PANEL_CONTROL'!$C$32, 0)</f>
        <v>1500</v>
      </c>
      <c r="L32" s="33">
        <f>IF(L$8&gt;='1_PANEL_CONTROL'!$D$41, IF(L$8&lt;=12, 18000, IF(L$8&lt;=24, 30000, 40000))/'1_PANEL_CONTROL'!$C$32, 0)</f>
        <v>1500</v>
      </c>
      <c r="M32" s="33">
        <f>IF(M$8&gt;='1_PANEL_CONTROL'!$D$41, IF(M$8&lt;=12, 18000, IF(M$8&lt;=24, 30000, 40000))/'1_PANEL_CONTROL'!$C$32, 0)</f>
        <v>1500</v>
      </c>
      <c r="N32" s="33">
        <f>IF(N$8&gt;='1_PANEL_CONTROL'!$D$41, IF(N$8&lt;=12, 18000, IF(N$8&lt;=24, 30000, 40000))/'1_PANEL_CONTROL'!$C$32, 0)</f>
        <v>1500</v>
      </c>
      <c r="O32" s="33">
        <f>IF(O$8&gt;='1_PANEL_CONTROL'!$D$41, IF(O$8&lt;=12, 18000, IF(O$8&lt;=24, 30000, 40000))/'1_PANEL_CONTROL'!$C$32, 0)</f>
        <v>1500</v>
      </c>
      <c r="P32" s="33">
        <f>IF(P$8&gt;='1_PANEL_CONTROL'!$D$41, IF(P$8&lt;=12, 18000, IF(P$8&lt;=24, 30000, 40000))/'1_PANEL_CONTROL'!$C$32, 0)</f>
        <v>2500</v>
      </c>
      <c r="Q32" s="33">
        <f>IF(Q$8&gt;='1_PANEL_CONTROL'!$D$41, IF(Q$8&lt;=12, 18000, IF(Q$8&lt;=24, 30000, 40000))/'1_PANEL_CONTROL'!$C$32, 0)</f>
        <v>2500</v>
      </c>
      <c r="R32" s="33">
        <f>IF(R$8&gt;='1_PANEL_CONTROL'!$D$41, IF(R$8&lt;=12, 18000, IF(R$8&lt;=24, 30000, 40000))/'1_PANEL_CONTROL'!$C$32, 0)</f>
        <v>2500</v>
      </c>
      <c r="S32" s="33">
        <f>IF(S$8&gt;='1_PANEL_CONTROL'!$D$41, IF(S$8&lt;=12, 18000, IF(S$8&lt;=24, 30000, 40000))/'1_PANEL_CONTROL'!$C$32, 0)</f>
        <v>2500</v>
      </c>
      <c r="T32" s="33">
        <f>IF(T$8&gt;='1_PANEL_CONTROL'!$D$41, IF(T$8&lt;=12, 18000, IF(T$8&lt;=24, 30000, 40000))/'1_PANEL_CONTROL'!$C$32, 0)</f>
        <v>2500</v>
      </c>
      <c r="U32" s="33">
        <f>IF(U$8&gt;='1_PANEL_CONTROL'!$D$41, IF(U$8&lt;=12, 18000, IF(U$8&lt;=24, 30000, 40000))/'1_PANEL_CONTROL'!$C$32, 0)</f>
        <v>2500</v>
      </c>
      <c r="V32" s="33">
        <f>IF(V$8&gt;='1_PANEL_CONTROL'!$D$41, IF(V$8&lt;=12, 18000, IF(V$8&lt;=24, 30000, 40000))/'1_PANEL_CONTROL'!$C$32, 0)</f>
        <v>2500</v>
      </c>
      <c r="W32" s="33">
        <f>IF(W$8&gt;='1_PANEL_CONTROL'!$D$41, IF(W$8&lt;=12, 18000, IF(W$8&lt;=24, 30000, 40000))/'1_PANEL_CONTROL'!$C$32, 0)</f>
        <v>2500</v>
      </c>
      <c r="X32" s="33">
        <f>IF(X$8&gt;='1_PANEL_CONTROL'!$D$41, IF(X$8&lt;=12, 18000, IF(X$8&lt;=24, 30000, 40000))/'1_PANEL_CONTROL'!$C$32, 0)</f>
        <v>2500</v>
      </c>
      <c r="Y32" s="33">
        <f>IF(Y$8&gt;='1_PANEL_CONTROL'!$D$41, IF(Y$8&lt;=12, 18000, IF(Y$8&lt;=24, 30000, 40000))/'1_PANEL_CONTROL'!$C$32, 0)</f>
        <v>2500</v>
      </c>
      <c r="Z32" s="33">
        <f>IF(Z$8&gt;='1_PANEL_CONTROL'!$D$41, IF(Z$8&lt;=12, 18000, IF(Z$8&lt;=24, 30000, 40000))/'1_PANEL_CONTROL'!$C$32, 0)</f>
        <v>2500</v>
      </c>
      <c r="AA32" s="33">
        <f>IF(AA$8&gt;='1_PANEL_CONTROL'!$D$41, IF(AA$8&lt;=12, 18000, IF(AA$8&lt;=24, 30000, 40000))/'1_PANEL_CONTROL'!$C$32, 0)</f>
        <v>2500</v>
      </c>
      <c r="AB32" s="33">
        <f>IF(AB$8&gt;='1_PANEL_CONTROL'!$D$41, IF(AB$8&lt;=12, 18000, IF(AB$8&lt;=24, 30000, 40000))/'1_PANEL_CONTROL'!$C$32, 0)</f>
        <v>3333.3333333333335</v>
      </c>
      <c r="AC32" s="33">
        <f>IF(AC$8&gt;='1_PANEL_CONTROL'!$D$41, IF(AC$8&lt;=12, 18000, IF(AC$8&lt;=24, 30000, 40000))/'1_PANEL_CONTROL'!$C$32, 0)</f>
        <v>3333.3333333333335</v>
      </c>
      <c r="AD32" s="33">
        <f>IF(AD$8&gt;='1_PANEL_CONTROL'!$D$41, IF(AD$8&lt;=12, 18000, IF(AD$8&lt;=24, 30000, 40000))/'1_PANEL_CONTROL'!$C$32, 0)</f>
        <v>3333.3333333333335</v>
      </c>
      <c r="AE32" s="33">
        <f>IF(AE$8&gt;='1_PANEL_CONTROL'!$D$41, IF(AE$8&lt;=12, 18000, IF(AE$8&lt;=24, 30000, 40000))/'1_PANEL_CONTROL'!$C$32, 0)</f>
        <v>3333.3333333333335</v>
      </c>
      <c r="AF32" s="33">
        <f>IF(AF$8&gt;='1_PANEL_CONTROL'!$D$41, IF(AF$8&lt;=12, 18000, IF(AF$8&lt;=24, 30000, 40000))/'1_PANEL_CONTROL'!$C$32, 0)</f>
        <v>3333.3333333333335</v>
      </c>
      <c r="AG32" s="33">
        <f>IF(AG$8&gt;='1_PANEL_CONTROL'!$D$41, IF(AG$8&lt;=12, 18000, IF(AG$8&lt;=24, 30000, 40000))/'1_PANEL_CONTROL'!$C$32, 0)</f>
        <v>3333.3333333333335</v>
      </c>
      <c r="AH32" s="33">
        <f>IF(AH$8&gt;='1_PANEL_CONTROL'!$D$41, IF(AH$8&lt;=12, 18000, IF(AH$8&lt;=24, 30000, 40000))/'1_PANEL_CONTROL'!$C$32, 0)</f>
        <v>3333.3333333333335</v>
      </c>
      <c r="AI32" s="33">
        <f>IF(AI$8&gt;='1_PANEL_CONTROL'!$D$41, IF(AI$8&lt;=12, 18000, IF(AI$8&lt;=24, 30000, 40000))/'1_PANEL_CONTROL'!$C$32, 0)</f>
        <v>3333.3333333333335</v>
      </c>
      <c r="AJ32" s="33">
        <f>IF(AJ$8&gt;='1_PANEL_CONTROL'!$D$41, IF(AJ$8&lt;=12, 18000, IF(AJ$8&lt;=24, 30000, 40000))/'1_PANEL_CONTROL'!$C$32, 0)</f>
        <v>3333.3333333333335</v>
      </c>
      <c r="AK32" s="33">
        <f>IF(AK$8&gt;='1_PANEL_CONTROL'!$D$41, IF(AK$8&lt;=12, 18000, IF(AK$8&lt;=24, 30000, 40000))/'1_PANEL_CONTROL'!$C$32, 0)</f>
        <v>3333.3333333333335</v>
      </c>
      <c r="AL32" s="33">
        <f>IF(AL$8&gt;='1_PANEL_CONTROL'!$D$41, IF(AL$8&lt;=12, 18000, IF(AL$8&lt;=24, 30000, 40000))/'1_PANEL_CONTROL'!$C$32, 0)</f>
        <v>3333.3333333333335</v>
      </c>
      <c r="AM32" s="33">
        <f>IF(AM$8&gt;='1_PANEL_CONTROL'!$D$41, IF(AM$8&lt;=12, 18000, IF(AM$8&lt;=24, 30000, 40000))/'1_PANEL_CONTROL'!$C$32, 0)</f>
        <v>3333.3333333333335</v>
      </c>
      <c r="AN32" s="33">
        <f>IF(AN$8&gt;='1_PANEL_CONTROL'!$D$41, IF(AN$8&lt;=12, 18000, IF(AN$8&lt;=24, 30000, 40000))/'1_PANEL_CONTROL'!$C$32, 0)</f>
        <v>3333.3333333333335</v>
      </c>
      <c r="AO32" s="33">
        <f>IF(AO$8&gt;='1_PANEL_CONTROL'!$D$41, IF(AO$8&lt;=12, 18000, IF(AO$8&lt;=24, 30000, 40000))/'1_PANEL_CONTROL'!$C$32, 0)</f>
        <v>3333.3333333333335</v>
      </c>
      <c r="AP32" s="33">
        <f>IF(AP$8&gt;='1_PANEL_CONTROL'!$D$41, IF(AP$8&lt;=12, 18000, IF(AP$8&lt;=24, 30000, 40000))/'1_PANEL_CONTROL'!$C$32, 0)</f>
        <v>3333.3333333333335</v>
      </c>
      <c r="AQ32" s="33">
        <f>IF(AQ$8&gt;='1_PANEL_CONTROL'!$D$41, IF(AQ$8&lt;=12, 18000, IF(AQ$8&lt;=24, 30000, 40000))/'1_PANEL_CONTROL'!$C$32, 0)</f>
        <v>3333.3333333333335</v>
      </c>
      <c r="AR32" s="33">
        <f>IF(AR$8&gt;='1_PANEL_CONTROL'!$D$41, IF(AR$8&lt;=12, 18000, IF(AR$8&lt;=24, 30000, 40000))/'1_PANEL_CONTROL'!$C$32, 0)</f>
        <v>3333.3333333333335</v>
      </c>
      <c r="AS32" s="33">
        <f>IF(AS$8&gt;='1_PANEL_CONTROL'!$D$41, IF(AS$8&lt;=12, 18000, IF(AS$8&lt;=24, 30000, 40000))/'1_PANEL_CONTROL'!$C$32, 0)</f>
        <v>3333.3333333333335</v>
      </c>
      <c r="AT32" s="33">
        <f>IF(AT$8&gt;='1_PANEL_CONTROL'!$D$41, IF(AT$8&lt;=12, 18000, IF(AT$8&lt;=24, 30000, 40000))/'1_PANEL_CONTROL'!$C$32, 0)</f>
        <v>3333.3333333333335</v>
      </c>
      <c r="AU32" s="33">
        <f>IF(AU$8&gt;='1_PANEL_CONTROL'!$D$41, IF(AU$8&lt;=12, 18000, IF(AU$8&lt;=24, 30000, 40000))/'1_PANEL_CONTROL'!$C$32, 0)</f>
        <v>3333.3333333333335</v>
      </c>
      <c r="AV32" s="33">
        <f>IF(AV$8&gt;='1_PANEL_CONTROL'!$D$41, IF(AV$8&lt;=12, 18000, IF(AV$8&lt;=24, 30000, 40000))/'1_PANEL_CONTROL'!$C$32, 0)</f>
        <v>3333.3333333333335</v>
      </c>
      <c r="AW32" s="33">
        <f>IF(AW$8&gt;='1_PANEL_CONTROL'!$D$41, IF(AW$8&lt;=12, 18000, IF(AW$8&lt;=24, 30000, 40000))/'1_PANEL_CONTROL'!$C$32, 0)</f>
        <v>3333.3333333333335</v>
      </c>
      <c r="AX32" s="33">
        <f>IF(AX$8&gt;='1_PANEL_CONTROL'!$D$41, IF(AX$8&lt;=12, 18000, IF(AX$8&lt;=24, 30000, 40000))/'1_PANEL_CONTROL'!$C$32, 0)</f>
        <v>3333.3333333333335</v>
      </c>
      <c r="AY32" s="33">
        <f>IF(AY$8&gt;='1_PANEL_CONTROL'!$D$41, IF(AY$8&lt;=12, 18000, IF(AY$8&lt;=24, 30000, 40000))/'1_PANEL_CONTROL'!$C$32, 0)</f>
        <v>3333.3333333333335</v>
      </c>
      <c r="AZ32" s="33">
        <f>IF(AZ$8&gt;='1_PANEL_CONTROL'!$D$41, IF(AZ$8&lt;=12, 18000, IF(AZ$8&lt;=24, 30000, 40000))/'1_PANEL_CONTROL'!$C$32, 0)</f>
        <v>3333.3333333333335</v>
      </c>
      <c r="BA32" s="33">
        <f>IF(BA$8&gt;='1_PANEL_CONTROL'!$D$41, IF(BA$8&lt;=12, 18000, IF(BA$8&lt;=24, 30000, 40000))/'1_PANEL_CONTROL'!$C$32, 0)</f>
        <v>3333.3333333333335</v>
      </c>
      <c r="BB32" s="33">
        <f>IF(BB$8&gt;='1_PANEL_CONTROL'!$D$41, IF(BB$8&lt;=12, 18000, IF(BB$8&lt;=24, 30000, 40000))/'1_PANEL_CONTROL'!$C$32, 0)</f>
        <v>3333.3333333333335</v>
      </c>
      <c r="BC32" s="33">
        <f>IF(BC$8&gt;='1_PANEL_CONTROL'!$D$41, IF(BC$8&lt;=12, 18000, IF(BC$8&lt;=24, 30000, 40000))/'1_PANEL_CONTROL'!$C$32, 0)</f>
        <v>3333.3333333333335</v>
      </c>
      <c r="BD32" s="33">
        <f>IF(BD$8&gt;='1_PANEL_CONTROL'!$D$41, IF(BD$8&lt;=12, 18000, IF(BD$8&lt;=24, 30000, 40000))/'1_PANEL_CONTROL'!$C$32, 0)</f>
        <v>3333.3333333333335</v>
      </c>
      <c r="BE32" s="33">
        <f>IF(BE$8&gt;='1_PANEL_CONTROL'!$D$41, IF(BE$8&lt;=12, 18000, IF(BE$8&lt;=24, 30000, 40000))/'1_PANEL_CONTROL'!$C$32, 0)</f>
        <v>3333.3333333333335</v>
      </c>
      <c r="BF32" s="33">
        <f>IF(BF$8&gt;='1_PANEL_CONTROL'!$D$41, IF(BF$8&lt;=12, 18000, IF(BF$8&lt;=24, 30000, 40000))/'1_PANEL_CONTROL'!$C$32, 0)</f>
        <v>3333.3333333333335</v>
      </c>
      <c r="BG32" s="33">
        <f>IF(BG$8&gt;='1_PANEL_CONTROL'!$D$41, IF(BG$8&lt;=12, 18000, IF(BG$8&lt;=24, 30000, 40000))/'1_PANEL_CONTROL'!$C$32, 0)</f>
        <v>3333.3333333333335</v>
      </c>
      <c r="BH32" s="33">
        <f>IF(BH$8&gt;='1_PANEL_CONTROL'!$D$41, IF(BH$8&lt;=12, 18000, IF(BH$8&lt;=24, 30000, 40000))/'1_PANEL_CONTROL'!$C$32, 0)</f>
        <v>3333.3333333333335</v>
      </c>
      <c r="BI32" s="33">
        <f>IF(BI$8&gt;='1_PANEL_CONTROL'!$D$41, IF(BI$8&lt;=12, 18000, IF(BI$8&lt;=24, 30000, 40000))/'1_PANEL_CONTROL'!$C$32, 0)</f>
        <v>3333.3333333333335</v>
      </c>
      <c r="BJ32" s="33">
        <f>IF(BJ$8&gt;='1_PANEL_CONTROL'!$D$41, IF(BJ$8&lt;=12, 18000, IF(BJ$8&lt;=24, 30000, 40000))/'1_PANEL_CONTROL'!$C$32, 0)</f>
        <v>3333.3333333333335</v>
      </c>
      <c r="BK32" s="33">
        <f>IF(BK$8&gt;='1_PANEL_CONTROL'!$D$41, IF(BK$8&lt;=12, 18000, IF(BK$8&lt;=24, 30000, 40000))/'1_PANEL_CONTROL'!$C$32, 0)</f>
        <v>3333.3333333333335</v>
      </c>
      <c r="BL32" s="33">
        <f>IF(BL$8&gt;='1_PANEL_CONTROL'!$D$41, IF(BL$8&lt;=12, 18000, IF(BL$8&lt;=24, 30000, 40000))/'1_PANEL_CONTROL'!$C$32, 0)</f>
        <v>3333.3333333333335</v>
      </c>
      <c r="BM32" s="33">
        <f>IF(BM$8&gt;='1_PANEL_CONTROL'!$D$41, IF(BM$8&lt;=12, 18000, IF(BM$8&lt;=24, 30000, 40000))/'1_PANEL_CONTROL'!$C$32, 0)</f>
        <v>3333.3333333333335</v>
      </c>
      <c r="BN32" s="33">
        <f>IF(BN$8&gt;='1_PANEL_CONTROL'!$D$41, IF(BN$8&lt;=12, 18000, IF(BN$8&lt;=24, 30000, 40000))/'1_PANEL_CONTROL'!$C$32, 0)</f>
        <v>3333.3333333333335</v>
      </c>
      <c r="BO32" s="33">
        <f>IF(BO$8&gt;='1_PANEL_CONTROL'!$D$41, IF(BO$8&lt;=12, 18000, IF(BO$8&lt;=24, 30000, 40000))/'1_PANEL_CONTROL'!$C$32, 0)</f>
        <v>3333.3333333333335</v>
      </c>
      <c r="BP32" s="33">
        <f>IF(BP$8&gt;='1_PANEL_CONTROL'!$D$41, IF(BP$8&lt;=12, 18000, IF(BP$8&lt;=24, 30000, 40000))/'1_PANEL_CONTROL'!$C$32, 0)</f>
        <v>3333.3333333333335</v>
      </c>
      <c r="BQ32" s="33">
        <f>IF(BQ$8&gt;='1_PANEL_CONTROL'!$D$41, IF(BQ$8&lt;=12, 18000, IF(BQ$8&lt;=24, 30000, 40000))/'1_PANEL_CONTROL'!$C$32, 0)</f>
        <v>3333.3333333333335</v>
      </c>
      <c r="BR32" s="33">
        <f>IF(BR$8&gt;='1_PANEL_CONTROL'!$D$41, IF(BR$8&lt;=12, 18000, IF(BR$8&lt;=24, 30000, 40000))/'1_PANEL_CONTROL'!$C$32, 0)</f>
        <v>3333.3333333333335</v>
      </c>
      <c r="BS32" s="33">
        <f>IF(BS$8&gt;='1_PANEL_CONTROL'!$D$41, IF(BS$8&lt;=12, 18000, IF(BS$8&lt;=24, 30000, 40000))/'1_PANEL_CONTROL'!$C$32, 0)</f>
        <v>3333.3333333333335</v>
      </c>
      <c r="BT32" s="33">
        <f>IF(BT$8&gt;='1_PANEL_CONTROL'!$D$41, IF(BT$8&lt;=12, 18000, IF(BT$8&lt;=24, 30000, 40000))/'1_PANEL_CONTROL'!$C$32, 0)</f>
        <v>3333.3333333333335</v>
      </c>
      <c r="BU32" s="33">
        <f>IF(BU$8&gt;='1_PANEL_CONTROL'!$D$41, IF(BU$8&lt;=12, 18000, IF(BU$8&lt;=24, 30000, 40000))/'1_PANEL_CONTROL'!$C$32, 0)</f>
        <v>3333.3333333333335</v>
      </c>
      <c r="BV32" s="33">
        <f>IF(BV$8&gt;='1_PANEL_CONTROL'!$D$41, IF(BV$8&lt;=12, 18000, IF(BV$8&lt;=24, 30000, 40000))/'1_PANEL_CONTROL'!$C$32, 0)</f>
        <v>3333.3333333333335</v>
      </c>
      <c r="BW32" s="33">
        <f>IF(BW$8&gt;='1_PANEL_CONTROL'!$D$41, IF(BW$8&lt;=12, 18000, IF(BW$8&lt;=24, 30000, 40000))/'1_PANEL_CONTROL'!$C$32, 0)</f>
        <v>3333.3333333333335</v>
      </c>
      <c r="BX32" s="33">
        <f>IF(BX$8&gt;='1_PANEL_CONTROL'!$D$41, IF(BX$8&lt;=12, 18000, IF(BX$8&lt;=24, 30000, 40000))/'1_PANEL_CONTROL'!$C$32, 0)</f>
        <v>3333.3333333333335</v>
      </c>
      <c r="BY32" s="33">
        <f>IF(BY$8&gt;='1_PANEL_CONTROL'!$D$41, IF(BY$8&lt;=12, 18000, IF(BY$8&lt;=24, 30000, 40000))/'1_PANEL_CONTROL'!$C$32, 0)</f>
        <v>3333.3333333333335</v>
      </c>
      <c r="BZ32" s="33">
        <f>IF(BZ$8&gt;='1_PANEL_CONTROL'!$D$41, IF(BZ$8&lt;=12, 18000, IF(BZ$8&lt;=24, 30000, 40000))/'1_PANEL_CONTROL'!$C$32, 0)</f>
        <v>3333.3333333333335</v>
      </c>
      <c r="CA32" s="33">
        <f>IF(CA$8&gt;='1_PANEL_CONTROL'!$D$41, IF(CA$8&lt;=12, 18000, IF(CA$8&lt;=24, 30000, 40000))/'1_PANEL_CONTROL'!$C$32, 0)</f>
        <v>3333.3333333333335</v>
      </c>
      <c r="CB32" s="33">
        <f>IF(CB$8&gt;='1_PANEL_CONTROL'!$D$41, IF(CB$8&lt;=12, 18000, IF(CB$8&lt;=24, 30000, 40000))/'1_PANEL_CONTROL'!$C$32, 0)</f>
        <v>3333.3333333333335</v>
      </c>
      <c r="CC32" s="33">
        <f>IF(CC$8&gt;='1_PANEL_CONTROL'!$D$41, IF(CC$8&lt;=12, 18000, IF(CC$8&lt;=24, 30000, 40000))/'1_PANEL_CONTROL'!$C$32, 0)</f>
        <v>3333.3333333333335</v>
      </c>
      <c r="CD32" s="33">
        <f>IF(CD$8&gt;='1_PANEL_CONTROL'!$D$41, IF(CD$8&lt;=12, 18000, IF(CD$8&lt;=24, 30000, 40000))/'1_PANEL_CONTROL'!$C$32, 0)</f>
        <v>3333.3333333333335</v>
      </c>
      <c r="CE32" s="33">
        <f>IF(CE$8&gt;='1_PANEL_CONTROL'!$D$41, IF(CE$8&lt;=12, 18000, IF(CE$8&lt;=24, 30000, 40000))/'1_PANEL_CONTROL'!$C$32, 0)</f>
        <v>3333.3333333333335</v>
      </c>
      <c r="CF32" s="33">
        <f>IF(CF$8&gt;='1_PANEL_CONTROL'!$D$41, IF(CF$8&lt;=12, 18000, IF(CF$8&lt;=24, 30000, 40000))/'1_PANEL_CONTROL'!$C$32, 0)</f>
        <v>3333.3333333333335</v>
      </c>
      <c r="CG32" s="33">
        <f>IF(CG$8&gt;='1_PANEL_CONTROL'!$D$41, IF(CG$8&lt;=12, 18000, IF(CG$8&lt;=24, 30000, 40000))/'1_PANEL_CONTROL'!$C$32, 0)</f>
        <v>3333.3333333333335</v>
      </c>
      <c r="CH32" s="33">
        <f>IF(CH$8&gt;='1_PANEL_CONTROL'!$D$41, IF(CH$8&lt;=12, 18000, IF(CH$8&lt;=24, 30000, 40000))/'1_PANEL_CONTROL'!$C$32, 0)</f>
        <v>3333.3333333333335</v>
      </c>
      <c r="CI32" s="33">
        <f>IF(CI$8&gt;='1_PANEL_CONTROL'!$D$41, IF(CI$8&lt;=12, 18000, IF(CI$8&lt;=24, 30000, 40000))/'1_PANEL_CONTROL'!$C$32, 0)</f>
        <v>3333.3333333333335</v>
      </c>
    </row>
    <row r="33" spans="1:87" ht="16">
      <c r="A33" s="6" t="s">
        <v>583</v>
      </c>
      <c r="B33" s="30" t="s">
        <v>465</v>
      </c>
      <c r="C33" s="15"/>
      <c r="D33" s="33">
        <f>IF(D$8&gt;='1_PANEL_CONTROL'!$D$41, IF('1_PANEL_CONTROL'!$C$32=14, IF(OR(MOD(D$8,12)=6, MOD(D$8,12)=0), IF(D$8&lt;=12, 18000, IF(D$8&lt;=24, 30000, 40000))/14, 0), 0), 0)</f>
        <v>0</v>
      </c>
      <c r="E33" s="33">
        <f>IF(E$8&gt;='1_PANEL_CONTROL'!$D$41, IF('1_PANEL_CONTROL'!$C$32=14, IF(OR(MOD(E$8,12)=6, MOD(E$8,12)=0), IF(E$8&lt;=12, 18000, IF(E$8&lt;=24, 30000, 40000))/14, 0), 0), 0)</f>
        <v>0</v>
      </c>
      <c r="F33" s="33">
        <f>IF(F$8&gt;='1_PANEL_CONTROL'!$D$41, IF('1_PANEL_CONTROL'!$C$32=14, IF(OR(MOD(F$8,12)=6, MOD(F$8,12)=0), IF(F$8&lt;=12, 18000, IF(F$8&lt;=24, 30000, 40000))/14, 0), 0), 0)</f>
        <v>0</v>
      </c>
      <c r="G33" s="33">
        <f>IF(G$8&gt;='1_PANEL_CONTROL'!$D$41, IF('1_PANEL_CONTROL'!$C$32=14, IF(OR(MOD(G$8,12)=6, MOD(G$8,12)=0), IF(G$8&lt;=12, 18000, IF(G$8&lt;=24, 30000, 40000))/14, 0), 0), 0)</f>
        <v>0</v>
      </c>
      <c r="H33" s="33">
        <f>IF(H$8&gt;='1_PANEL_CONTROL'!$D$41, IF('1_PANEL_CONTROL'!$C$32=14, IF(OR(MOD(H$8,12)=6, MOD(H$8,12)=0), IF(H$8&lt;=12, 18000, IF(H$8&lt;=24, 30000, 40000))/14, 0), 0), 0)</f>
        <v>0</v>
      </c>
      <c r="I33" s="33">
        <f>IF(I$8&gt;='1_PANEL_CONTROL'!$D$41, IF('1_PANEL_CONTROL'!$C$32=14, IF(OR(MOD(I$8,12)=6, MOD(I$8,12)=0), IF(I$8&lt;=12, 18000, IF(I$8&lt;=24, 30000, 40000))/14, 0), 0), 0)</f>
        <v>0</v>
      </c>
      <c r="J33" s="33">
        <f>IF(J$8&gt;='1_PANEL_CONTROL'!$D$41, IF('1_PANEL_CONTROL'!$C$32=14, IF(OR(MOD(J$8,12)=6, MOD(J$8,12)=0), IF(J$8&lt;=12, 18000, IF(J$8&lt;=24, 30000, 40000))/14, 0), 0), 0)</f>
        <v>0</v>
      </c>
      <c r="K33" s="33">
        <f>IF(K$8&gt;='1_PANEL_CONTROL'!$D$41, IF('1_PANEL_CONTROL'!$C$32=14, IF(OR(MOD(K$8,12)=6, MOD(K$8,12)=0), IF(K$8&lt;=12, 18000, IF(K$8&lt;=24, 30000, 40000))/14, 0), 0), 0)</f>
        <v>0</v>
      </c>
      <c r="L33" s="33">
        <f>IF(L$8&gt;='1_PANEL_CONTROL'!$D$41, IF('1_PANEL_CONTROL'!$C$32=14, IF(OR(MOD(L$8,12)=6, MOD(L$8,12)=0), IF(L$8&lt;=12, 18000, IF(L$8&lt;=24, 30000, 40000))/14, 0), 0), 0)</f>
        <v>0</v>
      </c>
      <c r="M33" s="33">
        <f>IF(M$8&gt;='1_PANEL_CONTROL'!$D$41, IF('1_PANEL_CONTROL'!$C$32=14, IF(OR(MOD(M$8,12)=6, MOD(M$8,12)=0), IF(M$8&lt;=12, 18000, IF(M$8&lt;=24, 30000, 40000))/14, 0), 0), 0)</f>
        <v>0</v>
      </c>
      <c r="N33" s="33">
        <f>IF(N$8&gt;='1_PANEL_CONTROL'!$D$41, IF('1_PANEL_CONTROL'!$C$32=14, IF(OR(MOD(N$8,12)=6, MOD(N$8,12)=0), IF(N$8&lt;=12, 18000, IF(N$8&lt;=24, 30000, 40000))/14, 0), 0), 0)</f>
        <v>0</v>
      </c>
      <c r="O33" s="33">
        <f>IF(O$8&gt;='1_PANEL_CONTROL'!$D$41, IF('1_PANEL_CONTROL'!$C$32=14, IF(OR(MOD(O$8,12)=6, MOD(O$8,12)=0), IF(O$8&lt;=12, 18000, IF(O$8&lt;=24, 30000, 40000))/14, 0), 0), 0)</f>
        <v>0</v>
      </c>
      <c r="P33" s="33">
        <f>IF(P$8&gt;='1_PANEL_CONTROL'!$D$41, IF('1_PANEL_CONTROL'!$C$32=14, IF(OR(MOD(P$8,12)=6, MOD(P$8,12)=0), IF(P$8&lt;=12, 18000, IF(P$8&lt;=24, 30000, 40000))/14, 0), 0), 0)</f>
        <v>0</v>
      </c>
      <c r="Q33" s="33">
        <f>IF(Q$8&gt;='1_PANEL_CONTROL'!$D$41, IF('1_PANEL_CONTROL'!$C$32=14, IF(OR(MOD(Q$8,12)=6, MOD(Q$8,12)=0), IF(Q$8&lt;=12, 18000, IF(Q$8&lt;=24, 30000, 40000))/14, 0), 0), 0)</f>
        <v>0</v>
      </c>
      <c r="R33" s="33">
        <f>IF(R$8&gt;='1_PANEL_CONTROL'!$D$41, IF('1_PANEL_CONTROL'!$C$32=14, IF(OR(MOD(R$8,12)=6, MOD(R$8,12)=0), IF(R$8&lt;=12, 18000, IF(R$8&lt;=24, 30000, 40000))/14, 0), 0), 0)</f>
        <v>0</v>
      </c>
      <c r="S33" s="33">
        <f>IF(S$8&gt;='1_PANEL_CONTROL'!$D$41, IF('1_PANEL_CONTROL'!$C$32=14, IF(OR(MOD(S$8,12)=6, MOD(S$8,12)=0), IF(S$8&lt;=12, 18000, IF(S$8&lt;=24, 30000, 40000))/14, 0), 0), 0)</f>
        <v>0</v>
      </c>
      <c r="T33" s="33">
        <f>IF(T$8&gt;='1_PANEL_CONTROL'!$D$41, IF('1_PANEL_CONTROL'!$C$32=14, IF(OR(MOD(T$8,12)=6, MOD(T$8,12)=0), IF(T$8&lt;=12, 18000, IF(T$8&lt;=24, 30000, 40000))/14, 0), 0), 0)</f>
        <v>0</v>
      </c>
      <c r="U33" s="33">
        <f>IF(U$8&gt;='1_PANEL_CONTROL'!$D$41, IF('1_PANEL_CONTROL'!$C$32=14, IF(OR(MOD(U$8,12)=6, MOD(U$8,12)=0), IF(U$8&lt;=12, 18000, IF(U$8&lt;=24, 30000, 40000))/14, 0), 0), 0)</f>
        <v>0</v>
      </c>
      <c r="V33" s="33">
        <f>IF(V$8&gt;='1_PANEL_CONTROL'!$D$41, IF('1_PANEL_CONTROL'!$C$32=14, IF(OR(MOD(V$8,12)=6, MOD(V$8,12)=0), IF(V$8&lt;=12, 18000, IF(V$8&lt;=24, 30000, 40000))/14, 0), 0), 0)</f>
        <v>0</v>
      </c>
      <c r="W33" s="33">
        <f>IF(W$8&gt;='1_PANEL_CONTROL'!$D$41, IF('1_PANEL_CONTROL'!$C$32=14, IF(OR(MOD(W$8,12)=6, MOD(W$8,12)=0), IF(W$8&lt;=12, 18000, IF(W$8&lt;=24, 30000, 40000))/14, 0), 0), 0)</f>
        <v>0</v>
      </c>
      <c r="X33" s="33">
        <f>IF(X$8&gt;='1_PANEL_CONTROL'!$D$41, IF('1_PANEL_CONTROL'!$C$32=14, IF(OR(MOD(X$8,12)=6, MOD(X$8,12)=0), IF(X$8&lt;=12, 18000, IF(X$8&lt;=24, 30000, 40000))/14, 0), 0), 0)</f>
        <v>0</v>
      </c>
      <c r="Y33" s="33">
        <f>IF(Y$8&gt;='1_PANEL_CONTROL'!$D$41, IF('1_PANEL_CONTROL'!$C$32=14, IF(OR(MOD(Y$8,12)=6, MOD(Y$8,12)=0), IF(Y$8&lt;=12, 18000, IF(Y$8&lt;=24, 30000, 40000))/14, 0), 0), 0)</f>
        <v>0</v>
      </c>
      <c r="Z33" s="33">
        <f>IF(Z$8&gt;='1_PANEL_CONTROL'!$D$41, IF('1_PANEL_CONTROL'!$C$32=14, IF(OR(MOD(Z$8,12)=6, MOD(Z$8,12)=0), IF(Z$8&lt;=12, 18000, IF(Z$8&lt;=24, 30000, 40000))/14, 0), 0), 0)</f>
        <v>0</v>
      </c>
      <c r="AA33" s="33">
        <f>IF(AA$8&gt;='1_PANEL_CONTROL'!$D$41, IF('1_PANEL_CONTROL'!$C$32=14, IF(OR(MOD(AA$8,12)=6, MOD(AA$8,12)=0), IF(AA$8&lt;=12, 18000, IF(AA$8&lt;=24, 30000, 40000))/14, 0), 0), 0)</f>
        <v>0</v>
      </c>
      <c r="AB33" s="33">
        <f>IF(AB$8&gt;='1_PANEL_CONTROL'!$D$41, IF('1_PANEL_CONTROL'!$C$32=14, IF(OR(MOD(AB$8,12)=6, MOD(AB$8,12)=0), IF(AB$8&lt;=12, 18000, IF(AB$8&lt;=24, 30000, 40000))/14, 0), 0), 0)</f>
        <v>0</v>
      </c>
      <c r="AC33" s="33">
        <f>IF(AC$8&gt;='1_PANEL_CONTROL'!$D$41, IF('1_PANEL_CONTROL'!$C$32=14, IF(OR(MOD(AC$8,12)=6, MOD(AC$8,12)=0), IF(AC$8&lt;=12, 18000, IF(AC$8&lt;=24, 30000, 40000))/14, 0), 0), 0)</f>
        <v>0</v>
      </c>
      <c r="AD33" s="33">
        <f>IF(AD$8&gt;='1_PANEL_CONTROL'!$D$41, IF('1_PANEL_CONTROL'!$C$32=14, IF(OR(MOD(AD$8,12)=6, MOD(AD$8,12)=0), IF(AD$8&lt;=12, 18000, IF(AD$8&lt;=24, 30000, 40000))/14, 0), 0), 0)</f>
        <v>0</v>
      </c>
      <c r="AE33" s="33">
        <f>IF(AE$8&gt;='1_PANEL_CONTROL'!$D$41, IF('1_PANEL_CONTROL'!$C$32=14, IF(OR(MOD(AE$8,12)=6, MOD(AE$8,12)=0), IF(AE$8&lt;=12, 18000, IF(AE$8&lt;=24, 30000, 40000))/14, 0), 0), 0)</f>
        <v>0</v>
      </c>
      <c r="AF33" s="33">
        <f>IF(AF$8&gt;='1_PANEL_CONTROL'!$D$41, IF('1_PANEL_CONTROL'!$C$32=14, IF(OR(MOD(AF$8,12)=6, MOD(AF$8,12)=0), IF(AF$8&lt;=12, 18000, IF(AF$8&lt;=24, 30000, 40000))/14, 0), 0), 0)</f>
        <v>0</v>
      </c>
      <c r="AG33" s="33">
        <f>IF(AG$8&gt;='1_PANEL_CONTROL'!$D$41, IF('1_PANEL_CONTROL'!$C$32=14, IF(OR(MOD(AG$8,12)=6, MOD(AG$8,12)=0), IF(AG$8&lt;=12, 18000, IF(AG$8&lt;=24, 30000, 40000))/14, 0), 0), 0)</f>
        <v>0</v>
      </c>
      <c r="AH33" s="33">
        <f>IF(AH$8&gt;='1_PANEL_CONTROL'!$D$41, IF('1_PANEL_CONTROL'!$C$32=14, IF(OR(MOD(AH$8,12)=6, MOD(AH$8,12)=0), IF(AH$8&lt;=12, 18000, IF(AH$8&lt;=24, 30000, 40000))/14, 0), 0), 0)</f>
        <v>0</v>
      </c>
      <c r="AI33" s="33">
        <f>IF(AI$8&gt;='1_PANEL_CONTROL'!$D$41, IF('1_PANEL_CONTROL'!$C$32=14, IF(OR(MOD(AI$8,12)=6, MOD(AI$8,12)=0), IF(AI$8&lt;=12, 18000, IF(AI$8&lt;=24, 30000, 40000))/14, 0), 0), 0)</f>
        <v>0</v>
      </c>
      <c r="AJ33" s="33">
        <f>IF(AJ$8&gt;='1_PANEL_CONTROL'!$D$41, IF('1_PANEL_CONTROL'!$C$32=14, IF(OR(MOD(AJ$8,12)=6, MOD(AJ$8,12)=0), IF(AJ$8&lt;=12, 18000, IF(AJ$8&lt;=24, 30000, 40000))/14, 0), 0), 0)</f>
        <v>0</v>
      </c>
      <c r="AK33" s="33">
        <f>IF(AK$8&gt;='1_PANEL_CONTROL'!$D$41, IF('1_PANEL_CONTROL'!$C$32=14, IF(OR(MOD(AK$8,12)=6, MOD(AK$8,12)=0), IF(AK$8&lt;=12, 18000, IF(AK$8&lt;=24, 30000, 40000))/14, 0), 0), 0)</f>
        <v>0</v>
      </c>
      <c r="AL33" s="33">
        <f>IF(AL$8&gt;='1_PANEL_CONTROL'!$D$41, IF('1_PANEL_CONTROL'!$C$32=14, IF(OR(MOD(AL$8,12)=6, MOD(AL$8,12)=0), IF(AL$8&lt;=12, 18000, IF(AL$8&lt;=24, 30000, 40000))/14, 0), 0), 0)</f>
        <v>0</v>
      </c>
      <c r="AM33" s="33">
        <f>IF(AM$8&gt;='1_PANEL_CONTROL'!$D$41, IF('1_PANEL_CONTROL'!$C$32=14, IF(OR(MOD(AM$8,12)=6, MOD(AM$8,12)=0), IF(AM$8&lt;=12, 18000, IF(AM$8&lt;=24, 30000, 40000))/14, 0), 0), 0)</f>
        <v>0</v>
      </c>
      <c r="AN33" s="33">
        <f>IF(AN$8&gt;='1_PANEL_CONTROL'!$D$41, IF('1_PANEL_CONTROL'!$C$32=14, IF(OR(MOD(AN$8,12)=6, MOD(AN$8,12)=0), IF(AN$8&lt;=12, 18000, IF(AN$8&lt;=24, 30000, 40000))/14, 0), 0), 0)</f>
        <v>0</v>
      </c>
      <c r="AO33" s="33">
        <f>IF(AO$8&gt;='1_PANEL_CONTROL'!$D$41, IF('1_PANEL_CONTROL'!$C$32=14, IF(OR(MOD(AO$8,12)=6, MOD(AO$8,12)=0), IF(AO$8&lt;=12, 18000, IF(AO$8&lt;=24, 30000, 40000))/14, 0), 0), 0)</f>
        <v>0</v>
      </c>
      <c r="AP33" s="33">
        <f>IF(AP$8&gt;='1_PANEL_CONTROL'!$D$41, IF('1_PANEL_CONTROL'!$C$32=14, IF(OR(MOD(AP$8,12)=6, MOD(AP$8,12)=0), IF(AP$8&lt;=12, 18000, IF(AP$8&lt;=24, 30000, 40000))/14, 0), 0), 0)</f>
        <v>0</v>
      </c>
      <c r="AQ33" s="33">
        <f>IF(AQ$8&gt;='1_PANEL_CONTROL'!$D$41, IF('1_PANEL_CONTROL'!$C$32=14, IF(OR(MOD(AQ$8,12)=6, MOD(AQ$8,12)=0), IF(AQ$8&lt;=12, 18000, IF(AQ$8&lt;=24, 30000, 40000))/14, 0), 0), 0)</f>
        <v>0</v>
      </c>
      <c r="AR33" s="33">
        <f>IF(AR$8&gt;='1_PANEL_CONTROL'!$D$41, IF('1_PANEL_CONTROL'!$C$32=14, IF(OR(MOD(AR$8,12)=6, MOD(AR$8,12)=0), IF(AR$8&lt;=12, 18000, IF(AR$8&lt;=24, 30000, 40000))/14, 0), 0), 0)</f>
        <v>0</v>
      </c>
      <c r="AS33" s="33">
        <f>IF(AS$8&gt;='1_PANEL_CONTROL'!$D$41, IF('1_PANEL_CONTROL'!$C$32=14, IF(OR(MOD(AS$8,12)=6, MOD(AS$8,12)=0), IF(AS$8&lt;=12, 18000, IF(AS$8&lt;=24, 30000, 40000))/14, 0), 0), 0)</f>
        <v>0</v>
      </c>
      <c r="AT33" s="33">
        <f>IF(AT$8&gt;='1_PANEL_CONTROL'!$D$41, IF('1_PANEL_CONTROL'!$C$32=14, IF(OR(MOD(AT$8,12)=6, MOD(AT$8,12)=0), IF(AT$8&lt;=12, 18000, IF(AT$8&lt;=24, 30000, 40000))/14, 0), 0), 0)</f>
        <v>0</v>
      </c>
      <c r="AU33" s="33">
        <f>IF(AU$8&gt;='1_PANEL_CONTROL'!$D$41, IF('1_PANEL_CONTROL'!$C$32=14, IF(OR(MOD(AU$8,12)=6, MOD(AU$8,12)=0), IF(AU$8&lt;=12, 18000, IF(AU$8&lt;=24, 30000, 40000))/14, 0), 0), 0)</f>
        <v>0</v>
      </c>
      <c r="AV33" s="33">
        <f>IF(AV$8&gt;='1_PANEL_CONTROL'!$D$41, IF('1_PANEL_CONTROL'!$C$32=14, IF(OR(MOD(AV$8,12)=6, MOD(AV$8,12)=0), IF(AV$8&lt;=12, 18000, IF(AV$8&lt;=24, 30000, 40000))/14, 0), 0), 0)</f>
        <v>0</v>
      </c>
      <c r="AW33" s="33">
        <f>IF(AW$8&gt;='1_PANEL_CONTROL'!$D$41, IF('1_PANEL_CONTROL'!$C$32=14, IF(OR(MOD(AW$8,12)=6, MOD(AW$8,12)=0), IF(AW$8&lt;=12, 18000, IF(AW$8&lt;=24, 30000, 40000))/14, 0), 0), 0)</f>
        <v>0</v>
      </c>
      <c r="AX33" s="33">
        <f>IF(AX$8&gt;='1_PANEL_CONTROL'!$D$41, IF('1_PANEL_CONTROL'!$C$32=14, IF(OR(MOD(AX$8,12)=6, MOD(AX$8,12)=0), IF(AX$8&lt;=12, 18000, IF(AX$8&lt;=24, 30000, 40000))/14, 0), 0), 0)</f>
        <v>0</v>
      </c>
      <c r="AY33" s="33">
        <f>IF(AY$8&gt;='1_PANEL_CONTROL'!$D$41, IF('1_PANEL_CONTROL'!$C$32=14, IF(OR(MOD(AY$8,12)=6, MOD(AY$8,12)=0), IF(AY$8&lt;=12, 18000, IF(AY$8&lt;=24, 30000, 40000))/14, 0), 0), 0)</f>
        <v>0</v>
      </c>
      <c r="AZ33" s="33">
        <f>IF(AZ$8&gt;='1_PANEL_CONTROL'!$D$41, IF('1_PANEL_CONTROL'!$C$32=14, IF(OR(MOD(AZ$8,12)=6, MOD(AZ$8,12)=0), IF(AZ$8&lt;=12, 18000, IF(AZ$8&lt;=24, 30000, 40000))/14, 0), 0), 0)</f>
        <v>0</v>
      </c>
      <c r="BA33" s="33">
        <f>IF(BA$8&gt;='1_PANEL_CONTROL'!$D$41, IF('1_PANEL_CONTROL'!$C$32=14, IF(OR(MOD(BA$8,12)=6, MOD(BA$8,12)=0), IF(BA$8&lt;=12, 18000, IF(BA$8&lt;=24, 30000, 40000))/14, 0), 0), 0)</f>
        <v>0</v>
      </c>
      <c r="BB33" s="33">
        <f>IF(BB$8&gt;='1_PANEL_CONTROL'!$D$41, IF('1_PANEL_CONTROL'!$C$32=14, IF(OR(MOD(BB$8,12)=6, MOD(BB$8,12)=0), IF(BB$8&lt;=12, 18000, IF(BB$8&lt;=24, 30000, 40000))/14, 0), 0), 0)</f>
        <v>0</v>
      </c>
      <c r="BC33" s="33">
        <f>IF(BC$8&gt;='1_PANEL_CONTROL'!$D$41, IF('1_PANEL_CONTROL'!$C$32=14, IF(OR(MOD(BC$8,12)=6, MOD(BC$8,12)=0), IF(BC$8&lt;=12, 18000, IF(BC$8&lt;=24, 30000, 40000))/14, 0), 0), 0)</f>
        <v>0</v>
      </c>
      <c r="BD33" s="33">
        <f>IF(BD$8&gt;='1_PANEL_CONTROL'!$D$41, IF('1_PANEL_CONTROL'!$C$32=14, IF(OR(MOD(BD$8,12)=6, MOD(BD$8,12)=0), IF(BD$8&lt;=12, 18000, IF(BD$8&lt;=24, 30000, 40000))/14, 0), 0), 0)</f>
        <v>0</v>
      </c>
      <c r="BE33" s="33">
        <f>IF(BE$8&gt;='1_PANEL_CONTROL'!$D$41, IF('1_PANEL_CONTROL'!$C$32=14, IF(OR(MOD(BE$8,12)=6, MOD(BE$8,12)=0), IF(BE$8&lt;=12, 18000, IF(BE$8&lt;=24, 30000, 40000))/14, 0), 0), 0)</f>
        <v>0</v>
      </c>
      <c r="BF33" s="33">
        <f>IF(BF$8&gt;='1_PANEL_CONTROL'!$D$41, IF('1_PANEL_CONTROL'!$C$32=14, IF(OR(MOD(BF$8,12)=6, MOD(BF$8,12)=0), IF(BF$8&lt;=12, 18000, IF(BF$8&lt;=24, 30000, 40000))/14, 0), 0), 0)</f>
        <v>0</v>
      </c>
      <c r="BG33" s="33">
        <f>IF(BG$8&gt;='1_PANEL_CONTROL'!$D$41, IF('1_PANEL_CONTROL'!$C$32=14, IF(OR(MOD(BG$8,12)=6, MOD(BG$8,12)=0), IF(BG$8&lt;=12, 18000, IF(BG$8&lt;=24, 30000, 40000))/14, 0), 0), 0)</f>
        <v>0</v>
      </c>
      <c r="BH33" s="33">
        <f>IF(BH$8&gt;='1_PANEL_CONTROL'!$D$41, IF('1_PANEL_CONTROL'!$C$32=14, IF(OR(MOD(BH$8,12)=6, MOD(BH$8,12)=0), IF(BH$8&lt;=12, 18000, IF(BH$8&lt;=24, 30000, 40000))/14, 0), 0), 0)</f>
        <v>0</v>
      </c>
      <c r="BI33" s="33">
        <f>IF(BI$8&gt;='1_PANEL_CONTROL'!$D$41, IF('1_PANEL_CONTROL'!$C$32=14, IF(OR(MOD(BI$8,12)=6, MOD(BI$8,12)=0), IF(BI$8&lt;=12, 18000, IF(BI$8&lt;=24, 30000, 40000))/14, 0), 0), 0)</f>
        <v>0</v>
      </c>
      <c r="BJ33" s="33">
        <f>IF(BJ$8&gt;='1_PANEL_CONTROL'!$D$41, IF('1_PANEL_CONTROL'!$C$32=14, IF(OR(MOD(BJ$8,12)=6, MOD(BJ$8,12)=0), IF(BJ$8&lt;=12, 18000, IF(BJ$8&lt;=24, 30000, 40000))/14, 0), 0), 0)</f>
        <v>0</v>
      </c>
      <c r="BK33" s="33">
        <f>IF(BK$8&gt;='1_PANEL_CONTROL'!$D$41, IF('1_PANEL_CONTROL'!$C$32=14, IF(OR(MOD(BK$8,12)=6, MOD(BK$8,12)=0), IF(BK$8&lt;=12, 18000, IF(BK$8&lt;=24, 30000, 40000))/14, 0), 0), 0)</f>
        <v>0</v>
      </c>
      <c r="BL33" s="33">
        <f>IF(BL$8&gt;='1_PANEL_CONTROL'!$D$41, IF('1_PANEL_CONTROL'!$C$32=14, IF(OR(MOD(BL$8,12)=6, MOD(BL$8,12)=0), IF(BL$8&lt;=12, 18000, IF(BL$8&lt;=24, 30000, 40000))/14, 0), 0), 0)</f>
        <v>0</v>
      </c>
      <c r="BM33" s="33">
        <f>IF(BM$8&gt;='1_PANEL_CONTROL'!$D$41, IF('1_PANEL_CONTROL'!$C$32=14, IF(OR(MOD(BM$8,12)=6, MOD(BM$8,12)=0), IF(BM$8&lt;=12, 18000, IF(BM$8&lt;=24, 30000, 40000))/14, 0), 0), 0)</f>
        <v>0</v>
      </c>
      <c r="BN33" s="33">
        <f>IF(BN$8&gt;='1_PANEL_CONTROL'!$D$41, IF('1_PANEL_CONTROL'!$C$32=14, IF(OR(MOD(BN$8,12)=6, MOD(BN$8,12)=0), IF(BN$8&lt;=12, 18000, IF(BN$8&lt;=24, 30000, 40000))/14, 0), 0), 0)</f>
        <v>0</v>
      </c>
      <c r="BO33" s="33">
        <f>IF(BO$8&gt;='1_PANEL_CONTROL'!$D$41, IF('1_PANEL_CONTROL'!$C$32=14, IF(OR(MOD(BO$8,12)=6, MOD(BO$8,12)=0), IF(BO$8&lt;=12, 18000, IF(BO$8&lt;=24, 30000, 40000))/14, 0), 0), 0)</f>
        <v>0</v>
      </c>
      <c r="BP33" s="33">
        <f>IF(BP$8&gt;='1_PANEL_CONTROL'!$D$41, IF('1_PANEL_CONTROL'!$C$32=14, IF(OR(MOD(BP$8,12)=6, MOD(BP$8,12)=0), IF(BP$8&lt;=12, 18000, IF(BP$8&lt;=24, 30000, 40000))/14, 0), 0), 0)</f>
        <v>0</v>
      </c>
      <c r="BQ33" s="33">
        <f>IF(BQ$8&gt;='1_PANEL_CONTROL'!$D$41, IF('1_PANEL_CONTROL'!$C$32=14, IF(OR(MOD(BQ$8,12)=6, MOD(BQ$8,12)=0), IF(BQ$8&lt;=12, 18000, IF(BQ$8&lt;=24, 30000, 40000))/14, 0), 0), 0)</f>
        <v>0</v>
      </c>
      <c r="BR33" s="33">
        <f>IF(BR$8&gt;='1_PANEL_CONTROL'!$D$41, IF('1_PANEL_CONTROL'!$C$32=14, IF(OR(MOD(BR$8,12)=6, MOD(BR$8,12)=0), IF(BR$8&lt;=12, 18000, IF(BR$8&lt;=24, 30000, 40000))/14, 0), 0), 0)</f>
        <v>0</v>
      </c>
      <c r="BS33" s="33">
        <f>IF(BS$8&gt;='1_PANEL_CONTROL'!$D$41, IF('1_PANEL_CONTROL'!$C$32=14, IF(OR(MOD(BS$8,12)=6, MOD(BS$8,12)=0), IF(BS$8&lt;=12, 18000, IF(BS$8&lt;=24, 30000, 40000))/14, 0), 0), 0)</f>
        <v>0</v>
      </c>
      <c r="BT33" s="33">
        <f>IF(BT$8&gt;='1_PANEL_CONTROL'!$D$41, IF('1_PANEL_CONTROL'!$C$32=14, IF(OR(MOD(BT$8,12)=6, MOD(BT$8,12)=0), IF(BT$8&lt;=12, 18000, IF(BT$8&lt;=24, 30000, 40000))/14, 0), 0), 0)</f>
        <v>0</v>
      </c>
      <c r="BU33" s="33">
        <f>IF(BU$8&gt;='1_PANEL_CONTROL'!$D$41, IF('1_PANEL_CONTROL'!$C$32=14, IF(OR(MOD(BU$8,12)=6, MOD(BU$8,12)=0), IF(BU$8&lt;=12, 18000, IF(BU$8&lt;=24, 30000, 40000))/14, 0), 0), 0)</f>
        <v>0</v>
      </c>
      <c r="BV33" s="33">
        <f>IF(BV$8&gt;='1_PANEL_CONTROL'!$D$41, IF('1_PANEL_CONTROL'!$C$32=14, IF(OR(MOD(BV$8,12)=6, MOD(BV$8,12)=0), IF(BV$8&lt;=12, 18000, IF(BV$8&lt;=24, 30000, 40000))/14, 0), 0), 0)</f>
        <v>0</v>
      </c>
      <c r="BW33" s="33">
        <f>IF(BW$8&gt;='1_PANEL_CONTROL'!$D$41, IF('1_PANEL_CONTROL'!$C$32=14, IF(OR(MOD(BW$8,12)=6, MOD(BW$8,12)=0), IF(BW$8&lt;=12, 18000, IF(BW$8&lt;=24, 30000, 40000))/14, 0), 0), 0)</f>
        <v>0</v>
      </c>
      <c r="BX33" s="33">
        <f>IF(BX$8&gt;='1_PANEL_CONTROL'!$D$41, IF('1_PANEL_CONTROL'!$C$32=14, IF(OR(MOD(BX$8,12)=6, MOD(BX$8,12)=0), IF(BX$8&lt;=12, 18000, IF(BX$8&lt;=24, 30000, 40000))/14, 0), 0), 0)</f>
        <v>0</v>
      </c>
      <c r="BY33" s="33">
        <f>IF(BY$8&gt;='1_PANEL_CONTROL'!$D$41, IF('1_PANEL_CONTROL'!$C$32=14, IF(OR(MOD(BY$8,12)=6, MOD(BY$8,12)=0), IF(BY$8&lt;=12, 18000, IF(BY$8&lt;=24, 30000, 40000))/14, 0), 0), 0)</f>
        <v>0</v>
      </c>
      <c r="BZ33" s="33">
        <f>IF(BZ$8&gt;='1_PANEL_CONTROL'!$D$41, IF('1_PANEL_CONTROL'!$C$32=14, IF(OR(MOD(BZ$8,12)=6, MOD(BZ$8,12)=0), IF(BZ$8&lt;=12, 18000, IF(BZ$8&lt;=24, 30000, 40000))/14, 0), 0), 0)</f>
        <v>0</v>
      </c>
      <c r="CA33" s="33">
        <f>IF(CA$8&gt;='1_PANEL_CONTROL'!$D$41, IF('1_PANEL_CONTROL'!$C$32=14, IF(OR(MOD(CA$8,12)=6, MOD(CA$8,12)=0), IF(CA$8&lt;=12, 18000, IF(CA$8&lt;=24, 30000, 40000))/14, 0), 0), 0)</f>
        <v>0</v>
      </c>
      <c r="CB33" s="33">
        <f>IF(CB$8&gt;='1_PANEL_CONTROL'!$D$41, IF('1_PANEL_CONTROL'!$C$32=14, IF(OR(MOD(CB$8,12)=6, MOD(CB$8,12)=0), IF(CB$8&lt;=12, 18000, IF(CB$8&lt;=24, 30000, 40000))/14, 0), 0), 0)</f>
        <v>0</v>
      </c>
      <c r="CC33" s="33">
        <f>IF(CC$8&gt;='1_PANEL_CONTROL'!$D$41, IF('1_PANEL_CONTROL'!$C$32=14, IF(OR(MOD(CC$8,12)=6, MOD(CC$8,12)=0), IF(CC$8&lt;=12, 18000, IF(CC$8&lt;=24, 30000, 40000))/14, 0), 0), 0)</f>
        <v>0</v>
      </c>
      <c r="CD33" s="33">
        <f>IF(CD$8&gt;='1_PANEL_CONTROL'!$D$41, IF('1_PANEL_CONTROL'!$C$32=14, IF(OR(MOD(CD$8,12)=6, MOD(CD$8,12)=0), IF(CD$8&lt;=12, 18000, IF(CD$8&lt;=24, 30000, 40000))/14, 0), 0), 0)</f>
        <v>0</v>
      </c>
      <c r="CE33" s="33">
        <f>IF(CE$8&gt;='1_PANEL_CONTROL'!$D$41, IF('1_PANEL_CONTROL'!$C$32=14, IF(OR(MOD(CE$8,12)=6, MOD(CE$8,12)=0), IF(CE$8&lt;=12, 18000, IF(CE$8&lt;=24, 30000, 40000))/14, 0), 0), 0)</f>
        <v>0</v>
      </c>
      <c r="CF33" s="33">
        <f>IF(CF$8&gt;='1_PANEL_CONTROL'!$D$41, IF('1_PANEL_CONTROL'!$C$32=14, IF(OR(MOD(CF$8,12)=6, MOD(CF$8,12)=0), IF(CF$8&lt;=12, 18000, IF(CF$8&lt;=24, 30000, 40000))/14, 0), 0), 0)</f>
        <v>0</v>
      </c>
      <c r="CG33" s="33">
        <f>IF(CG$8&gt;='1_PANEL_CONTROL'!$D$41, IF('1_PANEL_CONTROL'!$C$32=14, IF(OR(MOD(CG$8,12)=6, MOD(CG$8,12)=0), IF(CG$8&lt;=12, 18000, IF(CG$8&lt;=24, 30000, 40000))/14, 0), 0), 0)</f>
        <v>0</v>
      </c>
      <c r="CH33" s="33">
        <f>IF(CH$8&gt;='1_PANEL_CONTROL'!$D$41, IF('1_PANEL_CONTROL'!$C$32=14, IF(OR(MOD(CH$8,12)=6, MOD(CH$8,12)=0), IF(CH$8&lt;=12, 18000, IF(CH$8&lt;=24, 30000, 40000))/14, 0), 0), 0)</f>
        <v>0</v>
      </c>
      <c r="CI33" s="33">
        <f>IF(CI$8&gt;='1_PANEL_CONTROL'!$D$41, IF('1_PANEL_CONTROL'!$C$32=14, IF(OR(MOD(CI$8,12)=6, MOD(CI$8,12)=0), IF(CI$8&lt;=12, 18000, IF(CI$8&lt;=24, 30000, 40000))/14, 0), 0), 0)</f>
        <v>0</v>
      </c>
    </row>
    <row r="34" spans="1:87" ht="16">
      <c r="A34" s="6" t="s">
        <v>584</v>
      </c>
      <c r="B34" s="30" t="s">
        <v>465</v>
      </c>
      <c r="C34" s="15"/>
      <c r="D34" s="33">
        <f t="shared" ref="D34:AI34" si="18">D32+D33</f>
        <v>1500</v>
      </c>
      <c r="E34" s="33">
        <f t="shared" si="18"/>
        <v>1500</v>
      </c>
      <c r="F34" s="33">
        <f t="shared" si="18"/>
        <v>1500</v>
      </c>
      <c r="G34" s="33">
        <f t="shared" si="18"/>
        <v>1500</v>
      </c>
      <c r="H34" s="33">
        <f t="shared" si="18"/>
        <v>1500</v>
      </c>
      <c r="I34" s="33">
        <f t="shared" si="18"/>
        <v>1500</v>
      </c>
      <c r="J34" s="33">
        <f t="shared" si="18"/>
        <v>1500</v>
      </c>
      <c r="K34" s="33">
        <f t="shared" si="18"/>
        <v>1500</v>
      </c>
      <c r="L34" s="33">
        <f t="shared" si="18"/>
        <v>1500</v>
      </c>
      <c r="M34" s="33">
        <f t="shared" si="18"/>
        <v>1500</v>
      </c>
      <c r="N34" s="33">
        <f t="shared" si="18"/>
        <v>1500</v>
      </c>
      <c r="O34" s="33">
        <f t="shared" si="18"/>
        <v>1500</v>
      </c>
      <c r="P34" s="33">
        <f t="shared" si="18"/>
        <v>2500</v>
      </c>
      <c r="Q34" s="33">
        <f t="shared" si="18"/>
        <v>2500</v>
      </c>
      <c r="R34" s="33">
        <f t="shared" si="18"/>
        <v>2500</v>
      </c>
      <c r="S34" s="33">
        <f t="shared" si="18"/>
        <v>2500</v>
      </c>
      <c r="T34" s="33">
        <f t="shared" si="18"/>
        <v>2500</v>
      </c>
      <c r="U34" s="33">
        <f t="shared" si="18"/>
        <v>2500</v>
      </c>
      <c r="V34" s="33">
        <f t="shared" si="18"/>
        <v>2500</v>
      </c>
      <c r="W34" s="33">
        <f t="shared" si="18"/>
        <v>2500</v>
      </c>
      <c r="X34" s="33">
        <f t="shared" si="18"/>
        <v>2500</v>
      </c>
      <c r="Y34" s="33">
        <f t="shared" si="18"/>
        <v>2500</v>
      </c>
      <c r="Z34" s="33">
        <f t="shared" si="18"/>
        <v>2500</v>
      </c>
      <c r="AA34" s="33">
        <f t="shared" si="18"/>
        <v>2500</v>
      </c>
      <c r="AB34" s="33">
        <f t="shared" si="18"/>
        <v>3333.3333333333335</v>
      </c>
      <c r="AC34" s="33">
        <f t="shared" si="18"/>
        <v>3333.3333333333335</v>
      </c>
      <c r="AD34" s="33">
        <f t="shared" si="18"/>
        <v>3333.3333333333335</v>
      </c>
      <c r="AE34" s="33">
        <f t="shared" si="18"/>
        <v>3333.3333333333335</v>
      </c>
      <c r="AF34" s="33">
        <f t="shared" si="18"/>
        <v>3333.3333333333335</v>
      </c>
      <c r="AG34" s="33">
        <f t="shared" si="18"/>
        <v>3333.3333333333335</v>
      </c>
      <c r="AH34" s="33">
        <f t="shared" si="18"/>
        <v>3333.3333333333335</v>
      </c>
      <c r="AI34" s="33">
        <f t="shared" si="18"/>
        <v>3333.3333333333335</v>
      </c>
      <c r="AJ34" s="33">
        <f t="shared" ref="AJ34:BO34" si="19">AJ32+AJ33</f>
        <v>3333.3333333333335</v>
      </c>
      <c r="AK34" s="33">
        <f t="shared" si="19"/>
        <v>3333.3333333333335</v>
      </c>
      <c r="AL34" s="33">
        <f t="shared" si="19"/>
        <v>3333.3333333333335</v>
      </c>
      <c r="AM34" s="33">
        <f t="shared" si="19"/>
        <v>3333.3333333333335</v>
      </c>
      <c r="AN34" s="33">
        <f t="shared" si="19"/>
        <v>3333.3333333333335</v>
      </c>
      <c r="AO34" s="33">
        <f t="shared" si="19"/>
        <v>3333.3333333333335</v>
      </c>
      <c r="AP34" s="33">
        <f t="shared" si="19"/>
        <v>3333.3333333333335</v>
      </c>
      <c r="AQ34" s="33">
        <f t="shared" si="19"/>
        <v>3333.3333333333335</v>
      </c>
      <c r="AR34" s="33">
        <f t="shared" si="19"/>
        <v>3333.3333333333335</v>
      </c>
      <c r="AS34" s="33">
        <f t="shared" si="19"/>
        <v>3333.3333333333335</v>
      </c>
      <c r="AT34" s="33">
        <f t="shared" si="19"/>
        <v>3333.3333333333335</v>
      </c>
      <c r="AU34" s="33">
        <f t="shared" si="19"/>
        <v>3333.3333333333335</v>
      </c>
      <c r="AV34" s="33">
        <f t="shared" si="19"/>
        <v>3333.3333333333335</v>
      </c>
      <c r="AW34" s="33">
        <f t="shared" si="19"/>
        <v>3333.3333333333335</v>
      </c>
      <c r="AX34" s="33">
        <f t="shared" si="19"/>
        <v>3333.3333333333335</v>
      </c>
      <c r="AY34" s="33">
        <f t="shared" si="19"/>
        <v>3333.3333333333335</v>
      </c>
      <c r="AZ34" s="33">
        <f t="shared" si="19"/>
        <v>3333.3333333333335</v>
      </c>
      <c r="BA34" s="33">
        <f t="shared" si="19"/>
        <v>3333.3333333333335</v>
      </c>
      <c r="BB34" s="33">
        <f t="shared" si="19"/>
        <v>3333.3333333333335</v>
      </c>
      <c r="BC34" s="33">
        <f t="shared" si="19"/>
        <v>3333.3333333333335</v>
      </c>
      <c r="BD34" s="33">
        <f t="shared" si="19"/>
        <v>3333.3333333333335</v>
      </c>
      <c r="BE34" s="33">
        <f t="shared" si="19"/>
        <v>3333.3333333333335</v>
      </c>
      <c r="BF34" s="33">
        <f t="shared" si="19"/>
        <v>3333.3333333333335</v>
      </c>
      <c r="BG34" s="33">
        <f t="shared" si="19"/>
        <v>3333.3333333333335</v>
      </c>
      <c r="BH34" s="33">
        <f t="shared" si="19"/>
        <v>3333.3333333333335</v>
      </c>
      <c r="BI34" s="33">
        <f t="shared" si="19"/>
        <v>3333.3333333333335</v>
      </c>
      <c r="BJ34" s="33">
        <f t="shared" si="19"/>
        <v>3333.3333333333335</v>
      </c>
      <c r="BK34" s="33">
        <f t="shared" si="19"/>
        <v>3333.3333333333335</v>
      </c>
      <c r="BL34" s="33">
        <f t="shared" si="19"/>
        <v>3333.3333333333335</v>
      </c>
      <c r="BM34" s="33">
        <f t="shared" si="19"/>
        <v>3333.3333333333335</v>
      </c>
      <c r="BN34" s="33">
        <f t="shared" si="19"/>
        <v>3333.3333333333335</v>
      </c>
      <c r="BO34" s="33">
        <f t="shared" si="19"/>
        <v>3333.3333333333335</v>
      </c>
      <c r="BP34" s="33">
        <f t="shared" ref="BP34:CU34" si="20">BP32+BP33</f>
        <v>3333.3333333333335</v>
      </c>
      <c r="BQ34" s="33">
        <f t="shared" si="20"/>
        <v>3333.3333333333335</v>
      </c>
      <c r="BR34" s="33">
        <f t="shared" si="20"/>
        <v>3333.3333333333335</v>
      </c>
      <c r="BS34" s="33">
        <f t="shared" si="20"/>
        <v>3333.3333333333335</v>
      </c>
      <c r="BT34" s="33">
        <f t="shared" si="20"/>
        <v>3333.3333333333335</v>
      </c>
      <c r="BU34" s="33">
        <f t="shared" si="20"/>
        <v>3333.3333333333335</v>
      </c>
      <c r="BV34" s="33">
        <f t="shared" si="20"/>
        <v>3333.3333333333335</v>
      </c>
      <c r="BW34" s="33">
        <f t="shared" si="20"/>
        <v>3333.3333333333335</v>
      </c>
      <c r="BX34" s="33">
        <f t="shared" si="20"/>
        <v>3333.3333333333335</v>
      </c>
      <c r="BY34" s="33">
        <f t="shared" si="20"/>
        <v>3333.3333333333335</v>
      </c>
      <c r="BZ34" s="33">
        <f t="shared" si="20"/>
        <v>3333.3333333333335</v>
      </c>
      <c r="CA34" s="33">
        <f t="shared" si="20"/>
        <v>3333.3333333333335</v>
      </c>
      <c r="CB34" s="33">
        <f t="shared" si="20"/>
        <v>3333.3333333333335</v>
      </c>
      <c r="CC34" s="33">
        <f t="shared" si="20"/>
        <v>3333.3333333333335</v>
      </c>
      <c r="CD34" s="33">
        <f t="shared" si="20"/>
        <v>3333.3333333333335</v>
      </c>
      <c r="CE34" s="33">
        <f t="shared" si="20"/>
        <v>3333.3333333333335</v>
      </c>
      <c r="CF34" s="33">
        <f t="shared" si="20"/>
        <v>3333.3333333333335</v>
      </c>
      <c r="CG34" s="33">
        <f t="shared" si="20"/>
        <v>3333.3333333333335</v>
      </c>
      <c r="CH34" s="33">
        <f t="shared" si="20"/>
        <v>3333.3333333333335</v>
      </c>
      <c r="CI34" s="33">
        <f t="shared" si="20"/>
        <v>3333.3333333333335</v>
      </c>
    </row>
    <row r="35" spans="1:87" ht="16">
      <c r="A35" s="6" t="s">
        <v>585</v>
      </c>
      <c r="B35" s="30" t="s">
        <v>465</v>
      </c>
      <c r="C35" s="15"/>
      <c r="D35" s="33">
        <f>IF(D$8&gt;='1_PANEL_CONTROL'!$D$41, IF(D$8&lt;=12, 18000, IF(D$8&lt;=24, 30000, 40000))/12, 0)</f>
        <v>1500</v>
      </c>
      <c r="E35" s="33">
        <f>IF(E$8&gt;='1_PANEL_CONTROL'!$D$41, IF(E$8&lt;=12, 18000, IF(E$8&lt;=24, 30000, 40000))/12, 0)</f>
        <v>1500</v>
      </c>
      <c r="F35" s="33">
        <f>IF(F$8&gt;='1_PANEL_CONTROL'!$D$41, IF(F$8&lt;=12, 18000, IF(F$8&lt;=24, 30000, 40000))/12, 0)</f>
        <v>1500</v>
      </c>
      <c r="G35" s="33">
        <f>IF(G$8&gt;='1_PANEL_CONTROL'!$D$41, IF(G$8&lt;=12, 18000, IF(G$8&lt;=24, 30000, 40000))/12, 0)</f>
        <v>1500</v>
      </c>
      <c r="H35" s="33">
        <f>IF(H$8&gt;='1_PANEL_CONTROL'!$D$41, IF(H$8&lt;=12, 18000, IF(H$8&lt;=24, 30000, 40000))/12, 0)</f>
        <v>1500</v>
      </c>
      <c r="I35" s="33">
        <f>IF(I$8&gt;='1_PANEL_CONTROL'!$D$41, IF(I$8&lt;=12, 18000, IF(I$8&lt;=24, 30000, 40000))/12, 0)</f>
        <v>1500</v>
      </c>
      <c r="J35" s="33">
        <f>IF(J$8&gt;='1_PANEL_CONTROL'!$D$41, IF(J$8&lt;=12, 18000, IF(J$8&lt;=24, 30000, 40000))/12, 0)</f>
        <v>1500</v>
      </c>
      <c r="K35" s="33">
        <f>IF(K$8&gt;='1_PANEL_CONTROL'!$D$41, IF(K$8&lt;=12, 18000, IF(K$8&lt;=24, 30000, 40000))/12, 0)</f>
        <v>1500</v>
      </c>
      <c r="L35" s="33">
        <f>IF(L$8&gt;='1_PANEL_CONTROL'!$D$41, IF(L$8&lt;=12, 18000, IF(L$8&lt;=24, 30000, 40000))/12, 0)</f>
        <v>1500</v>
      </c>
      <c r="M35" s="33">
        <f>IF(M$8&gt;='1_PANEL_CONTROL'!$D$41, IF(M$8&lt;=12, 18000, IF(M$8&lt;=24, 30000, 40000))/12, 0)</f>
        <v>1500</v>
      </c>
      <c r="N35" s="33">
        <f>IF(N$8&gt;='1_PANEL_CONTROL'!$D$41, IF(N$8&lt;=12, 18000, IF(N$8&lt;=24, 30000, 40000))/12, 0)</f>
        <v>1500</v>
      </c>
      <c r="O35" s="33">
        <f>IF(O$8&gt;='1_PANEL_CONTROL'!$D$41, IF(O$8&lt;=12, 18000, IF(O$8&lt;=24, 30000, 40000))/12, 0)</f>
        <v>1500</v>
      </c>
      <c r="P35" s="33">
        <f>IF(P$8&gt;='1_PANEL_CONTROL'!$D$41, IF(P$8&lt;=12, 18000, IF(P$8&lt;=24, 30000, 40000))/12, 0)</f>
        <v>2500</v>
      </c>
      <c r="Q35" s="33">
        <f>IF(Q$8&gt;='1_PANEL_CONTROL'!$D$41, IF(Q$8&lt;=12, 18000, IF(Q$8&lt;=24, 30000, 40000))/12, 0)</f>
        <v>2500</v>
      </c>
      <c r="R35" s="33">
        <f>IF(R$8&gt;='1_PANEL_CONTROL'!$D$41, IF(R$8&lt;=12, 18000, IF(R$8&lt;=24, 30000, 40000))/12, 0)</f>
        <v>2500</v>
      </c>
      <c r="S35" s="33">
        <f>IF(S$8&gt;='1_PANEL_CONTROL'!$D$41, IF(S$8&lt;=12, 18000, IF(S$8&lt;=24, 30000, 40000))/12, 0)</f>
        <v>2500</v>
      </c>
      <c r="T35" s="33">
        <f>IF(T$8&gt;='1_PANEL_CONTROL'!$D$41, IF(T$8&lt;=12, 18000, IF(T$8&lt;=24, 30000, 40000))/12, 0)</f>
        <v>2500</v>
      </c>
      <c r="U35" s="33">
        <f>IF(U$8&gt;='1_PANEL_CONTROL'!$D$41, IF(U$8&lt;=12, 18000, IF(U$8&lt;=24, 30000, 40000))/12, 0)</f>
        <v>2500</v>
      </c>
      <c r="V35" s="33">
        <f>IF(V$8&gt;='1_PANEL_CONTROL'!$D$41, IF(V$8&lt;=12, 18000, IF(V$8&lt;=24, 30000, 40000))/12, 0)</f>
        <v>2500</v>
      </c>
      <c r="W35" s="33">
        <f>IF(W$8&gt;='1_PANEL_CONTROL'!$D$41, IF(W$8&lt;=12, 18000, IF(W$8&lt;=24, 30000, 40000))/12, 0)</f>
        <v>2500</v>
      </c>
      <c r="X35" s="33">
        <f>IF(X$8&gt;='1_PANEL_CONTROL'!$D$41, IF(X$8&lt;=12, 18000, IF(X$8&lt;=24, 30000, 40000))/12, 0)</f>
        <v>2500</v>
      </c>
      <c r="Y35" s="33">
        <f>IF(Y$8&gt;='1_PANEL_CONTROL'!$D$41, IF(Y$8&lt;=12, 18000, IF(Y$8&lt;=24, 30000, 40000))/12, 0)</f>
        <v>2500</v>
      </c>
      <c r="Z35" s="33">
        <f>IF(Z$8&gt;='1_PANEL_CONTROL'!$D$41, IF(Z$8&lt;=12, 18000, IF(Z$8&lt;=24, 30000, 40000))/12, 0)</f>
        <v>2500</v>
      </c>
      <c r="AA35" s="33">
        <f>IF(AA$8&gt;='1_PANEL_CONTROL'!$D$41, IF(AA$8&lt;=12, 18000, IF(AA$8&lt;=24, 30000, 40000))/12, 0)</f>
        <v>2500</v>
      </c>
      <c r="AB35" s="33">
        <f>IF(AB$8&gt;='1_PANEL_CONTROL'!$D$41, IF(AB$8&lt;=12, 18000, IF(AB$8&lt;=24, 30000, 40000))/12, 0)</f>
        <v>3333.3333333333335</v>
      </c>
      <c r="AC35" s="33">
        <f>IF(AC$8&gt;='1_PANEL_CONTROL'!$D$41, IF(AC$8&lt;=12, 18000, IF(AC$8&lt;=24, 30000, 40000))/12, 0)</f>
        <v>3333.3333333333335</v>
      </c>
      <c r="AD35" s="33">
        <f>IF(AD$8&gt;='1_PANEL_CONTROL'!$D$41, IF(AD$8&lt;=12, 18000, IF(AD$8&lt;=24, 30000, 40000))/12, 0)</f>
        <v>3333.3333333333335</v>
      </c>
      <c r="AE35" s="33">
        <f>IF(AE$8&gt;='1_PANEL_CONTROL'!$D$41, IF(AE$8&lt;=12, 18000, IF(AE$8&lt;=24, 30000, 40000))/12, 0)</f>
        <v>3333.3333333333335</v>
      </c>
      <c r="AF35" s="33">
        <f>IF(AF$8&gt;='1_PANEL_CONTROL'!$D$41, IF(AF$8&lt;=12, 18000, IF(AF$8&lt;=24, 30000, 40000))/12, 0)</f>
        <v>3333.3333333333335</v>
      </c>
      <c r="AG35" s="33">
        <f>IF(AG$8&gt;='1_PANEL_CONTROL'!$D$41, IF(AG$8&lt;=12, 18000, IF(AG$8&lt;=24, 30000, 40000))/12, 0)</f>
        <v>3333.3333333333335</v>
      </c>
      <c r="AH35" s="33">
        <f>IF(AH$8&gt;='1_PANEL_CONTROL'!$D$41, IF(AH$8&lt;=12, 18000, IF(AH$8&lt;=24, 30000, 40000))/12, 0)</f>
        <v>3333.3333333333335</v>
      </c>
      <c r="AI35" s="33">
        <f>IF(AI$8&gt;='1_PANEL_CONTROL'!$D$41, IF(AI$8&lt;=12, 18000, IF(AI$8&lt;=24, 30000, 40000))/12, 0)</f>
        <v>3333.3333333333335</v>
      </c>
      <c r="AJ35" s="33">
        <f>IF(AJ$8&gt;='1_PANEL_CONTROL'!$D$41, IF(AJ$8&lt;=12, 18000, IF(AJ$8&lt;=24, 30000, 40000))/12, 0)</f>
        <v>3333.3333333333335</v>
      </c>
      <c r="AK35" s="33">
        <f>IF(AK$8&gt;='1_PANEL_CONTROL'!$D$41, IF(AK$8&lt;=12, 18000, IF(AK$8&lt;=24, 30000, 40000))/12, 0)</f>
        <v>3333.3333333333335</v>
      </c>
      <c r="AL35" s="33">
        <f>IF(AL$8&gt;='1_PANEL_CONTROL'!$D$41, IF(AL$8&lt;=12, 18000, IF(AL$8&lt;=24, 30000, 40000))/12, 0)</f>
        <v>3333.3333333333335</v>
      </c>
      <c r="AM35" s="33">
        <f>IF(AM$8&gt;='1_PANEL_CONTROL'!$D$41, IF(AM$8&lt;=12, 18000, IF(AM$8&lt;=24, 30000, 40000))/12, 0)</f>
        <v>3333.3333333333335</v>
      </c>
      <c r="AN35" s="33">
        <f>IF(AN$8&gt;='1_PANEL_CONTROL'!$D$41, IF(AN$8&lt;=12, 18000, IF(AN$8&lt;=24, 30000, 40000))/12, 0)</f>
        <v>3333.3333333333335</v>
      </c>
      <c r="AO35" s="33">
        <f>IF(AO$8&gt;='1_PANEL_CONTROL'!$D$41, IF(AO$8&lt;=12, 18000, IF(AO$8&lt;=24, 30000, 40000))/12, 0)</f>
        <v>3333.3333333333335</v>
      </c>
      <c r="AP35" s="33">
        <f>IF(AP$8&gt;='1_PANEL_CONTROL'!$D$41, IF(AP$8&lt;=12, 18000, IF(AP$8&lt;=24, 30000, 40000))/12, 0)</f>
        <v>3333.3333333333335</v>
      </c>
      <c r="AQ35" s="33">
        <f>IF(AQ$8&gt;='1_PANEL_CONTROL'!$D$41, IF(AQ$8&lt;=12, 18000, IF(AQ$8&lt;=24, 30000, 40000))/12, 0)</f>
        <v>3333.3333333333335</v>
      </c>
      <c r="AR35" s="33">
        <f>IF(AR$8&gt;='1_PANEL_CONTROL'!$D$41, IF(AR$8&lt;=12, 18000, IF(AR$8&lt;=24, 30000, 40000))/12, 0)</f>
        <v>3333.3333333333335</v>
      </c>
      <c r="AS35" s="33">
        <f>IF(AS$8&gt;='1_PANEL_CONTROL'!$D$41, IF(AS$8&lt;=12, 18000, IF(AS$8&lt;=24, 30000, 40000))/12, 0)</f>
        <v>3333.3333333333335</v>
      </c>
      <c r="AT35" s="33">
        <f>IF(AT$8&gt;='1_PANEL_CONTROL'!$D$41, IF(AT$8&lt;=12, 18000, IF(AT$8&lt;=24, 30000, 40000))/12, 0)</f>
        <v>3333.3333333333335</v>
      </c>
      <c r="AU35" s="33">
        <f>IF(AU$8&gt;='1_PANEL_CONTROL'!$D$41, IF(AU$8&lt;=12, 18000, IF(AU$8&lt;=24, 30000, 40000))/12, 0)</f>
        <v>3333.3333333333335</v>
      </c>
      <c r="AV35" s="33">
        <f>IF(AV$8&gt;='1_PANEL_CONTROL'!$D$41, IF(AV$8&lt;=12, 18000, IF(AV$8&lt;=24, 30000, 40000))/12, 0)</f>
        <v>3333.3333333333335</v>
      </c>
      <c r="AW35" s="33">
        <f>IF(AW$8&gt;='1_PANEL_CONTROL'!$D$41, IF(AW$8&lt;=12, 18000, IF(AW$8&lt;=24, 30000, 40000))/12, 0)</f>
        <v>3333.3333333333335</v>
      </c>
      <c r="AX35" s="33">
        <f>IF(AX$8&gt;='1_PANEL_CONTROL'!$D$41, IF(AX$8&lt;=12, 18000, IF(AX$8&lt;=24, 30000, 40000))/12, 0)</f>
        <v>3333.3333333333335</v>
      </c>
      <c r="AY35" s="33">
        <f>IF(AY$8&gt;='1_PANEL_CONTROL'!$D$41, IF(AY$8&lt;=12, 18000, IF(AY$8&lt;=24, 30000, 40000))/12, 0)</f>
        <v>3333.3333333333335</v>
      </c>
      <c r="AZ35" s="33">
        <f>IF(AZ$8&gt;='1_PANEL_CONTROL'!$D$41, IF(AZ$8&lt;=12, 18000, IF(AZ$8&lt;=24, 30000, 40000))/12, 0)</f>
        <v>3333.3333333333335</v>
      </c>
      <c r="BA35" s="33">
        <f>IF(BA$8&gt;='1_PANEL_CONTROL'!$D$41, IF(BA$8&lt;=12, 18000, IF(BA$8&lt;=24, 30000, 40000))/12, 0)</f>
        <v>3333.3333333333335</v>
      </c>
      <c r="BB35" s="33">
        <f>IF(BB$8&gt;='1_PANEL_CONTROL'!$D$41, IF(BB$8&lt;=12, 18000, IF(BB$8&lt;=24, 30000, 40000))/12, 0)</f>
        <v>3333.3333333333335</v>
      </c>
      <c r="BC35" s="33">
        <f>IF(BC$8&gt;='1_PANEL_CONTROL'!$D$41, IF(BC$8&lt;=12, 18000, IF(BC$8&lt;=24, 30000, 40000))/12, 0)</f>
        <v>3333.3333333333335</v>
      </c>
      <c r="BD35" s="33">
        <f>IF(BD$8&gt;='1_PANEL_CONTROL'!$D$41, IF(BD$8&lt;=12, 18000, IF(BD$8&lt;=24, 30000, 40000))/12, 0)</f>
        <v>3333.3333333333335</v>
      </c>
      <c r="BE35" s="33">
        <f>IF(BE$8&gt;='1_PANEL_CONTROL'!$D$41, IF(BE$8&lt;=12, 18000, IF(BE$8&lt;=24, 30000, 40000))/12, 0)</f>
        <v>3333.3333333333335</v>
      </c>
      <c r="BF35" s="33">
        <f>IF(BF$8&gt;='1_PANEL_CONTROL'!$D$41, IF(BF$8&lt;=12, 18000, IF(BF$8&lt;=24, 30000, 40000))/12, 0)</f>
        <v>3333.3333333333335</v>
      </c>
      <c r="BG35" s="33">
        <f>IF(BG$8&gt;='1_PANEL_CONTROL'!$D$41, IF(BG$8&lt;=12, 18000, IF(BG$8&lt;=24, 30000, 40000))/12, 0)</f>
        <v>3333.3333333333335</v>
      </c>
      <c r="BH35" s="33">
        <f>IF(BH$8&gt;='1_PANEL_CONTROL'!$D$41, IF(BH$8&lt;=12, 18000, IF(BH$8&lt;=24, 30000, 40000))/12, 0)</f>
        <v>3333.3333333333335</v>
      </c>
      <c r="BI35" s="33">
        <f>IF(BI$8&gt;='1_PANEL_CONTROL'!$D$41, IF(BI$8&lt;=12, 18000, IF(BI$8&lt;=24, 30000, 40000))/12, 0)</f>
        <v>3333.3333333333335</v>
      </c>
      <c r="BJ35" s="33">
        <f>IF(BJ$8&gt;='1_PANEL_CONTROL'!$D$41, IF(BJ$8&lt;=12, 18000, IF(BJ$8&lt;=24, 30000, 40000))/12, 0)</f>
        <v>3333.3333333333335</v>
      </c>
      <c r="BK35" s="33">
        <f>IF(BK$8&gt;='1_PANEL_CONTROL'!$D$41, IF(BK$8&lt;=12, 18000, IF(BK$8&lt;=24, 30000, 40000))/12, 0)</f>
        <v>3333.3333333333335</v>
      </c>
      <c r="BL35" s="33">
        <f>IF(BL$8&gt;='1_PANEL_CONTROL'!$D$41, IF(BL$8&lt;=12, 18000, IF(BL$8&lt;=24, 30000, 40000))/12, 0)</f>
        <v>3333.3333333333335</v>
      </c>
      <c r="BM35" s="33">
        <f>IF(BM$8&gt;='1_PANEL_CONTROL'!$D$41, IF(BM$8&lt;=12, 18000, IF(BM$8&lt;=24, 30000, 40000))/12, 0)</f>
        <v>3333.3333333333335</v>
      </c>
      <c r="BN35" s="33">
        <f>IF(BN$8&gt;='1_PANEL_CONTROL'!$D$41, IF(BN$8&lt;=12, 18000, IF(BN$8&lt;=24, 30000, 40000))/12, 0)</f>
        <v>3333.3333333333335</v>
      </c>
      <c r="BO35" s="33">
        <f>IF(BO$8&gt;='1_PANEL_CONTROL'!$D$41, IF(BO$8&lt;=12, 18000, IF(BO$8&lt;=24, 30000, 40000))/12, 0)</f>
        <v>3333.3333333333335</v>
      </c>
      <c r="BP35" s="33">
        <f>IF(BP$8&gt;='1_PANEL_CONTROL'!$D$41, IF(BP$8&lt;=12, 18000, IF(BP$8&lt;=24, 30000, 40000))/12, 0)</f>
        <v>3333.3333333333335</v>
      </c>
      <c r="BQ35" s="33">
        <f>IF(BQ$8&gt;='1_PANEL_CONTROL'!$D$41, IF(BQ$8&lt;=12, 18000, IF(BQ$8&lt;=24, 30000, 40000))/12, 0)</f>
        <v>3333.3333333333335</v>
      </c>
      <c r="BR35" s="33">
        <f>IF(BR$8&gt;='1_PANEL_CONTROL'!$D$41, IF(BR$8&lt;=12, 18000, IF(BR$8&lt;=24, 30000, 40000))/12, 0)</f>
        <v>3333.3333333333335</v>
      </c>
      <c r="BS35" s="33">
        <f>IF(BS$8&gt;='1_PANEL_CONTROL'!$D$41, IF(BS$8&lt;=12, 18000, IF(BS$8&lt;=24, 30000, 40000))/12, 0)</f>
        <v>3333.3333333333335</v>
      </c>
      <c r="BT35" s="33">
        <f>IF(BT$8&gt;='1_PANEL_CONTROL'!$D$41, IF(BT$8&lt;=12, 18000, IF(BT$8&lt;=24, 30000, 40000))/12, 0)</f>
        <v>3333.3333333333335</v>
      </c>
      <c r="BU35" s="33">
        <f>IF(BU$8&gt;='1_PANEL_CONTROL'!$D$41, IF(BU$8&lt;=12, 18000, IF(BU$8&lt;=24, 30000, 40000))/12, 0)</f>
        <v>3333.3333333333335</v>
      </c>
      <c r="BV35" s="33">
        <f>IF(BV$8&gt;='1_PANEL_CONTROL'!$D$41, IF(BV$8&lt;=12, 18000, IF(BV$8&lt;=24, 30000, 40000))/12, 0)</f>
        <v>3333.3333333333335</v>
      </c>
      <c r="BW35" s="33">
        <f>IF(BW$8&gt;='1_PANEL_CONTROL'!$D$41, IF(BW$8&lt;=12, 18000, IF(BW$8&lt;=24, 30000, 40000))/12, 0)</f>
        <v>3333.3333333333335</v>
      </c>
      <c r="BX35" s="33">
        <f>IF(BX$8&gt;='1_PANEL_CONTROL'!$D$41, IF(BX$8&lt;=12, 18000, IF(BX$8&lt;=24, 30000, 40000))/12, 0)</f>
        <v>3333.3333333333335</v>
      </c>
      <c r="BY35" s="33">
        <f>IF(BY$8&gt;='1_PANEL_CONTROL'!$D$41, IF(BY$8&lt;=12, 18000, IF(BY$8&lt;=24, 30000, 40000))/12, 0)</f>
        <v>3333.3333333333335</v>
      </c>
      <c r="BZ35" s="33">
        <f>IF(BZ$8&gt;='1_PANEL_CONTROL'!$D$41, IF(BZ$8&lt;=12, 18000, IF(BZ$8&lt;=24, 30000, 40000))/12, 0)</f>
        <v>3333.3333333333335</v>
      </c>
      <c r="CA35" s="33">
        <f>IF(CA$8&gt;='1_PANEL_CONTROL'!$D$41, IF(CA$8&lt;=12, 18000, IF(CA$8&lt;=24, 30000, 40000))/12, 0)</f>
        <v>3333.3333333333335</v>
      </c>
      <c r="CB35" s="33">
        <f>IF(CB$8&gt;='1_PANEL_CONTROL'!$D$41, IF(CB$8&lt;=12, 18000, IF(CB$8&lt;=24, 30000, 40000))/12, 0)</f>
        <v>3333.3333333333335</v>
      </c>
      <c r="CC35" s="33">
        <f>IF(CC$8&gt;='1_PANEL_CONTROL'!$D$41, IF(CC$8&lt;=12, 18000, IF(CC$8&lt;=24, 30000, 40000))/12, 0)</f>
        <v>3333.3333333333335</v>
      </c>
      <c r="CD35" s="33">
        <f>IF(CD$8&gt;='1_PANEL_CONTROL'!$D$41, IF(CD$8&lt;=12, 18000, IF(CD$8&lt;=24, 30000, 40000))/12, 0)</f>
        <v>3333.3333333333335</v>
      </c>
      <c r="CE35" s="33">
        <f>IF(CE$8&gt;='1_PANEL_CONTROL'!$D$41, IF(CE$8&lt;=12, 18000, IF(CE$8&lt;=24, 30000, 40000))/12, 0)</f>
        <v>3333.3333333333335</v>
      </c>
      <c r="CF35" s="33">
        <f>IF(CF$8&gt;='1_PANEL_CONTROL'!$D$41, IF(CF$8&lt;=12, 18000, IF(CF$8&lt;=24, 30000, 40000))/12, 0)</f>
        <v>3333.3333333333335</v>
      </c>
      <c r="CG35" s="33">
        <f>IF(CG$8&gt;='1_PANEL_CONTROL'!$D$41, IF(CG$8&lt;=12, 18000, IF(CG$8&lt;=24, 30000, 40000))/12, 0)</f>
        <v>3333.3333333333335</v>
      </c>
      <c r="CH35" s="33">
        <f>IF(CH$8&gt;='1_PANEL_CONTROL'!$D$41, IF(CH$8&lt;=12, 18000, IF(CH$8&lt;=24, 30000, 40000))/12, 0)</f>
        <v>3333.3333333333335</v>
      </c>
      <c r="CI35" s="33">
        <f>IF(CI$8&gt;='1_PANEL_CONTROL'!$D$41, IF(CI$8&lt;=12, 18000, IF(CI$8&lt;=24, 30000, 40000))/12, 0)</f>
        <v>3333.3333333333335</v>
      </c>
    </row>
    <row r="36" spans="1:87" ht="16">
      <c r="A36" s="6" t="s">
        <v>586</v>
      </c>
      <c r="B36" s="30" t="s">
        <v>465</v>
      </c>
      <c r="C36" s="15"/>
      <c r="D36" s="33">
        <f>IF(D$8&gt;='1_PANEL_CONTROL'!$D$41, MIN(MAX(D35, $D$6), $D$5), 0)</f>
        <v>1500</v>
      </c>
      <c r="E36" s="33">
        <f>IF(E$8&gt;='1_PANEL_CONTROL'!$D$41, MIN(MAX(E35, $D$6), $D$5), 0)</f>
        <v>1500</v>
      </c>
      <c r="F36" s="33">
        <f>IF(F$8&gt;='1_PANEL_CONTROL'!$D$41, MIN(MAX(F35, $D$6), $D$5), 0)</f>
        <v>1500</v>
      </c>
      <c r="G36" s="33">
        <f>IF(G$8&gt;='1_PANEL_CONTROL'!$D$41, MIN(MAX(G35, $D$6), $D$5), 0)</f>
        <v>1500</v>
      </c>
      <c r="H36" s="33">
        <f>IF(H$8&gt;='1_PANEL_CONTROL'!$D$41, MIN(MAX(H35, $D$6), $D$5), 0)</f>
        <v>1500</v>
      </c>
      <c r="I36" s="33">
        <f>IF(I$8&gt;='1_PANEL_CONTROL'!$D$41, MIN(MAX(I35, $D$6), $D$5), 0)</f>
        <v>1500</v>
      </c>
      <c r="J36" s="33">
        <f>IF(J$8&gt;='1_PANEL_CONTROL'!$D$41, MIN(MAX(J35, $D$6), $D$5), 0)</f>
        <v>1500</v>
      </c>
      <c r="K36" s="33">
        <f>IF(K$8&gt;='1_PANEL_CONTROL'!$D$41, MIN(MAX(K35, $D$6), $D$5), 0)</f>
        <v>1500</v>
      </c>
      <c r="L36" s="33">
        <f>IF(L$8&gt;='1_PANEL_CONTROL'!$D$41, MIN(MAX(L35, $D$6), $D$5), 0)</f>
        <v>1500</v>
      </c>
      <c r="M36" s="33">
        <f>IF(M$8&gt;='1_PANEL_CONTROL'!$D$41, MIN(MAX(M35, $D$6), $D$5), 0)</f>
        <v>1500</v>
      </c>
      <c r="N36" s="33">
        <f>IF(N$8&gt;='1_PANEL_CONTROL'!$D$41, MIN(MAX(N35, $D$6), $D$5), 0)</f>
        <v>1500</v>
      </c>
      <c r="O36" s="33">
        <f>IF(O$8&gt;='1_PANEL_CONTROL'!$D$41, MIN(MAX(O35, $D$6), $D$5), 0)</f>
        <v>1500</v>
      </c>
      <c r="P36" s="33">
        <f>IF(P$8&gt;='1_PANEL_CONTROL'!$D$41, MIN(MAX(P35, $D$6), $D$5), 0)</f>
        <v>2500</v>
      </c>
      <c r="Q36" s="33">
        <f>IF(Q$8&gt;='1_PANEL_CONTROL'!$D$41, MIN(MAX(Q35, $D$6), $D$5), 0)</f>
        <v>2500</v>
      </c>
      <c r="R36" s="33">
        <f>IF(R$8&gt;='1_PANEL_CONTROL'!$D$41, MIN(MAX(R35, $D$6), $D$5), 0)</f>
        <v>2500</v>
      </c>
      <c r="S36" s="33">
        <f>IF(S$8&gt;='1_PANEL_CONTROL'!$D$41, MIN(MAX(S35, $D$6), $D$5), 0)</f>
        <v>2500</v>
      </c>
      <c r="T36" s="33">
        <f>IF(T$8&gt;='1_PANEL_CONTROL'!$D$41, MIN(MAX(T35, $D$6), $D$5), 0)</f>
        <v>2500</v>
      </c>
      <c r="U36" s="33">
        <f>IF(U$8&gt;='1_PANEL_CONTROL'!$D$41, MIN(MAX(U35, $D$6), $D$5), 0)</f>
        <v>2500</v>
      </c>
      <c r="V36" s="33">
        <f>IF(V$8&gt;='1_PANEL_CONTROL'!$D$41, MIN(MAX(V35, $D$6), $D$5), 0)</f>
        <v>2500</v>
      </c>
      <c r="W36" s="33">
        <f>IF(W$8&gt;='1_PANEL_CONTROL'!$D$41, MIN(MAX(W35, $D$6), $D$5), 0)</f>
        <v>2500</v>
      </c>
      <c r="X36" s="33">
        <f>IF(X$8&gt;='1_PANEL_CONTROL'!$D$41, MIN(MAX(X35, $D$6), $D$5), 0)</f>
        <v>2500</v>
      </c>
      <c r="Y36" s="33">
        <f>IF(Y$8&gt;='1_PANEL_CONTROL'!$D$41, MIN(MAX(Y35, $D$6), $D$5), 0)</f>
        <v>2500</v>
      </c>
      <c r="Z36" s="33">
        <f>IF(Z$8&gt;='1_PANEL_CONTROL'!$D$41, MIN(MAX(Z35, $D$6), $D$5), 0)</f>
        <v>2500</v>
      </c>
      <c r="AA36" s="33">
        <f>IF(AA$8&gt;='1_PANEL_CONTROL'!$D$41, MIN(MAX(AA35, $D$6), $D$5), 0)</f>
        <v>2500</v>
      </c>
      <c r="AB36" s="33">
        <f>IF(AB$8&gt;='1_PANEL_CONTROL'!$D$41, MIN(MAX(AB35, $D$6), $D$5), 0)</f>
        <v>3333.3333333333335</v>
      </c>
      <c r="AC36" s="33">
        <f>IF(AC$8&gt;='1_PANEL_CONTROL'!$D$41, MIN(MAX(AC35, $D$6), $D$5), 0)</f>
        <v>3333.3333333333335</v>
      </c>
      <c r="AD36" s="33">
        <f>IF(AD$8&gt;='1_PANEL_CONTROL'!$D$41, MIN(MAX(AD35, $D$6), $D$5), 0)</f>
        <v>3333.3333333333335</v>
      </c>
      <c r="AE36" s="33">
        <f>IF(AE$8&gt;='1_PANEL_CONTROL'!$D$41, MIN(MAX(AE35, $D$6), $D$5), 0)</f>
        <v>3333.3333333333335</v>
      </c>
      <c r="AF36" s="33">
        <f>IF(AF$8&gt;='1_PANEL_CONTROL'!$D$41, MIN(MAX(AF35, $D$6), $D$5), 0)</f>
        <v>3333.3333333333335</v>
      </c>
      <c r="AG36" s="33">
        <f>IF(AG$8&gt;='1_PANEL_CONTROL'!$D$41, MIN(MAX(AG35, $D$6), $D$5), 0)</f>
        <v>3333.3333333333335</v>
      </c>
      <c r="AH36" s="33">
        <f>IF(AH$8&gt;='1_PANEL_CONTROL'!$D$41, MIN(MAX(AH35, $D$6), $D$5), 0)</f>
        <v>3333.3333333333335</v>
      </c>
      <c r="AI36" s="33">
        <f>IF(AI$8&gt;='1_PANEL_CONTROL'!$D$41, MIN(MAX(AI35, $D$6), $D$5), 0)</f>
        <v>3333.3333333333335</v>
      </c>
      <c r="AJ36" s="33">
        <f>IF(AJ$8&gt;='1_PANEL_CONTROL'!$D$41, MIN(MAX(AJ35, $D$6), $D$5), 0)</f>
        <v>3333.3333333333335</v>
      </c>
      <c r="AK36" s="33">
        <f>IF(AK$8&gt;='1_PANEL_CONTROL'!$D$41, MIN(MAX(AK35, $D$6), $D$5), 0)</f>
        <v>3333.3333333333335</v>
      </c>
      <c r="AL36" s="33">
        <f>IF(AL$8&gt;='1_PANEL_CONTROL'!$D$41, MIN(MAX(AL35, $D$6), $D$5), 0)</f>
        <v>3333.3333333333335</v>
      </c>
      <c r="AM36" s="33">
        <f>IF(AM$8&gt;='1_PANEL_CONTROL'!$D$41, MIN(MAX(AM35, $D$6), $D$5), 0)</f>
        <v>3333.3333333333335</v>
      </c>
      <c r="AN36" s="33">
        <f>IF(AN$8&gt;='1_PANEL_CONTROL'!$D$41, MIN(MAX(AN35, $D$6), $D$5), 0)</f>
        <v>3333.3333333333335</v>
      </c>
      <c r="AO36" s="33">
        <f>IF(AO$8&gt;='1_PANEL_CONTROL'!$D$41, MIN(MAX(AO35, $D$6), $D$5), 0)</f>
        <v>3333.3333333333335</v>
      </c>
      <c r="AP36" s="33">
        <f>IF(AP$8&gt;='1_PANEL_CONTROL'!$D$41, MIN(MAX(AP35, $D$6), $D$5), 0)</f>
        <v>3333.3333333333335</v>
      </c>
      <c r="AQ36" s="33">
        <f>IF(AQ$8&gt;='1_PANEL_CONTROL'!$D$41, MIN(MAX(AQ35, $D$6), $D$5), 0)</f>
        <v>3333.3333333333335</v>
      </c>
      <c r="AR36" s="33">
        <f>IF(AR$8&gt;='1_PANEL_CONTROL'!$D$41, MIN(MAX(AR35, $D$6), $D$5), 0)</f>
        <v>3333.3333333333335</v>
      </c>
      <c r="AS36" s="33">
        <f>IF(AS$8&gt;='1_PANEL_CONTROL'!$D$41, MIN(MAX(AS35, $D$6), $D$5), 0)</f>
        <v>3333.3333333333335</v>
      </c>
      <c r="AT36" s="33">
        <f>IF(AT$8&gt;='1_PANEL_CONTROL'!$D$41, MIN(MAX(AT35, $D$6), $D$5), 0)</f>
        <v>3333.3333333333335</v>
      </c>
      <c r="AU36" s="33">
        <f>IF(AU$8&gt;='1_PANEL_CONTROL'!$D$41, MIN(MAX(AU35, $D$6), $D$5), 0)</f>
        <v>3333.3333333333335</v>
      </c>
      <c r="AV36" s="33">
        <f>IF(AV$8&gt;='1_PANEL_CONTROL'!$D$41, MIN(MAX(AV35, $D$6), $D$5), 0)</f>
        <v>3333.3333333333335</v>
      </c>
      <c r="AW36" s="33">
        <f>IF(AW$8&gt;='1_PANEL_CONTROL'!$D$41, MIN(MAX(AW35, $D$6), $D$5), 0)</f>
        <v>3333.3333333333335</v>
      </c>
      <c r="AX36" s="33">
        <f>IF(AX$8&gt;='1_PANEL_CONTROL'!$D$41, MIN(MAX(AX35, $D$6), $D$5), 0)</f>
        <v>3333.3333333333335</v>
      </c>
      <c r="AY36" s="33">
        <f>IF(AY$8&gt;='1_PANEL_CONTROL'!$D$41, MIN(MAX(AY35, $D$6), $D$5), 0)</f>
        <v>3333.3333333333335</v>
      </c>
      <c r="AZ36" s="33">
        <f>IF(AZ$8&gt;='1_PANEL_CONTROL'!$D$41, MIN(MAX(AZ35, $D$6), $D$5), 0)</f>
        <v>3333.3333333333335</v>
      </c>
      <c r="BA36" s="33">
        <f>IF(BA$8&gt;='1_PANEL_CONTROL'!$D$41, MIN(MAX(BA35, $D$6), $D$5), 0)</f>
        <v>3333.3333333333335</v>
      </c>
      <c r="BB36" s="33">
        <f>IF(BB$8&gt;='1_PANEL_CONTROL'!$D$41, MIN(MAX(BB35, $D$6), $D$5), 0)</f>
        <v>3333.3333333333335</v>
      </c>
      <c r="BC36" s="33">
        <f>IF(BC$8&gt;='1_PANEL_CONTROL'!$D$41, MIN(MAX(BC35, $D$6), $D$5), 0)</f>
        <v>3333.3333333333335</v>
      </c>
      <c r="BD36" s="33">
        <f>IF(BD$8&gt;='1_PANEL_CONTROL'!$D$41, MIN(MAX(BD35, $D$6), $D$5), 0)</f>
        <v>3333.3333333333335</v>
      </c>
      <c r="BE36" s="33">
        <f>IF(BE$8&gt;='1_PANEL_CONTROL'!$D$41, MIN(MAX(BE35, $D$6), $D$5), 0)</f>
        <v>3333.3333333333335</v>
      </c>
      <c r="BF36" s="33">
        <f>IF(BF$8&gt;='1_PANEL_CONTROL'!$D$41, MIN(MAX(BF35, $D$6), $D$5), 0)</f>
        <v>3333.3333333333335</v>
      </c>
      <c r="BG36" s="33">
        <f>IF(BG$8&gt;='1_PANEL_CONTROL'!$D$41, MIN(MAX(BG35, $D$6), $D$5), 0)</f>
        <v>3333.3333333333335</v>
      </c>
      <c r="BH36" s="33">
        <f>IF(BH$8&gt;='1_PANEL_CONTROL'!$D$41, MIN(MAX(BH35, $D$6), $D$5), 0)</f>
        <v>3333.3333333333335</v>
      </c>
      <c r="BI36" s="33">
        <f>IF(BI$8&gt;='1_PANEL_CONTROL'!$D$41, MIN(MAX(BI35, $D$6), $D$5), 0)</f>
        <v>3333.3333333333335</v>
      </c>
      <c r="BJ36" s="33">
        <f>IF(BJ$8&gt;='1_PANEL_CONTROL'!$D$41, MIN(MAX(BJ35, $D$6), $D$5), 0)</f>
        <v>3333.3333333333335</v>
      </c>
      <c r="BK36" s="33">
        <f>IF(BK$8&gt;='1_PANEL_CONTROL'!$D$41, MIN(MAX(BK35, $D$6), $D$5), 0)</f>
        <v>3333.3333333333335</v>
      </c>
      <c r="BL36" s="33">
        <f>IF(BL$8&gt;='1_PANEL_CONTROL'!$D$41, MIN(MAX(BL35, $D$6), $D$5), 0)</f>
        <v>3333.3333333333335</v>
      </c>
      <c r="BM36" s="33">
        <f>IF(BM$8&gt;='1_PANEL_CONTROL'!$D$41, MIN(MAX(BM35, $D$6), $D$5), 0)</f>
        <v>3333.3333333333335</v>
      </c>
      <c r="BN36" s="33">
        <f>IF(BN$8&gt;='1_PANEL_CONTROL'!$D$41, MIN(MAX(BN35, $D$6), $D$5), 0)</f>
        <v>3333.3333333333335</v>
      </c>
      <c r="BO36" s="33">
        <f>IF(BO$8&gt;='1_PANEL_CONTROL'!$D$41, MIN(MAX(BO35, $D$6), $D$5), 0)</f>
        <v>3333.3333333333335</v>
      </c>
      <c r="BP36" s="33">
        <f>IF(BP$8&gt;='1_PANEL_CONTROL'!$D$41, MIN(MAX(BP35, $D$6), $D$5), 0)</f>
        <v>3333.3333333333335</v>
      </c>
      <c r="BQ36" s="33">
        <f>IF(BQ$8&gt;='1_PANEL_CONTROL'!$D$41, MIN(MAX(BQ35, $D$6), $D$5), 0)</f>
        <v>3333.3333333333335</v>
      </c>
      <c r="BR36" s="33">
        <f>IF(BR$8&gt;='1_PANEL_CONTROL'!$D$41, MIN(MAX(BR35, $D$6), $D$5), 0)</f>
        <v>3333.3333333333335</v>
      </c>
      <c r="BS36" s="33">
        <f>IF(BS$8&gt;='1_PANEL_CONTROL'!$D$41, MIN(MAX(BS35, $D$6), $D$5), 0)</f>
        <v>3333.3333333333335</v>
      </c>
      <c r="BT36" s="33">
        <f>IF(BT$8&gt;='1_PANEL_CONTROL'!$D$41, MIN(MAX(BT35, $D$6), $D$5), 0)</f>
        <v>3333.3333333333335</v>
      </c>
      <c r="BU36" s="33">
        <f>IF(BU$8&gt;='1_PANEL_CONTROL'!$D$41, MIN(MAX(BU35, $D$6), $D$5), 0)</f>
        <v>3333.3333333333335</v>
      </c>
      <c r="BV36" s="33">
        <f>IF(BV$8&gt;='1_PANEL_CONTROL'!$D$41, MIN(MAX(BV35, $D$6), $D$5), 0)</f>
        <v>3333.3333333333335</v>
      </c>
      <c r="BW36" s="33">
        <f>IF(BW$8&gt;='1_PANEL_CONTROL'!$D$41, MIN(MAX(BW35, $D$6), $D$5), 0)</f>
        <v>3333.3333333333335</v>
      </c>
      <c r="BX36" s="33">
        <f>IF(BX$8&gt;='1_PANEL_CONTROL'!$D$41, MIN(MAX(BX35, $D$6), $D$5), 0)</f>
        <v>3333.3333333333335</v>
      </c>
      <c r="BY36" s="33">
        <f>IF(BY$8&gt;='1_PANEL_CONTROL'!$D$41, MIN(MAX(BY35, $D$6), $D$5), 0)</f>
        <v>3333.3333333333335</v>
      </c>
      <c r="BZ36" s="33">
        <f>IF(BZ$8&gt;='1_PANEL_CONTROL'!$D$41, MIN(MAX(BZ35, $D$6), $D$5), 0)</f>
        <v>3333.3333333333335</v>
      </c>
      <c r="CA36" s="33">
        <f>IF(CA$8&gt;='1_PANEL_CONTROL'!$D$41, MIN(MAX(CA35, $D$6), $D$5), 0)</f>
        <v>3333.3333333333335</v>
      </c>
      <c r="CB36" s="33">
        <f>IF(CB$8&gt;='1_PANEL_CONTROL'!$D$41, MIN(MAX(CB35, $D$6), $D$5), 0)</f>
        <v>3333.3333333333335</v>
      </c>
      <c r="CC36" s="33">
        <f>IF(CC$8&gt;='1_PANEL_CONTROL'!$D$41, MIN(MAX(CC35, $D$6), $D$5), 0)</f>
        <v>3333.3333333333335</v>
      </c>
      <c r="CD36" s="33">
        <f>IF(CD$8&gt;='1_PANEL_CONTROL'!$D$41, MIN(MAX(CD35, $D$6), $D$5), 0)</f>
        <v>3333.3333333333335</v>
      </c>
      <c r="CE36" s="33">
        <f>IF(CE$8&gt;='1_PANEL_CONTROL'!$D$41, MIN(MAX(CE35, $D$6), $D$5), 0)</f>
        <v>3333.3333333333335</v>
      </c>
      <c r="CF36" s="33">
        <f>IF(CF$8&gt;='1_PANEL_CONTROL'!$D$41, MIN(MAX(CF35, $D$6), $D$5), 0)</f>
        <v>3333.3333333333335</v>
      </c>
      <c r="CG36" s="33">
        <f>IF(CG$8&gt;='1_PANEL_CONTROL'!$D$41, MIN(MAX(CG35, $D$6), $D$5), 0)</f>
        <v>3333.3333333333335</v>
      </c>
      <c r="CH36" s="33">
        <f>IF(CH$8&gt;='1_PANEL_CONTROL'!$D$41, MIN(MAX(CH35, $D$6), $D$5), 0)</f>
        <v>3333.3333333333335</v>
      </c>
      <c r="CI36" s="33">
        <f>IF(CI$8&gt;='1_PANEL_CONTROL'!$D$41, MIN(MAX(CI35, $D$6), $D$5), 0)</f>
        <v>3333.3333333333335</v>
      </c>
    </row>
    <row r="37" spans="1:87" ht="16">
      <c r="A37" s="6" t="s">
        <v>587</v>
      </c>
      <c r="B37" s="30" t="s">
        <v>465</v>
      </c>
      <c r="C37" s="15"/>
      <c r="D37" s="33">
        <f>IF(D$8&gt;='1_PANEL_CONTROL'!$D$41, '1_PANEL_CONTROL'!$F$33, 0)</f>
        <v>448.69</v>
      </c>
      <c r="E37" s="33">
        <f>IF(E$8&gt;='1_PANEL_CONTROL'!$D$41, '1_PANEL_CONTROL'!$F$33, 0)</f>
        <v>448.69</v>
      </c>
      <c r="F37" s="33">
        <f>IF(F$8&gt;='1_PANEL_CONTROL'!$D$41, '1_PANEL_CONTROL'!$F$33, 0)</f>
        <v>448.69</v>
      </c>
      <c r="G37" s="33">
        <f>IF(G$8&gt;='1_PANEL_CONTROL'!$D$41, '1_PANEL_CONTROL'!$F$33, 0)</f>
        <v>448.69</v>
      </c>
      <c r="H37" s="33">
        <f>IF(H$8&gt;='1_PANEL_CONTROL'!$D$41, '1_PANEL_CONTROL'!$F$33, 0)</f>
        <v>448.69</v>
      </c>
      <c r="I37" s="33">
        <f>IF(I$8&gt;='1_PANEL_CONTROL'!$D$41, '1_PANEL_CONTROL'!$F$33, 0)</f>
        <v>448.69</v>
      </c>
      <c r="J37" s="33">
        <f>IF(J$8&gt;='1_PANEL_CONTROL'!$D$41, '1_PANEL_CONTROL'!$F$33, 0)</f>
        <v>448.69</v>
      </c>
      <c r="K37" s="33">
        <f>IF(K$8&gt;='1_PANEL_CONTROL'!$D$41, '1_PANEL_CONTROL'!$F$33, 0)</f>
        <v>448.69</v>
      </c>
      <c r="L37" s="33">
        <f>IF(L$8&gt;='1_PANEL_CONTROL'!$D$41, '1_PANEL_CONTROL'!$F$33, 0)</f>
        <v>448.69</v>
      </c>
      <c r="M37" s="33">
        <f>IF(M$8&gt;='1_PANEL_CONTROL'!$D$41, '1_PANEL_CONTROL'!$F$33, 0)</f>
        <v>448.69</v>
      </c>
      <c r="N37" s="33">
        <f>IF(N$8&gt;='1_PANEL_CONTROL'!$D$41, '1_PANEL_CONTROL'!$F$33, 0)</f>
        <v>448.69</v>
      </c>
      <c r="O37" s="33">
        <f>IF(O$8&gt;='1_PANEL_CONTROL'!$D$41, '1_PANEL_CONTROL'!$F$33, 0)</f>
        <v>448.69</v>
      </c>
      <c r="P37" s="33">
        <f>IF(P$8&gt;='1_PANEL_CONTROL'!$D$41, '1_PANEL_CONTROL'!$F$33, 0)</f>
        <v>448.69</v>
      </c>
      <c r="Q37" s="33">
        <f>IF(Q$8&gt;='1_PANEL_CONTROL'!$D$41, '1_PANEL_CONTROL'!$F$33, 0)</f>
        <v>448.69</v>
      </c>
      <c r="R37" s="33">
        <f>IF(R$8&gt;='1_PANEL_CONTROL'!$D$41, '1_PANEL_CONTROL'!$F$33, 0)</f>
        <v>448.69</v>
      </c>
      <c r="S37" s="33">
        <f>IF(S$8&gt;='1_PANEL_CONTROL'!$D$41, '1_PANEL_CONTROL'!$F$33, 0)</f>
        <v>448.69</v>
      </c>
      <c r="T37" s="33">
        <f>IF(T$8&gt;='1_PANEL_CONTROL'!$D$41, '1_PANEL_CONTROL'!$F$33, 0)</f>
        <v>448.69</v>
      </c>
      <c r="U37" s="33">
        <f>IF(U$8&gt;='1_PANEL_CONTROL'!$D$41, '1_PANEL_CONTROL'!$F$33, 0)</f>
        <v>448.69</v>
      </c>
      <c r="V37" s="33">
        <f>IF(V$8&gt;='1_PANEL_CONTROL'!$D$41, '1_PANEL_CONTROL'!$F$33, 0)</f>
        <v>448.69</v>
      </c>
      <c r="W37" s="33">
        <f>IF(W$8&gt;='1_PANEL_CONTROL'!$D$41, '1_PANEL_CONTROL'!$F$33, 0)</f>
        <v>448.69</v>
      </c>
      <c r="X37" s="33">
        <f>IF(X$8&gt;='1_PANEL_CONTROL'!$D$41, '1_PANEL_CONTROL'!$F$33, 0)</f>
        <v>448.69</v>
      </c>
      <c r="Y37" s="33">
        <f>IF(Y$8&gt;='1_PANEL_CONTROL'!$D$41, '1_PANEL_CONTROL'!$F$33, 0)</f>
        <v>448.69</v>
      </c>
      <c r="Z37" s="33">
        <f>IF(Z$8&gt;='1_PANEL_CONTROL'!$D$41, '1_PANEL_CONTROL'!$F$33, 0)</f>
        <v>448.69</v>
      </c>
      <c r="AA37" s="33">
        <f>IF(AA$8&gt;='1_PANEL_CONTROL'!$D$41, '1_PANEL_CONTROL'!$F$33, 0)</f>
        <v>448.69</v>
      </c>
      <c r="AB37" s="33">
        <f>IF(AB$8&gt;='1_PANEL_CONTROL'!$D$41, '1_PANEL_CONTROL'!$F$33, 0)</f>
        <v>448.69</v>
      </c>
      <c r="AC37" s="33">
        <f>IF(AC$8&gt;='1_PANEL_CONTROL'!$D$41, '1_PANEL_CONTROL'!$F$33, 0)</f>
        <v>448.69</v>
      </c>
      <c r="AD37" s="33">
        <f>IF(AD$8&gt;='1_PANEL_CONTROL'!$D$41, '1_PANEL_CONTROL'!$F$33, 0)</f>
        <v>448.69</v>
      </c>
      <c r="AE37" s="33">
        <f>IF(AE$8&gt;='1_PANEL_CONTROL'!$D$41, '1_PANEL_CONTROL'!$F$33, 0)</f>
        <v>448.69</v>
      </c>
      <c r="AF37" s="33">
        <f>IF(AF$8&gt;='1_PANEL_CONTROL'!$D$41, '1_PANEL_CONTROL'!$F$33, 0)</f>
        <v>448.69</v>
      </c>
      <c r="AG37" s="33">
        <f>IF(AG$8&gt;='1_PANEL_CONTROL'!$D$41, '1_PANEL_CONTROL'!$F$33, 0)</f>
        <v>448.69</v>
      </c>
      <c r="AH37" s="33">
        <f>IF(AH$8&gt;='1_PANEL_CONTROL'!$D$41, '1_PANEL_CONTROL'!$F$33, 0)</f>
        <v>448.69</v>
      </c>
      <c r="AI37" s="33">
        <f>IF(AI$8&gt;='1_PANEL_CONTROL'!$D$41, '1_PANEL_CONTROL'!$F$33, 0)</f>
        <v>448.69</v>
      </c>
      <c r="AJ37" s="33">
        <f>IF(AJ$8&gt;='1_PANEL_CONTROL'!$D$41, '1_PANEL_CONTROL'!$F$33, 0)</f>
        <v>448.69</v>
      </c>
      <c r="AK37" s="33">
        <f>IF(AK$8&gt;='1_PANEL_CONTROL'!$D$41, '1_PANEL_CONTROL'!$F$33, 0)</f>
        <v>448.69</v>
      </c>
      <c r="AL37" s="33">
        <f>IF(AL$8&gt;='1_PANEL_CONTROL'!$D$41, '1_PANEL_CONTROL'!$F$33, 0)</f>
        <v>448.69</v>
      </c>
      <c r="AM37" s="33">
        <f>IF(AM$8&gt;='1_PANEL_CONTROL'!$D$41, '1_PANEL_CONTROL'!$F$33, 0)</f>
        <v>448.69</v>
      </c>
      <c r="AN37" s="33">
        <f>IF(AN$8&gt;='1_PANEL_CONTROL'!$D$41, '1_PANEL_CONTROL'!$F$33, 0)</f>
        <v>448.69</v>
      </c>
      <c r="AO37" s="33">
        <f>IF(AO$8&gt;='1_PANEL_CONTROL'!$D$41, '1_PANEL_CONTROL'!$F$33, 0)</f>
        <v>448.69</v>
      </c>
      <c r="AP37" s="33">
        <f>IF(AP$8&gt;='1_PANEL_CONTROL'!$D$41, '1_PANEL_CONTROL'!$F$33, 0)</f>
        <v>448.69</v>
      </c>
      <c r="AQ37" s="33">
        <f>IF(AQ$8&gt;='1_PANEL_CONTROL'!$D$41, '1_PANEL_CONTROL'!$F$33, 0)</f>
        <v>448.69</v>
      </c>
      <c r="AR37" s="33">
        <f>IF(AR$8&gt;='1_PANEL_CONTROL'!$D$41, '1_PANEL_CONTROL'!$F$33, 0)</f>
        <v>448.69</v>
      </c>
      <c r="AS37" s="33">
        <f>IF(AS$8&gt;='1_PANEL_CONTROL'!$D$41, '1_PANEL_CONTROL'!$F$33, 0)</f>
        <v>448.69</v>
      </c>
      <c r="AT37" s="33">
        <f>IF(AT$8&gt;='1_PANEL_CONTROL'!$D$41, '1_PANEL_CONTROL'!$F$33, 0)</f>
        <v>448.69</v>
      </c>
      <c r="AU37" s="33">
        <f>IF(AU$8&gt;='1_PANEL_CONTROL'!$D$41, '1_PANEL_CONTROL'!$F$33, 0)</f>
        <v>448.69</v>
      </c>
      <c r="AV37" s="33">
        <f>IF(AV$8&gt;='1_PANEL_CONTROL'!$D$41, '1_PANEL_CONTROL'!$F$33, 0)</f>
        <v>448.69</v>
      </c>
      <c r="AW37" s="33">
        <f>IF(AW$8&gt;='1_PANEL_CONTROL'!$D$41, '1_PANEL_CONTROL'!$F$33, 0)</f>
        <v>448.69</v>
      </c>
      <c r="AX37" s="33">
        <f>IF(AX$8&gt;='1_PANEL_CONTROL'!$D$41, '1_PANEL_CONTROL'!$F$33, 0)</f>
        <v>448.69</v>
      </c>
      <c r="AY37" s="33">
        <f>IF(AY$8&gt;='1_PANEL_CONTROL'!$D$41, '1_PANEL_CONTROL'!$F$33, 0)</f>
        <v>448.69</v>
      </c>
      <c r="AZ37" s="33">
        <f>IF(AZ$8&gt;='1_PANEL_CONTROL'!$D$41, '1_PANEL_CONTROL'!$F$33, 0)</f>
        <v>448.69</v>
      </c>
      <c r="BA37" s="33">
        <f>IF(BA$8&gt;='1_PANEL_CONTROL'!$D$41, '1_PANEL_CONTROL'!$F$33, 0)</f>
        <v>448.69</v>
      </c>
      <c r="BB37" s="33">
        <f>IF(BB$8&gt;='1_PANEL_CONTROL'!$D$41, '1_PANEL_CONTROL'!$F$33, 0)</f>
        <v>448.69</v>
      </c>
      <c r="BC37" s="33">
        <f>IF(BC$8&gt;='1_PANEL_CONTROL'!$D$41, '1_PANEL_CONTROL'!$F$33, 0)</f>
        <v>448.69</v>
      </c>
      <c r="BD37" s="33">
        <f>IF(BD$8&gt;='1_PANEL_CONTROL'!$D$41, '1_PANEL_CONTROL'!$F$33, 0)</f>
        <v>448.69</v>
      </c>
      <c r="BE37" s="33">
        <f>IF(BE$8&gt;='1_PANEL_CONTROL'!$D$41, '1_PANEL_CONTROL'!$F$33, 0)</f>
        <v>448.69</v>
      </c>
      <c r="BF37" s="33">
        <f>IF(BF$8&gt;='1_PANEL_CONTROL'!$D$41, '1_PANEL_CONTROL'!$F$33, 0)</f>
        <v>448.69</v>
      </c>
      <c r="BG37" s="33">
        <f>IF(BG$8&gt;='1_PANEL_CONTROL'!$D$41, '1_PANEL_CONTROL'!$F$33, 0)</f>
        <v>448.69</v>
      </c>
      <c r="BH37" s="33">
        <f>IF(BH$8&gt;='1_PANEL_CONTROL'!$D$41, '1_PANEL_CONTROL'!$F$33, 0)</f>
        <v>448.69</v>
      </c>
      <c r="BI37" s="33">
        <f>IF(BI$8&gt;='1_PANEL_CONTROL'!$D$41, '1_PANEL_CONTROL'!$F$33, 0)</f>
        <v>448.69</v>
      </c>
      <c r="BJ37" s="33">
        <f>IF(BJ$8&gt;='1_PANEL_CONTROL'!$D$41, '1_PANEL_CONTROL'!$F$33, 0)</f>
        <v>448.69</v>
      </c>
      <c r="BK37" s="33">
        <f>IF(BK$8&gt;='1_PANEL_CONTROL'!$D$41, '1_PANEL_CONTROL'!$F$33, 0)</f>
        <v>448.69</v>
      </c>
      <c r="BL37" s="33">
        <f>IF(BL$8&gt;='1_PANEL_CONTROL'!$D$41, '1_PANEL_CONTROL'!$F$33, 0)</f>
        <v>448.69</v>
      </c>
      <c r="BM37" s="33">
        <f>IF(BM$8&gt;='1_PANEL_CONTROL'!$D$41, '1_PANEL_CONTROL'!$F$33, 0)</f>
        <v>448.69</v>
      </c>
      <c r="BN37" s="33">
        <f>IF(BN$8&gt;='1_PANEL_CONTROL'!$D$41, '1_PANEL_CONTROL'!$F$33, 0)</f>
        <v>448.69</v>
      </c>
      <c r="BO37" s="33">
        <f>IF(BO$8&gt;='1_PANEL_CONTROL'!$D$41, '1_PANEL_CONTROL'!$F$33, 0)</f>
        <v>448.69</v>
      </c>
      <c r="BP37" s="33">
        <f>IF(BP$8&gt;='1_PANEL_CONTROL'!$D$41, '1_PANEL_CONTROL'!$F$33, 0)</f>
        <v>448.69</v>
      </c>
      <c r="BQ37" s="33">
        <f>IF(BQ$8&gt;='1_PANEL_CONTROL'!$D$41, '1_PANEL_CONTROL'!$F$33, 0)</f>
        <v>448.69</v>
      </c>
      <c r="BR37" s="33">
        <f>IF(BR$8&gt;='1_PANEL_CONTROL'!$D$41, '1_PANEL_CONTROL'!$F$33, 0)</f>
        <v>448.69</v>
      </c>
      <c r="BS37" s="33">
        <f>IF(BS$8&gt;='1_PANEL_CONTROL'!$D$41, '1_PANEL_CONTROL'!$F$33, 0)</f>
        <v>448.69</v>
      </c>
      <c r="BT37" s="33">
        <f>IF(BT$8&gt;='1_PANEL_CONTROL'!$D$41, '1_PANEL_CONTROL'!$F$33, 0)</f>
        <v>448.69</v>
      </c>
      <c r="BU37" s="33">
        <f>IF(BU$8&gt;='1_PANEL_CONTROL'!$D$41, '1_PANEL_CONTROL'!$F$33, 0)</f>
        <v>448.69</v>
      </c>
      <c r="BV37" s="33">
        <f>IF(BV$8&gt;='1_PANEL_CONTROL'!$D$41, '1_PANEL_CONTROL'!$F$33, 0)</f>
        <v>448.69</v>
      </c>
      <c r="BW37" s="33">
        <f>IF(BW$8&gt;='1_PANEL_CONTROL'!$D$41, '1_PANEL_CONTROL'!$F$33, 0)</f>
        <v>448.69</v>
      </c>
      <c r="BX37" s="33">
        <f>IF(BX$8&gt;='1_PANEL_CONTROL'!$D$41, '1_PANEL_CONTROL'!$F$33, 0)</f>
        <v>448.69</v>
      </c>
      <c r="BY37" s="33">
        <f>IF(BY$8&gt;='1_PANEL_CONTROL'!$D$41, '1_PANEL_CONTROL'!$F$33, 0)</f>
        <v>448.69</v>
      </c>
      <c r="BZ37" s="33">
        <f>IF(BZ$8&gt;='1_PANEL_CONTROL'!$D$41, '1_PANEL_CONTROL'!$F$33, 0)</f>
        <v>448.69</v>
      </c>
      <c r="CA37" s="33">
        <f>IF(CA$8&gt;='1_PANEL_CONTROL'!$D$41, '1_PANEL_CONTROL'!$F$33, 0)</f>
        <v>448.69</v>
      </c>
      <c r="CB37" s="33">
        <f>IF(CB$8&gt;='1_PANEL_CONTROL'!$D$41, '1_PANEL_CONTROL'!$F$33, 0)</f>
        <v>448.69</v>
      </c>
      <c r="CC37" s="33">
        <f>IF(CC$8&gt;='1_PANEL_CONTROL'!$D$41, '1_PANEL_CONTROL'!$F$33, 0)</f>
        <v>448.69</v>
      </c>
      <c r="CD37" s="33">
        <f>IF(CD$8&gt;='1_PANEL_CONTROL'!$D$41, '1_PANEL_CONTROL'!$F$33, 0)</f>
        <v>448.69</v>
      </c>
      <c r="CE37" s="33">
        <f>IF(CE$8&gt;='1_PANEL_CONTROL'!$D$41, '1_PANEL_CONTROL'!$F$33, 0)</f>
        <v>448.69</v>
      </c>
      <c r="CF37" s="33">
        <f>IF(CF$8&gt;='1_PANEL_CONTROL'!$D$41, '1_PANEL_CONTROL'!$F$33, 0)</f>
        <v>448.69</v>
      </c>
      <c r="CG37" s="33">
        <f>IF(CG$8&gt;='1_PANEL_CONTROL'!$D$41, '1_PANEL_CONTROL'!$F$33, 0)</f>
        <v>448.69</v>
      </c>
      <c r="CH37" s="33">
        <f>IF(CH$8&gt;='1_PANEL_CONTROL'!$D$41, '1_PANEL_CONTROL'!$F$33, 0)</f>
        <v>448.69</v>
      </c>
      <c r="CI37" s="33">
        <f>IF(CI$8&gt;='1_PANEL_CONTROL'!$D$41, '1_PANEL_CONTROL'!$F$33, 0)</f>
        <v>448.69</v>
      </c>
    </row>
    <row r="38" spans="1:87" ht="16">
      <c r="A38" s="6" t="s">
        <v>588</v>
      </c>
      <c r="B38" s="30" t="s">
        <v>465</v>
      </c>
      <c r="C38" s="15"/>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33">
        <v>0</v>
      </c>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v>0</v>
      </c>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v>0</v>
      </c>
      <c r="CH38" s="33">
        <v>0</v>
      </c>
      <c r="CI38" s="33">
        <v>0</v>
      </c>
    </row>
    <row r="39" spans="1:87" ht="16">
      <c r="A39" s="6" t="s">
        <v>589</v>
      </c>
      <c r="B39" s="30" t="s">
        <v>465</v>
      </c>
      <c r="C39" s="15"/>
      <c r="D39" s="33">
        <f>D34*'1_PANEL_CONTROL'!$E$41</f>
        <v>225</v>
      </c>
      <c r="E39" s="33">
        <f>E34*'1_PANEL_CONTROL'!$E$41</f>
        <v>225</v>
      </c>
      <c r="F39" s="33">
        <f>F34*'1_PANEL_CONTROL'!$E$41</f>
        <v>225</v>
      </c>
      <c r="G39" s="33">
        <f>G34*'1_PANEL_CONTROL'!$E$41</f>
        <v>225</v>
      </c>
      <c r="H39" s="33">
        <f>H34*'1_PANEL_CONTROL'!$E$41</f>
        <v>225</v>
      </c>
      <c r="I39" s="33">
        <f>I34*'1_PANEL_CONTROL'!$E$41</f>
        <v>225</v>
      </c>
      <c r="J39" s="33">
        <f>J34*'1_PANEL_CONTROL'!$E$41</f>
        <v>225</v>
      </c>
      <c r="K39" s="33">
        <f>K34*'1_PANEL_CONTROL'!$E$41</f>
        <v>225</v>
      </c>
      <c r="L39" s="33">
        <f>L34*'1_PANEL_CONTROL'!$E$41</f>
        <v>225</v>
      </c>
      <c r="M39" s="33">
        <f>M34*'1_PANEL_CONTROL'!$E$41</f>
        <v>225</v>
      </c>
      <c r="N39" s="33">
        <f>N34*'1_PANEL_CONTROL'!$E$41</f>
        <v>225</v>
      </c>
      <c r="O39" s="33">
        <f>O34*'1_PANEL_CONTROL'!$E$41</f>
        <v>225</v>
      </c>
      <c r="P39" s="33">
        <f>P34*'1_PANEL_CONTROL'!$E$41</f>
        <v>375</v>
      </c>
      <c r="Q39" s="33">
        <f>Q34*'1_PANEL_CONTROL'!$E$41</f>
        <v>375</v>
      </c>
      <c r="R39" s="33">
        <f>R34*'1_PANEL_CONTROL'!$E$41</f>
        <v>375</v>
      </c>
      <c r="S39" s="33">
        <f>S34*'1_PANEL_CONTROL'!$E$41</f>
        <v>375</v>
      </c>
      <c r="T39" s="33">
        <f>T34*'1_PANEL_CONTROL'!$E$41</f>
        <v>375</v>
      </c>
      <c r="U39" s="33">
        <f>U34*'1_PANEL_CONTROL'!$E$41</f>
        <v>375</v>
      </c>
      <c r="V39" s="33">
        <f>V34*'1_PANEL_CONTROL'!$E$41</f>
        <v>375</v>
      </c>
      <c r="W39" s="33">
        <f>W34*'1_PANEL_CONTROL'!$E$41</f>
        <v>375</v>
      </c>
      <c r="X39" s="33">
        <f>X34*'1_PANEL_CONTROL'!$E$41</f>
        <v>375</v>
      </c>
      <c r="Y39" s="33">
        <f>Y34*'1_PANEL_CONTROL'!$E$41</f>
        <v>375</v>
      </c>
      <c r="Z39" s="33">
        <f>Z34*'1_PANEL_CONTROL'!$E$41</f>
        <v>375</v>
      </c>
      <c r="AA39" s="33">
        <f>AA34*'1_PANEL_CONTROL'!$E$41</f>
        <v>375</v>
      </c>
      <c r="AB39" s="33">
        <f>AB34*'1_PANEL_CONTROL'!$E$41</f>
        <v>500</v>
      </c>
      <c r="AC39" s="33">
        <f>AC34*'1_PANEL_CONTROL'!$E$41</f>
        <v>500</v>
      </c>
      <c r="AD39" s="33">
        <f>AD34*'1_PANEL_CONTROL'!$E$41</f>
        <v>500</v>
      </c>
      <c r="AE39" s="33">
        <f>AE34*'1_PANEL_CONTROL'!$E$41</f>
        <v>500</v>
      </c>
      <c r="AF39" s="33">
        <f>AF34*'1_PANEL_CONTROL'!$E$41</f>
        <v>500</v>
      </c>
      <c r="AG39" s="33">
        <f>AG34*'1_PANEL_CONTROL'!$E$41</f>
        <v>500</v>
      </c>
      <c r="AH39" s="33">
        <f>AH34*'1_PANEL_CONTROL'!$E$41</f>
        <v>500</v>
      </c>
      <c r="AI39" s="33">
        <f>AI34*'1_PANEL_CONTROL'!$E$41</f>
        <v>500</v>
      </c>
      <c r="AJ39" s="33">
        <f>AJ34*'1_PANEL_CONTROL'!$E$41</f>
        <v>500</v>
      </c>
      <c r="AK39" s="33">
        <f>AK34*'1_PANEL_CONTROL'!$E$41</f>
        <v>500</v>
      </c>
      <c r="AL39" s="33">
        <f>AL34*'1_PANEL_CONTROL'!$E$41</f>
        <v>500</v>
      </c>
      <c r="AM39" s="33">
        <f>AM34*'1_PANEL_CONTROL'!$E$41</f>
        <v>500</v>
      </c>
      <c r="AN39" s="33">
        <f>AN34*'1_PANEL_CONTROL'!$E$41</f>
        <v>500</v>
      </c>
      <c r="AO39" s="33">
        <f>AO34*'1_PANEL_CONTROL'!$E$41</f>
        <v>500</v>
      </c>
      <c r="AP39" s="33">
        <f>AP34*'1_PANEL_CONTROL'!$E$41</f>
        <v>500</v>
      </c>
      <c r="AQ39" s="33">
        <f>AQ34*'1_PANEL_CONTROL'!$E$41</f>
        <v>500</v>
      </c>
      <c r="AR39" s="33">
        <f>AR34*'1_PANEL_CONTROL'!$E$41</f>
        <v>500</v>
      </c>
      <c r="AS39" s="33">
        <f>AS34*'1_PANEL_CONTROL'!$E$41</f>
        <v>500</v>
      </c>
      <c r="AT39" s="33">
        <f>AT34*'1_PANEL_CONTROL'!$E$41</f>
        <v>500</v>
      </c>
      <c r="AU39" s="33">
        <f>AU34*'1_PANEL_CONTROL'!$E$41</f>
        <v>500</v>
      </c>
      <c r="AV39" s="33">
        <f>AV34*'1_PANEL_CONTROL'!$E$41</f>
        <v>500</v>
      </c>
      <c r="AW39" s="33">
        <f>AW34*'1_PANEL_CONTROL'!$E$41</f>
        <v>500</v>
      </c>
      <c r="AX39" s="33">
        <f>AX34*'1_PANEL_CONTROL'!$E$41</f>
        <v>500</v>
      </c>
      <c r="AY39" s="33">
        <f>AY34*'1_PANEL_CONTROL'!$E$41</f>
        <v>500</v>
      </c>
      <c r="AZ39" s="33">
        <f>AZ34*'1_PANEL_CONTROL'!$E$41</f>
        <v>500</v>
      </c>
      <c r="BA39" s="33">
        <f>BA34*'1_PANEL_CONTROL'!$E$41</f>
        <v>500</v>
      </c>
      <c r="BB39" s="33">
        <f>BB34*'1_PANEL_CONTROL'!$E$41</f>
        <v>500</v>
      </c>
      <c r="BC39" s="33">
        <f>BC34*'1_PANEL_CONTROL'!$E$41</f>
        <v>500</v>
      </c>
      <c r="BD39" s="33">
        <f>BD34*'1_PANEL_CONTROL'!$E$41</f>
        <v>500</v>
      </c>
      <c r="BE39" s="33">
        <f>BE34*'1_PANEL_CONTROL'!$E$41</f>
        <v>500</v>
      </c>
      <c r="BF39" s="33">
        <f>BF34*'1_PANEL_CONTROL'!$E$41</f>
        <v>500</v>
      </c>
      <c r="BG39" s="33">
        <f>BG34*'1_PANEL_CONTROL'!$E$41</f>
        <v>500</v>
      </c>
      <c r="BH39" s="33">
        <f>BH34*'1_PANEL_CONTROL'!$E$41</f>
        <v>500</v>
      </c>
      <c r="BI39" s="33">
        <f>BI34*'1_PANEL_CONTROL'!$E$41</f>
        <v>500</v>
      </c>
      <c r="BJ39" s="33">
        <f>BJ34*'1_PANEL_CONTROL'!$E$41</f>
        <v>500</v>
      </c>
      <c r="BK39" s="33">
        <f>BK34*'1_PANEL_CONTROL'!$E$41</f>
        <v>500</v>
      </c>
      <c r="BL39" s="33">
        <f>BL34*'1_PANEL_CONTROL'!$E$41</f>
        <v>500</v>
      </c>
      <c r="BM39" s="33">
        <f>BM34*'1_PANEL_CONTROL'!$E$41</f>
        <v>500</v>
      </c>
      <c r="BN39" s="33">
        <f>BN34*'1_PANEL_CONTROL'!$E$41</f>
        <v>500</v>
      </c>
      <c r="BO39" s="33">
        <f>BO34*'1_PANEL_CONTROL'!$E$41</f>
        <v>500</v>
      </c>
      <c r="BP39" s="33">
        <f>BP34*'1_PANEL_CONTROL'!$E$41</f>
        <v>500</v>
      </c>
      <c r="BQ39" s="33">
        <f>BQ34*'1_PANEL_CONTROL'!$E$41</f>
        <v>500</v>
      </c>
      <c r="BR39" s="33">
        <f>BR34*'1_PANEL_CONTROL'!$E$41</f>
        <v>500</v>
      </c>
      <c r="BS39" s="33">
        <f>BS34*'1_PANEL_CONTROL'!$E$41</f>
        <v>500</v>
      </c>
      <c r="BT39" s="33">
        <f>BT34*'1_PANEL_CONTROL'!$E$41</f>
        <v>500</v>
      </c>
      <c r="BU39" s="33">
        <f>BU34*'1_PANEL_CONTROL'!$E$41</f>
        <v>500</v>
      </c>
      <c r="BV39" s="33">
        <f>BV34*'1_PANEL_CONTROL'!$E$41</f>
        <v>500</v>
      </c>
      <c r="BW39" s="33">
        <f>BW34*'1_PANEL_CONTROL'!$E$41</f>
        <v>500</v>
      </c>
      <c r="BX39" s="33">
        <f>BX34*'1_PANEL_CONTROL'!$E$41</f>
        <v>500</v>
      </c>
      <c r="BY39" s="33">
        <f>BY34*'1_PANEL_CONTROL'!$E$41</f>
        <v>500</v>
      </c>
      <c r="BZ39" s="33">
        <f>BZ34*'1_PANEL_CONTROL'!$E$41</f>
        <v>500</v>
      </c>
      <c r="CA39" s="33">
        <f>CA34*'1_PANEL_CONTROL'!$E$41</f>
        <v>500</v>
      </c>
      <c r="CB39" s="33">
        <f>CB34*'1_PANEL_CONTROL'!$E$41</f>
        <v>500</v>
      </c>
      <c r="CC39" s="33">
        <f>CC34*'1_PANEL_CONTROL'!$E$41</f>
        <v>500</v>
      </c>
      <c r="CD39" s="33">
        <f>CD34*'1_PANEL_CONTROL'!$E$41</f>
        <v>500</v>
      </c>
      <c r="CE39" s="33">
        <f>CE34*'1_PANEL_CONTROL'!$E$41</f>
        <v>500</v>
      </c>
      <c r="CF39" s="33">
        <f>CF34*'1_PANEL_CONTROL'!$E$41</f>
        <v>500</v>
      </c>
      <c r="CG39" s="33">
        <f>CG34*'1_PANEL_CONTROL'!$E$41</f>
        <v>500</v>
      </c>
      <c r="CH39" s="33">
        <f>CH34*'1_PANEL_CONTROL'!$E$41</f>
        <v>500</v>
      </c>
      <c r="CI39" s="33">
        <f>CI34*'1_PANEL_CONTROL'!$E$41</f>
        <v>500</v>
      </c>
    </row>
    <row r="40" spans="1:87" ht="16">
      <c r="A40" s="6" t="s">
        <v>590</v>
      </c>
      <c r="B40" s="30" t="s">
        <v>465</v>
      </c>
      <c r="C40" s="15"/>
      <c r="D40" s="33">
        <f t="shared" ref="D40:AI40" si="21">D34-D38-D39</f>
        <v>1275</v>
      </c>
      <c r="E40" s="33">
        <f t="shared" si="21"/>
        <v>1275</v>
      </c>
      <c r="F40" s="33">
        <f t="shared" si="21"/>
        <v>1275</v>
      </c>
      <c r="G40" s="33">
        <f t="shared" si="21"/>
        <v>1275</v>
      </c>
      <c r="H40" s="33">
        <f t="shared" si="21"/>
        <v>1275</v>
      </c>
      <c r="I40" s="33">
        <f t="shared" si="21"/>
        <v>1275</v>
      </c>
      <c r="J40" s="33">
        <f t="shared" si="21"/>
        <v>1275</v>
      </c>
      <c r="K40" s="33">
        <f t="shared" si="21"/>
        <v>1275</v>
      </c>
      <c r="L40" s="33">
        <f t="shared" si="21"/>
        <v>1275</v>
      </c>
      <c r="M40" s="33">
        <f t="shared" si="21"/>
        <v>1275</v>
      </c>
      <c r="N40" s="33">
        <f t="shared" si="21"/>
        <v>1275</v>
      </c>
      <c r="O40" s="33">
        <f t="shared" si="21"/>
        <v>1275</v>
      </c>
      <c r="P40" s="33">
        <f t="shared" si="21"/>
        <v>2125</v>
      </c>
      <c r="Q40" s="33">
        <f t="shared" si="21"/>
        <v>2125</v>
      </c>
      <c r="R40" s="33">
        <f t="shared" si="21"/>
        <v>2125</v>
      </c>
      <c r="S40" s="33">
        <f t="shared" si="21"/>
        <v>2125</v>
      </c>
      <c r="T40" s="33">
        <f t="shared" si="21"/>
        <v>2125</v>
      </c>
      <c r="U40" s="33">
        <f t="shared" si="21"/>
        <v>2125</v>
      </c>
      <c r="V40" s="33">
        <f t="shared" si="21"/>
        <v>2125</v>
      </c>
      <c r="W40" s="33">
        <f t="shared" si="21"/>
        <v>2125</v>
      </c>
      <c r="X40" s="33">
        <f t="shared" si="21"/>
        <v>2125</v>
      </c>
      <c r="Y40" s="33">
        <f t="shared" si="21"/>
        <v>2125</v>
      </c>
      <c r="Z40" s="33">
        <f t="shared" si="21"/>
        <v>2125</v>
      </c>
      <c r="AA40" s="33">
        <f t="shared" si="21"/>
        <v>2125</v>
      </c>
      <c r="AB40" s="33">
        <f t="shared" si="21"/>
        <v>2833.3333333333335</v>
      </c>
      <c r="AC40" s="33">
        <f t="shared" si="21"/>
        <v>2833.3333333333335</v>
      </c>
      <c r="AD40" s="33">
        <f t="shared" si="21"/>
        <v>2833.3333333333335</v>
      </c>
      <c r="AE40" s="33">
        <f t="shared" si="21"/>
        <v>2833.3333333333335</v>
      </c>
      <c r="AF40" s="33">
        <f t="shared" si="21"/>
        <v>2833.3333333333335</v>
      </c>
      <c r="AG40" s="33">
        <f t="shared" si="21"/>
        <v>2833.3333333333335</v>
      </c>
      <c r="AH40" s="33">
        <f t="shared" si="21"/>
        <v>2833.3333333333335</v>
      </c>
      <c r="AI40" s="33">
        <f t="shared" si="21"/>
        <v>2833.3333333333335</v>
      </c>
      <c r="AJ40" s="33">
        <f t="shared" ref="AJ40:BO40" si="22">AJ34-AJ38-AJ39</f>
        <v>2833.3333333333335</v>
      </c>
      <c r="AK40" s="33">
        <f t="shared" si="22"/>
        <v>2833.3333333333335</v>
      </c>
      <c r="AL40" s="33">
        <f t="shared" si="22"/>
        <v>2833.3333333333335</v>
      </c>
      <c r="AM40" s="33">
        <f t="shared" si="22"/>
        <v>2833.3333333333335</v>
      </c>
      <c r="AN40" s="33">
        <f t="shared" si="22"/>
        <v>2833.3333333333335</v>
      </c>
      <c r="AO40" s="33">
        <f t="shared" si="22"/>
        <v>2833.3333333333335</v>
      </c>
      <c r="AP40" s="33">
        <f t="shared" si="22"/>
        <v>2833.3333333333335</v>
      </c>
      <c r="AQ40" s="33">
        <f t="shared" si="22"/>
        <v>2833.3333333333335</v>
      </c>
      <c r="AR40" s="33">
        <f t="shared" si="22"/>
        <v>2833.3333333333335</v>
      </c>
      <c r="AS40" s="33">
        <f t="shared" si="22"/>
        <v>2833.3333333333335</v>
      </c>
      <c r="AT40" s="33">
        <f t="shared" si="22"/>
        <v>2833.3333333333335</v>
      </c>
      <c r="AU40" s="33">
        <f t="shared" si="22"/>
        <v>2833.3333333333335</v>
      </c>
      <c r="AV40" s="33">
        <f t="shared" si="22"/>
        <v>2833.3333333333335</v>
      </c>
      <c r="AW40" s="33">
        <f t="shared" si="22"/>
        <v>2833.3333333333335</v>
      </c>
      <c r="AX40" s="33">
        <f t="shared" si="22"/>
        <v>2833.3333333333335</v>
      </c>
      <c r="AY40" s="33">
        <f t="shared" si="22"/>
        <v>2833.3333333333335</v>
      </c>
      <c r="AZ40" s="33">
        <f t="shared" si="22"/>
        <v>2833.3333333333335</v>
      </c>
      <c r="BA40" s="33">
        <f t="shared" si="22"/>
        <v>2833.3333333333335</v>
      </c>
      <c r="BB40" s="33">
        <f t="shared" si="22"/>
        <v>2833.3333333333335</v>
      </c>
      <c r="BC40" s="33">
        <f t="shared" si="22"/>
        <v>2833.3333333333335</v>
      </c>
      <c r="BD40" s="33">
        <f t="shared" si="22"/>
        <v>2833.3333333333335</v>
      </c>
      <c r="BE40" s="33">
        <f t="shared" si="22"/>
        <v>2833.3333333333335</v>
      </c>
      <c r="BF40" s="33">
        <f t="shared" si="22"/>
        <v>2833.3333333333335</v>
      </c>
      <c r="BG40" s="33">
        <f t="shared" si="22"/>
        <v>2833.3333333333335</v>
      </c>
      <c r="BH40" s="33">
        <f t="shared" si="22"/>
        <v>2833.3333333333335</v>
      </c>
      <c r="BI40" s="33">
        <f t="shared" si="22"/>
        <v>2833.3333333333335</v>
      </c>
      <c r="BJ40" s="33">
        <f t="shared" si="22"/>
        <v>2833.3333333333335</v>
      </c>
      <c r="BK40" s="33">
        <f t="shared" si="22"/>
        <v>2833.3333333333335</v>
      </c>
      <c r="BL40" s="33">
        <f t="shared" si="22"/>
        <v>2833.3333333333335</v>
      </c>
      <c r="BM40" s="33">
        <f t="shared" si="22"/>
        <v>2833.3333333333335</v>
      </c>
      <c r="BN40" s="33">
        <f t="shared" si="22"/>
        <v>2833.3333333333335</v>
      </c>
      <c r="BO40" s="33">
        <f t="shared" si="22"/>
        <v>2833.3333333333335</v>
      </c>
      <c r="BP40" s="33">
        <f t="shared" ref="BP40:CU40" si="23">BP34-BP38-BP39</f>
        <v>2833.3333333333335</v>
      </c>
      <c r="BQ40" s="33">
        <f t="shared" si="23"/>
        <v>2833.3333333333335</v>
      </c>
      <c r="BR40" s="33">
        <f t="shared" si="23"/>
        <v>2833.3333333333335</v>
      </c>
      <c r="BS40" s="33">
        <f t="shared" si="23"/>
        <v>2833.3333333333335</v>
      </c>
      <c r="BT40" s="33">
        <f t="shared" si="23"/>
        <v>2833.3333333333335</v>
      </c>
      <c r="BU40" s="33">
        <f t="shared" si="23"/>
        <v>2833.3333333333335</v>
      </c>
      <c r="BV40" s="33">
        <f t="shared" si="23"/>
        <v>2833.3333333333335</v>
      </c>
      <c r="BW40" s="33">
        <f t="shared" si="23"/>
        <v>2833.3333333333335</v>
      </c>
      <c r="BX40" s="33">
        <f t="shared" si="23"/>
        <v>2833.3333333333335</v>
      </c>
      <c r="BY40" s="33">
        <f t="shared" si="23"/>
        <v>2833.3333333333335</v>
      </c>
      <c r="BZ40" s="33">
        <f t="shared" si="23"/>
        <v>2833.3333333333335</v>
      </c>
      <c r="CA40" s="33">
        <f t="shared" si="23"/>
        <v>2833.3333333333335</v>
      </c>
      <c r="CB40" s="33">
        <f t="shared" si="23"/>
        <v>2833.3333333333335</v>
      </c>
      <c r="CC40" s="33">
        <f t="shared" si="23"/>
        <v>2833.3333333333335</v>
      </c>
      <c r="CD40" s="33">
        <f t="shared" si="23"/>
        <v>2833.3333333333335</v>
      </c>
      <c r="CE40" s="33">
        <f t="shared" si="23"/>
        <v>2833.3333333333335</v>
      </c>
      <c r="CF40" s="33">
        <f t="shared" si="23"/>
        <v>2833.3333333333335</v>
      </c>
      <c r="CG40" s="33">
        <f t="shared" si="23"/>
        <v>2833.3333333333335</v>
      </c>
      <c r="CH40" s="33">
        <f t="shared" si="23"/>
        <v>2833.3333333333335</v>
      </c>
      <c r="CI40" s="33">
        <f t="shared" si="23"/>
        <v>2833.3333333333335</v>
      </c>
    </row>
    <row r="41" spans="1:87" ht="16">
      <c r="A41" s="5" t="s">
        <v>591</v>
      </c>
      <c r="B41" s="30" t="s">
        <v>465</v>
      </c>
      <c r="C41" s="15"/>
      <c r="D41" s="36">
        <f t="shared" ref="D41:AI41" si="24">D34+D37</f>
        <v>1948.69</v>
      </c>
      <c r="E41" s="36">
        <f t="shared" si="24"/>
        <v>1948.69</v>
      </c>
      <c r="F41" s="36">
        <f t="shared" si="24"/>
        <v>1948.69</v>
      </c>
      <c r="G41" s="36">
        <f t="shared" si="24"/>
        <v>1948.69</v>
      </c>
      <c r="H41" s="36">
        <f t="shared" si="24"/>
        <v>1948.69</v>
      </c>
      <c r="I41" s="36">
        <f t="shared" si="24"/>
        <v>1948.69</v>
      </c>
      <c r="J41" s="36">
        <f t="shared" si="24"/>
        <v>1948.69</v>
      </c>
      <c r="K41" s="36">
        <f t="shared" si="24"/>
        <v>1948.69</v>
      </c>
      <c r="L41" s="36">
        <f t="shared" si="24"/>
        <v>1948.69</v>
      </c>
      <c r="M41" s="36">
        <f t="shared" si="24"/>
        <v>1948.69</v>
      </c>
      <c r="N41" s="36">
        <f t="shared" si="24"/>
        <v>1948.69</v>
      </c>
      <c r="O41" s="36">
        <f t="shared" si="24"/>
        <v>1948.69</v>
      </c>
      <c r="P41" s="36">
        <f t="shared" si="24"/>
        <v>2948.69</v>
      </c>
      <c r="Q41" s="36">
        <f t="shared" si="24"/>
        <v>2948.69</v>
      </c>
      <c r="R41" s="36">
        <f t="shared" si="24"/>
        <v>2948.69</v>
      </c>
      <c r="S41" s="36">
        <f t="shared" si="24"/>
        <v>2948.69</v>
      </c>
      <c r="T41" s="36">
        <f t="shared" si="24"/>
        <v>2948.69</v>
      </c>
      <c r="U41" s="36">
        <f t="shared" si="24"/>
        <v>2948.69</v>
      </c>
      <c r="V41" s="36">
        <f t="shared" si="24"/>
        <v>2948.69</v>
      </c>
      <c r="W41" s="36">
        <f t="shared" si="24"/>
        <v>2948.69</v>
      </c>
      <c r="X41" s="36">
        <f t="shared" si="24"/>
        <v>2948.69</v>
      </c>
      <c r="Y41" s="36">
        <f t="shared" si="24"/>
        <v>2948.69</v>
      </c>
      <c r="Z41" s="36">
        <f t="shared" si="24"/>
        <v>2948.69</v>
      </c>
      <c r="AA41" s="36">
        <f t="shared" si="24"/>
        <v>2948.69</v>
      </c>
      <c r="AB41" s="36">
        <f t="shared" si="24"/>
        <v>3782.0233333333335</v>
      </c>
      <c r="AC41" s="36">
        <f t="shared" si="24"/>
        <v>3782.0233333333335</v>
      </c>
      <c r="AD41" s="36">
        <f t="shared" si="24"/>
        <v>3782.0233333333335</v>
      </c>
      <c r="AE41" s="36">
        <f t="shared" si="24"/>
        <v>3782.0233333333335</v>
      </c>
      <c r="AF41" s="36">
        <f t="shared" si="24"/>
        <v>3782.0233333333335</v>
      </c>
      <c r="AG41" s="36">
        <f t="shared" si="24"/>
        <v>3782.0233333333335</v>
      </c>
      <c r="AH41" s="36">
        <f t="shared" si="24"/>
        <v>3782.0233333333335</v>
      </c>
      <c r="AI41" s="36">
        <f t="shared" si="24"/>
        <v>3782.0233333333335</v>
      </c>
      <c r="AJ41" s="36">
        <f t="shared" ref="AJ41:BO41" si="25">AJ34+AJ37</f>
        <v>3782.0233333333335</v>
      </c>
      <c r="AK41" s="36">
        <f t="shared" si="25"/>
        <v>3782.0233333333335</v>
      </c>
      <c r="AL41" s="36">
        <f t="shared" si="25"/>
        <v>3782.0233333333335</v>
      </c>
      <c r="AM41" s="36">
        <f t="shared" si="25"/>
        <v>3782.0233333333335</v>
      </c>
      <c r="AN41" s="36">
        <f t="shared" si="25"/>
        <v>3782.0233333333335</v>
      </c>
      <c r="AO41" s="36">
        <f t="shared" si="25"/>
        <v>3782.0233333333335</v>
      </c>
      <c r="AP41" s="36">
        <f t="shared" si="25"/>
        <v>3782.0233333333335</v>
      </c>
      <c r="AQ41" s="36">
        <f t="shared" si="25"/>
        <v>3782.0233333333335</v>
      </c>
      <c r="AR41" s="36">
        <f t="shared" si="25"/>
        <v>3782.0233333333335</v>
      </c>
      <c r="AS41" s="36">
        <f t="shared" si="25"/>
        <v>3782.0233333333335</v>
      </c>
      <c r="AT41" s="36">
        <f t="shared" si="25"/>
        <v>3782.0233333333335</v>
      </c>
      <c r="AU41" s="36">
        <f t="shared" si="25"/>
        <v>3782.0233333333335</v>
      </c>
      <c r="AV41" s="36">
        <f t="shared" si="25"/>
        <v>3782.0233333333335</v>
      </c>
      <c r="AW41" s="36">
        <f t="shared" si="25"/>
        <v>3782.0233333333335</v>
      </c>
      <c r="AX41" s="36">
        <f t="shared" si="25"/>
        <v>3782.0233333333335</v>
      </c>
      <c r="AY41" s="36">
        <f t="shared" si="25"/>
        <v>3782.0233333333335</v>
      </c>
      <c r="AZ41" s="36">
        <f t="shared" si="25"/>
        <v>3782.0233333333335</v>
      </c>
      <c r="BA41" s="36">
        <f t="shared" si="25"/>
        <v>3782.0233333333335</v>
      </c>
      <c r="BB41" s="36">
        <f t="shared" si="25"/>
        <v>3782.0233333333335</v>
      </c>
      <c r="BC41" s="36">
        <f t="shared" si="25"/>
        <v>3782.0233333333335</v>
      </c>
      <c r="BD41" s="36">
        <f t="shared" si="25"/>
        <v>3782.0233333333335</v>
      </c>
      <c r="BE41" s="36">
        <f t="shared" si="25"/>
        <v>3782.0233333333335</v>
      </c>
      <c r="BF41" s="36">
        <f t="shared" si="25"/>
        <v>3782.0233333333335</v>
      </c>
      <c r="BG41" s="36">
        <f t="shared" si="25"/>
        <v>3782.0233333333335</v>
      </c>
      <c r="BH41" s="36">
        <f t="shared" si="25"/>
        <v>3782.0233333333335</v>
      </c>
      <c r="BI41" s="36">
        <f t="shared" si="25"/>
        <v>3782.0233333333335</v>
      </c>
      <c r="BJ41" s="36">
        <f t="shared" si="25"/>
        <v>3782.0233333333335</v>
      </c>
      <c r="BK41" s="36">
        <f t="shared" si="25"/>
        <v>3782.0233333333335</v>
      </c>
      <c r="BL41" s="36">
        <f t="shared" si="25"/>
        <v>3782.0233333333335</v>
      </c>
      <c r="BM41" s="36">
        <f t="shared" si="25"/>
        <v>3782.0233333333335</v>
      </c>
      <c r="BN41" s="36">
        <f t="shared" si="25"/>
        <v>3782.0233333333335</v>
      </c>
      <c r="BO41" s="36">
        <f t="shared" si="25"/>
        <v>3782.0233333333335</v>
      </c>
      <c r="BP41" s="36">
        <f t="shared" ref="BP41:CI41" si="26">BP34+BP37</f>
        <v>3782.0233333333335</v>
      </c>
      <c r="BQ41" s="36">
        <f t="shared" si="26"/>
        <v>3782.0233333333335</v>
      </c>
      <c r="BR41" s="36">
        <f t="shared" si="26"/>
        <v>3782.0233333333335</v>
      </c>
      <c r="BS41" s="36">
        <f t="shared" si="26"/>
        <v>3782.0233333333335</v>
      </c>
      <c r="BT41" s="36">
        <f t="shared" si="26"/>
        <v>3782.0233333333335</v>
      </c>
      <c r="BU41" s="36">
        <f t="shared" si="26"/>
        <v>3782.0233333333335</v>
      </c>
      <c r="BV41" s="36">
        <f t="shared" si="26"/>
        <v>3782.0233333333335</v>
      </c>
      <c r="BW41" s="36">
        <f t="shared" si="26"/>
        <v>3782.0233333333335</v>
      </c>
      <c r="BX41" s="36">
        <f t="shared" si="26"/>
        <v>3782.0233333333335</v>
      </c>
      <c r="BY41" s="36">
        <f t="shared" si="26"/>
        <v>3782.0233333333335</v>
      </c>
      <c r="BZ41" s="36">
        <f t="shared" si="26"/>
        <v>3782.0233333333335</v>
      </c>
      <c r="CA41" s="36">
        <f t="shared" si="26"/>
        <v>3782.0233333333335</v>
      </c>
      <c r="CB41" s="36">
        <f t="shared" si="26"/>
        <v>3782.0233333333335</v>
      </c>
      <c r="CC41" s="36">
        <f t="shared" si="26"/>
        <v>3782.0233333333335</v>
      </c>
      <c r="CD41" s="36">
        <f t="shared" si="26"/>
        <v>3782.0233333333335</v>
      </c>
      <c r="CE41" s="36">
        <f t="shared" si="26"/>
        <v>3782.0233333333335</v>
      </c>
      <c r="CF41" s="36">
        <f t="shared" si="26"/>
        <v>3782.0233333333335</v>
      </c>
      <c r="CG41" s="36">
        <f t="shared" si="26"/>
        <v>3782.0233333333335</v>
      </c>
      <c r="CH41" s="36">
        <f t="shared" si="26"/>
        <v>3782.0233333333335</v>
      </c>
      <c r="CI41" s="36">
        <f t="shared" si="26"/>
        <v>3782.0233333333335</v>
      </c>
    </row>
    <row r="43" spans="1:87" ht="16.5">
      <c r="A43" s="6" t="s">
        <v>582</v>
      </c>
      <c r="B43" s="30" t="s">
        <v>465</v>
      </c>
      <c r="C43" s="44">
        <f>'1_PANEL_CONTROL'!$C$42</f>
        <v>18000</v>
      </c>
      <c r="D43" s="33">
        <f>IF(D$8&gt;='1_PANEL_CONTROL'!$D$42, IF(D$8&lt;=12, 18000, IF(D$8&lt;=24, 30000, 40000))/'1_PANEL_CONTROL'!$C$32, 0)</f>
        <v>1500</v>
      </c>
      <c r="E43" s="33">
        <f>IF(E$8&gt;='1_PANEL_CONTROL'!$D$42, IF(E$8&lt;=12, 18000, IF(E$8&lt;=24, 30000, 40000))/'1_PANEL_CONTROL'!$C$32, 0)</f>
        <v>1500</v>
      </c>
      <c r="F43" s="33">
        <f>IF(F$8&gt;='1_PANEL_CONTROL'!$D$42, IF(F$8&lt;=12, 18000, IF(F$8&lt;=24, 30000, 40000))/'1_PANEL_CONTROL'!$C$32, 0)</f>
        <v>1500</v>
      </c>
      <c r="G43" s="33">
        <f>IF(G$8&gt;='1_PANEL_CONTROL'!$D$42, IF(G$8&lt;=12, 18000, IF(G$8&lt;=24, 30000, 40000))/'1_PANEL_CONTROL'!$C$32, 0)</f>
        <v>1500</v>
      </c>
      <c r="H43" s="33">
        <f>IF(H$8&gt;='1_PANEL_CONTROL'!$D$42, IF(H$8&lt;=12, 18000, IF(H$8&lt;=24, 30000, 40000))/'1_PANEL_CONTROL'!$C$32, 0)</f>
        <v>1500</v>
      </c>
      <c r="I43" s="33">
        <f>IF(I$8&gt;='1_PANEL_CONTROL'!$D$42, IF(I$8&lt;=12, 18000, IF(I$8&lt;=24, 30000, 40000))/'1_PANEL_CONTROL'!$C$32, 0)</f>
        <v>1500</v>
      </c>
      <c r="J43" s="33">
        <f>IF(J$8&gt;='1_PANEL_CONTROL'!$D$42, IF(J$8&lt;=12, 18000, IF(J$8&lt;=24, 30000, 40000))/'1_PANEL_CONTROL'!$C$32, 0)</f>
        <v>1500</v>
      </c>
      <c r="K43" s="33">
        <f>IF(K$8&gt;='1_PANEL_CONTROL'!$D$42, IF(K$8&lt;=12, 18000, IF(K$8&lt;=24, 30000, 40000))/'1_PANEL_CONTROL'!$C$32, 0)</f>
        <v>1500</v>
      </c>
      <c r="L43" s="33">
        <f>IF(L$8&gt;='1_PANEL_CONTROL'!$D$42, IF(L$8&lt;=12, 18000, IF(L$8&lt;=24, 30000, 40000))/'1_PANEL_CONTROL'!$C$32, 0)</f>
        <v>1500</v>
      </c>
      <c r="M43" s="33">
        <f>IF(M$8&gt;='1_PANEL_CONTROL'!$D$42, IF(M$8&lt;=12, 18000, IF(M$8&lt;=24, 30000, 40000))/'1_PANEL_CONTROL'!$C$32, 0)</f>
        <v>1500</v>
      </c>
      <c r="N43" s="33">
        <f>IF(N$8&gt;='1_PANEL_CONTROL'!$D$42, IF(N$8&lt;=12, 18000, IF(N$8&lt;=24, 30000, 40000))/'1_PANEL_CONTROL'!$C$32, 0)</f>
        <v>1500</v>
      </c>
      <c r="O43" s="33">
        <f>IF(O$8&gt;='1_PANEL_CONTROL'!$D$42, IF(O$8&lt;=12, 18000, IF(O$8&lt;=24, 30000, 40000))/'1_PANEL_CONTROL'!$C$32, 0)</f>
        <v>1500</v>
      </c>
      <c r="P43" s="33">
        <f>IF(P$8&gt;='1_PANEL_CONTROL'!$D$42, IF(P$8&lt;=12, 18000, IF(P$8&lt;=24, 30000, 40000))/'1_PANEL_CONTROL'!$C$32, 0)</f>
        <v>2500</v>
      </c>
      <c r="Q43" s="33">
        <f>IF(Q$8&gt;='1_PANEL_CONTROL'!$D$42, IF(Q$8&lt;=12, 18000, IF(Q$8&lt;=24, 30000, 40000))/'1_PANEL_CONTROL'!$C$32, 0)</f>
        <v>2500</v>
      </c>
      <c r="R43" s="33">
        <f>IF(R$8&gt;='1_PANEL_CONTROL'!$D$42, IF(R$8&lt;=12, 18000, IF(R$8&lt;=24, 30000, 40000))/'1_PANEL_CONTROL'!$C$32, 0)</f>
        <v>2500</v>
      </c>
      <c r="S43" s="33">
        <f>IF(S$8&gt;='1_PANEL_CONTROL'!$D$42, IF(S$8&lt;=12, 18000, IF(S$8&lt;=24, 30000, 40000))/'1_PANEL_CONTROL'!$C$32, 0)</f>
        <v>2500</v>
      </c>
      <c r="T43" s="33">
        <f>IF(T$8&gt;='1_PANEL_CONTROL'!$D$42, IF(T$8&lt;=12, 18000, IF(T$8&lt;=24, 30000, 40000))/'1_PANEL_CONTROL'!$C$32, 0)</f>
        <v>2500</v>
      </c>
      <c r="U43" s="33">
        <f>IF(U$8&gt;='1_PANEL_CONTROL'!$D$42, IF(U$8&lt;=12, 18000, IF(U$8&lt;=24, 30000, 40000))/'1_PANEL_CONTROL'!$C$32, 0)</f>
        <v>2500</v>
      </c>
      <c r="V43" s="33">
        <f>IF(V$8&gt;='1_PANEL_CONTROL'!$D$42, IF(V$8&lt;=12, 18000, IF(V$8&lt;=24, 30000, 40000))/'1_PANEL_CONTROL'!$C$32, 0)</f>
        <v>2500</v>
      </c>
      <c r="W43" s="33">
        <f>IF(W$8&gt;='1_PANEL_CONTROL'!$D$42, IF(W$8&lt;=12, 18000, IF(W$8&lt;=24, 30000, 40000))/'1_PANEL_CONTROL'!$C$32, 0)</f>
        <v>2500</v>
      </c>
      <c r="X43" s="33">
        <f>IF(X$8&gt;='1_PANEL_CONTROL'!$D$42, IF(X$8&lt;=12, 18000, IF(X$8&lt;=24, 30000, 40000))/'1_PANEL_CONTROL'!$C$32, 0)</f>
        <v>2500</v>
      </c>
      <c r="Y43" s="33">
        <f>IF(Y$8&gt;='1_PANEL_CONTROL'!$D$42, IF(Y$8&lt;=12, 18000, IF(Y$8&lt;=24, 30000, 40000))/'1_PANEL_CONTROL'!$C$32, 0)</f>
        <v>2500</v>
      </c>
      <c r="Z43" s="33">
        <f>IF(Z$8&gt;='1_PANEL_CONTROL'!$D$42, IF(Z$8&lt;=12, 18000, IF(Z$8&lt;=24, 30000, 40000))/'1_PANEL_CONTROL'!$C$32, 0)</f>
        <v>2500</v>
      </c>
      <c r="AA43" s="33">
        <f>IF(AA$8&gt;='1_PANEL_CONTROL'!$D$42, IF(AA$8&lt;=12, 18000, IF(AA$8&lt;=24, 30000, 40000))/'1_PANEL_CONTROL'!$C$32, 0)</f>
        <v>2500</v>
      </c>
      <c r="AB43" s="33">
        <f>IF(AB$8&gt;='1_PANEL_CONTROL'!$D$42, IF(AB$8&lt;=12, 18000, IF(AB$8&lt;=24, 30000, 40000))/'1_PANEL_CONTROL'!$C$32, 0)</f>
        <v>3333.3333333333335</v>
      </c>
      <c r="AC43" s="33">
        <f>IF(AC$8&gt;='1_PANEL_CONTROL'!$D$42, IF(AC$8&lt;=12, 18000, IF(AC$8&lt;=24, 30000, 40000))/'1_PANEL_CONTROL'!$C$32, 0)</f>
        <v>3333.3333333333335</v>
      </c>
      <c r="AD43" s="33">
        <f>IF(AD$8&gt;='1_PANEL_CONTROL'!$D$42, IF(AD$8&lt;=12, 18000, IF(AD$8&lt;=24, 30000, 40000))/'1_PANEL_CONTROL'!$C$32, 0)</f>
        <v>3333.3333333333335</v>
      </c>
      <c r="AE43" s="33">
        <f>IF(AE$8&gt;='1_PANEL_CONTROL'!$D$42, IF(AE$8&lt;=12, 18000, IF(AE$8&lt;=24, 30000, 40000))/'1_PANEL_CONTROL'!$C$32, 0)</f>
        <v>3333.3333333333335</v>
      </c>
      <c r="AF43" s="33">
        <f>IF(AF$8&gt;='1_PANEL_CONTROL'!$D$42, IF(AF$8&lt;=12, 18000, IF(AF$8&lt;=24, 30000, 40000))/'1_PANEL_CONTROL'!$C$32, 0)</f>
        <v>3333.3333333333335</v>
      </c>
      <c r="AG43" s="33">
        <f>IF(AG$8&gt;='1_PANEL_CONTROL'!$D$42, IF(AG$8&lt;=12, 18000, IF(AG$8&lt;=24, 30000, 40000))/'1_PANEL_CONTROL'!$C$32, 0)</f>
        <v>3333.3333333333335</v>
      </c>
      <c r="AH43" s="33">
        <f>IF(AH$8&gt;='1_PANEL_CONTROL'!$D$42, IF(AH$8&lt;=12, 18000, IF(AH$8&lt;=24, 30000, 40000))/'1_PANEL_CONTROL'!$C$32, 0)</f>
        <v>3333.3333333333335</v>
      </c>
      <c r="AI43" s="33">
        <f>IF(AI$8&gt;='1_PANEL_CONTROL'!$D$42, IF(AI$8&lt;=12, 18000, IF(AI$8&lt;=24, 30000, 40000))/'1_PANEL_CONTROL'!$C$32, 0)</f>
        <v>3333.3333333333335</v>
      </c>
      <c r="AJ43" s="33">
        <f>IF(AJ$8&gt;='1_PANEL_CONTROL'!$D$42, IF(AJ$8&lt;=12, 18000, IF(AJ$8&lt;=24, 30000, 40000))/'1_PANEL_CONTROL'!$C$32, 0)</f>
        <v>3333.3333333333335</v>
      </c>
      <c r="AK43" s="33">
        <f>IF(AK$8&gt;='1_PANEL_CONTROL'!$D$42, IF(AK$8&lt;=12, 18000, IF(AK$8&lt;=24, 30000, 40000))/'1_PANEL_CONTROL'!$C$32, 0)</f>
        <v>3333.3333333333335</v>
      </c>
      <c r="AL43" s="33">
        <f>IF(AL$8&gt;='1_PANEL_CONTROL'!$D$42, IF(AL$8&lt;=12, 18000, IF(AL$8&lt;=24, 30000, 40000))/'1_PANEL_CONTROL'!$C$32, 0)</f>
        <v>3333.3333333333335</v>
      </c>
      <c r="AM43" s="33">
        <f>IF(AM$8&gt;='1_PANEL_CONTROL'!$D$42, IF(AM$8&lt;=12, 18000, IF(AM$8&lt;=24, 30000, 40000))/'1_PANEL_CONTROL'!$C$32, 0)</f>
        <v>3333.3333333333335</v>
      </c>
      <c r="AN43" s="33">
        <f>IF(AN$8&gt;='1_PANEL_CONTROL'!$D$42, IF(AN$8&lt;=12, 18000, IF(AN$8&lt;=24, 30000, 40000))/'1_PANEL_CONTROL'!$C$32, 0)</f>
        <v>3333.3333333333335</v>
      </c>
      <c r="AO43" s="33">
        <f>IF(AO$8&gt;='1_PANEL_CONTROL'!$D$42, IF(AO$8&lt;=12, 18000, IF(AO$8&lt;=24, 30000, 40000))/'1_PANEL_CONTROL'!$C$32, 0)</f>
        <v>3333.3333333333335</v>
      </c>
      <c r="AP43" s="33">
        <f>IF(AP$8&gt;='1_PANEL_CONTROL'!$D$42, IF(AP$8&lt;=12, 18000, IF(AP$8&lt;=24, 30000, 40000))/'1_PANEL_CONTROL'!$C$32, 0)</f>
        <v>3333.3333333333335</v>
      </c>
      <c r="AQ43" s="33">
        <f>IF(AQ$8&gt;='1_PANEL_CONTROL'!$D$42, IF(AQ$8&lt;=12, 18000, IF(AQ$8&lt;=24, 30000, 40000))/'1_PANEL_CONTROL'!$C$32, 0)</f>
        <v>3333.3333333333335</v>
      </c>
      <c r="AR43" s="33">
        <f>IF(AR$8&gt;='1_PANEL_CONTROL'!$D$42, IF(AR$8&lt;=12, 18000, IF(AR$8&lt;=24, 30000, 40000))/'1_PANEL_CONTROL'!$C$32, 0)</f>
        <v>3333.3333333333335</v>
      </c>
      <c r="AS43" s="33">
        <f>IF(AS$8&gt;='1_PANEL_CONTROL'!$D$42, IF(AS$8&lt;=12, 18000, IF(AS$8&lt;=24, 30000, 40000))/'1_PANEL_CONTROL'!$C$32, 0)</f>
        <v>3333.3333333333335</v>
      </c>
      <c r="AT43" s="33">
        <f>IF(AT$8&gt;='1_PANEL_CONTROL'!$D$42, IF(AT$8&lt;=12, 18000, IF(AT$8&lt;=24, 30000, 40000))/'1_PANEL_CONTROL'!$C$32, 0)</f>
        <v>3333.3333333333335</v>
      </c>
      <c r="AU43" s="33">
        <f>IF(AU$8&gt;='1_PANEL_CONTROL'!$D$42, IF(AU$8&lt;=12, 18000, IF(AU$8&lt;=24, 30000, 40000))/'1_PANEL_CONTROL'!$C$32, 0)</f>
        <v>3333.3333333333335</v>
      </c>
      <c r="AV43" s="33">
        <f>IF(AV$8&gt;='1_PANEL_CONTROL'!$D$42, IF(AV$8&lt;=12, 18000, IF(AV$8&lt;=24, 30000, 40000))/'1_PANEL_CONTROL'!$C$32, 0)</f>
        <v>3333.3333333333335</v>
      </c>
      <c r="AW43" s="33">
        <f>IF(AW$8&gt;='1_PANEL_CONTROL'!$D$42, IF(AW$8&lt;=12, 18000, IF(AW$8&lt;=24, 30000, 40000))/'1_PANEL_CONTROL'!$C$32, 0)</f>
        <v>3333.3333333333335</v>
      </c>
      <c r="AX43" s="33">
        <f>IF(AX$8&gt;='1_PANEL_CONTROL'!$D$42, IF(AX$8&lt;=12, 18000, IF(AX$8&lt;=24, 30000, 40000))/'1_PANEL_CONTROL'!$C$32, 0)</f>
        <v>3333.3333333333335</v>
      </c>
      <c r="AY43" s="33">
        <f>IF(AY$8&gt;='1_PANEL_CONTROL'!$D$42, IF(AY$8&lt;=12, 18000, IF(AY$8&lt;=24, 30000, 40000))/'1_PANEL_CONTROL'!$C$32, 0)</f>
        <v>3333.3333333333335</v>
      </c>
      <c r="AZ43" s="33">
        <f>IF(AZ$8&gt;='1_PANEL_CONTROL'!$D$42, IF(AZ$8&lt;=12, 18000, IF(AZ$8&lt;=24, 30000, 40000))/'1_PANEL_CONTROL'!$C$32, 0)</f>
        <v>3333.3333333333335</v>
      </c>
      <c r="BA43" s="33">
        <f>IF(BA$8&gt;='1_PANEL_CONTROL'!$D$42, IF(BA$8&lt;=12, 18000, IF(BA$8&lt;=24, 30000, 40000))/'1_PANEL_CONTROL'!$C$32, 0)</f>
        <v>3333.3333333333335</v>
      </c>
      <c r="BB43" s="33">
        <f>IF(BB$8&gt;='1_PANEL_CONTROL'!$D$42, IF(BB$8&lt;=12, 18000, IF(BB$8&lt;=24, 30000, 40000))/'1_PANEL_CONTROL'!$C$32, 0)</f>
        <v>3333.3333333333335</v>
      </c>
      <c r="BC43" s="33">
        <f>IF(BC$8&gt;='1_PANEL_CONTROL'!$D$42, IF(BC$8&lt;=12, 18000, IF(BC$8&lt;=24, 30000, 40000))/'1_PANEL_CONTROL'!$C$32, 0)</f>
        <v>3333.3333333333335</v>
      </c>
      <c r="BD43" s="33">
        <f>IF(BD$8&gt;='1_PANEL_CONTROL'!$D$42, IF(BD$8&lt;=12, 18000, IF(BD$8&lt;=24, 30000, 40000))/'1_PANEL_CONTROL'!$C$32, 0)</f>
        <v>3333.3333333333335</v>
      </c>
      <c r="BE43" s="33">
        <f>IF(BE$8&gt;='1_PANEL_CONTROL'!$D$42, IF(BE$8&lt;=12, 18000, IF(BE$8&lt;=24, 30000, 40000))/'1_PANEL_CONTROL'!$C$32, 0)</f>
        <v>3333.3333333333335</v>
      </c>
      <c r="BF43" s="33">
        <f>IF(BF$8&gt;='1_PANEL_CONTROL'!$D$42, IF(BF$8&lt;=12, 18000, IF(BF$8&lt;=24, 30000, 40000))/'1_PANEL_CONTROL'!$C$32, 0)</f>
        <v>3333.3333333333335</v>
      </c>
      <c r="BG43" s="33">
        <f>IF(BG$8&gt;='1_PANEL_CONTROL'!$D$42, IF(BG$8&lt;=12, 18000, IF(BG$8&lt;=24, 30000, 40000))/'1_PANEL_CONTROL'!$C$32, 0)</f>
        <v>3333.3333333333335</v>
      </c>
      <c r="BH43" s="33">
        <f>IF(BH$8&gt;='1_PANEL_CONTROL'!$D$42, IF(BH$8&lt;=12, 18000, IF(BH$8&lt;=24, 30000, 40000))/'1_PANEL_CONTROL'!$C$32, 0)</f>
        <v>3333.3333333333335</v>
      </c>
      <c r="BI43" s="33">
        <f>IF(BI$8&gt;='1_PANEL_CONTROL'!$D$42, IF(BI$8&lt;=12, 18000, IF(BI$8&lt;=24, 30000, 40000))/'1_PANEL_CONTROL'!$C$32, 0)</f>
        <v>3333.3333333333335</v>
      </c>
      <c r="BJ43" s="33">
        <f>IF(BJ$8&gt;='1_PANEL_CONTROL'!$D$42, IF(BJ$8&lt;=12, 18000, IF(BJ$8&lt;=24, 30000, 40000))/'1_PANEL_CONTROL'!$C$32, 0)</f>
        <v>3333.3333333333335</v>
      </c>
      <c r="BK43" s="33">
        <f>IF(BK$8&gt;='1_PANEL_CONTROL'!$D$42, IF(BK$8&lt;=12, 18000, IF(BK$8&lt;=24, 30000, 40000))/'1_PANEL_CONTROL'!$C$32, 0)</f>
        <v>3333.3333333333335</v>
      </c>
      <c r="BL43" s="33">
        <f>IF(BL$8&gt;='1_PANEL_CONTROL'!$D$42, IF(BL$8&lt;=12, 18000, IF(BL$8&lt;=24, 30000, 40000))/'1_PANEL_CONTROL'!$C$32, 0)</f>
        <v>3333.3333333333335</v>
      </c>
      <c r="BM43" s="33">
        <f>IF(BM$8&gt;='1_PANEL_CONTROL'!$D$42, IF(BM$8&lt;=12, 18000, IF(BM$8&lt;=24, 30000, 40000))/'1_PANEL_CONTROL'!$C$32, 0)</f>
        <v>3333.3333333333335</v>
      </c>
      <c r="BN43" s="33">
        <f>IF(BN$8&gt;='1_PANEL_CONTROL'!$D$42, IF(BN$8&lt;=12, 18000, IF(BN$8&lt;=24, 30000, 40000))/'1_PANEL_CONTROL'!$C$32, 0)</f>
        <v>3333.3333333333335</v>
      </c>
      <c r="BO43" s="33">
        <f>IF(BO$8&gt;='1_PANEL_CONTROL'!$D$42, IF(BO$8&lt;=12, 18000, IF(BO$8&lt;=24, 30000, 40000))/'1_PANEL_CONTROL'!$C$32, 0)</f>
        <v>3333.3333333333335</v>
      </c>
      <c r="BP43" s="33">
        <f>IF(BP$8&gt;='1_PANEL_CONTROL'!$D$42, IF(BP$8&lt;=12, 18000, IF(BP$8&lt;=24, 30000, 40000))/'1_PANEL_CONTROL'!$C$32, 0)</f>
        <v>3333.3333333333335</v>
      </c>
      <c r="BQ43" s="33">
        <f>IF(BQ$8&gt;='1_PANEL_CONTROL'!$D$42, IF(BQ$8&lt;=12, 18000, IF(BQ$8&lt;=24, 30000, 40000))/'1_PANEL_CONTROL'!$C$32, 0)</f>
        <v>3333.3333333333335</v>
      </c>
      <c r="BR43" s="33">
        <f>IF(BR$8&gt;='1_PANEL_CONTROL'!$D$42, IF(BR$8&lt;=12, 18000, IF(BR$8&lt;=24, 30000, 40000))/'1_PANEL_CONTROL'!$C$32, 0)</f>
        <v>3333.3333333333335</v>
      </c>
      <c r="BS43" s="33">
        <f>IF(BS$8&gt;='1_PANEL_CONTROL'!$D$42, IF(BS$8&lt;=12, 18000, IF(BS$8&lt;=24, 30000, 40000))/'1_PANEL_CONTROL'!$C$32, 0)</f>
        <v>3333.3333333333335</v>
      </c>
      <c r="BT43" s="33">
        <f>IF(BT$8&gt;='1_PANEL_CONTROL'!$D$42, IF(BT$8&lt;=12, 18000, IF(BT$8&lt;=24, 30000, 40000))/'1_PANEL_CONTROL'!$C$32, 0)</f>
        <v>3333.3333333333335</v>
      </c>
      <c r="BU43" s="33">
        <f>IF(BU$8&gt;='1_PANEL_CONTROL'!$D$42, IF(BU$8&lt;=12, 18000, IF(BU$8&lt;=24, 30000, 40000))/'1_PANEL_CONTROL'!$C$32, 0)</f>
        <v>3333.3333333333335</v>
      </c>
      <c r="BV43" s="33">
        <f>IF(BV$8&gt;='1_PANEL_CONTROL'!$D$42, IF(BV$8&lt;=12, 18000, IF(BV$8&lt;=24, 30000, 40000))/'1_PANEL_CONTROL'!$C$32, 0)</f>
        <v>3333.3333333333335</v>
      </c>
      <c r="BW43" s="33">
        <f>IF(BW$8&gt;='1_PANEL_CONTROL'!$D$42, IF(BW$8&lt;=12, 18000, IF(BW$8&lt;=24, 30000, 40000))/'1_PANEL_CONTROL'!$C$32, 0)</f>
        <v>3333.3333333333335</v>
      </c>
      <c r="BX43" s="33">
        <f>IF(BX$8&gt;='1_PANEL_CONTROL'!$D$42, IF(BX$8&lt;=12, 18000, IF(BX$8&lt;=24, 30000, 40000))/'1_PANEL_CONTROL'!$C$32, 0)</f>
        <v>3333.3333333333335</v>
      </c>
      <c r="BY43" s="33">
        <f>IF(BY$8&gt;='1_PANEL_CONTROL'!$D$42, IF(BY$8&lt;=12, 18000, IF(BY$8&lt;=24, 30000, 40000))/'1_PANEL_CONTROL'!$C$32, 0)</f>
        <v>3333.3333333333335</v>
      </c>
      <c r="BZ43" s="33">
        <f>IF(BZ$8&gt;='1_PANEL_CONTROL'!$D$42, IF(BZ$8&lt;=12, 18000, IF(BZ$8&lt;=24, 30000, 40000))/'1_PANEL_CONTROL'!$C$32, 0)</f>
        <v>3333.3333333333335</v>
      </c>
      <c r="CA43" s="33">
        <f>IF(CA$8&gt;='1_PANEL_CONTROL'!$D$42, IF(CA$8&lt;=12, 18000, IF(CA$8&lt;=24, 30000, 40000))/'1_PANEL_CONTROL'!$C$32, 0)</f>
        <v>3333.3333333333335</v>
      </c>
      <c r="CB43" s="33">
        <f>IF(CB$8&gt;='1_PANEL_CONTROL'!$D$42, IF(CB$8&lt;=12, 18000, IF(CB$8&lt;=24, 30000, 40000))/'1_PANEL_CONTROL'!$C$32, 0)</f>
        <v>3333.3333333333335</v>
      </c>
      <c r="CC43" s="33">
        <f>IF(CC$8&gt;='1_PANEL_CONTROL'!$D$42, IF(CC$8&lt;=12, 18000, IF(CC$8&lt;=24, 30000, 40000))/'1_PANEL_CONTROL'!$C$32, 0)</f>
        <v>3333.3333333333335</v>
      </c>
      <c r="CD43" s="33">
        <f>IF(CD$8&gt;='1_PANEL_CONTROL'!$D$42, IF(CD$8&lt;=12, 18000, IF(CD$8&lt;=24, 30000, 40000))/'1_PANEL_CONTROL'!$C$32, 0)</f>
        <v>3333.3333333333335</v>
      </c>
      <c r="CE43" s="33">
        <f>IF(CE$8&gt;='1_PANEL_CONTROL'!$D$42, IF(CE$8&lt;=12, 18000, IF(CE$8&lt;=24, 30000, 40000))/'1_PANEL_CONTROL'!$C$32, 0)</f>
        <v>3333.3333333333335</v>
      </c>
      <c r="CF43" s="33">
        <f>IF(CF$8&gt;='1_PANEL_CONTROL'!$D$42, IF(CF$8&lt;=12, 18000, IF(CF$8&lt;=24, 30000, 40000))/'1_PANEL_CONTROL'!$C$32, 0)</f>
        <v>3333.3333333333335</v>
      </c>
      <c r="CG43" s="33">
        <f>IF(CG$8&gt;='1_PANEL_CONTROL'!$D$42, IF(CG$8&lt;=12, 18000, IF(CG$8&lt;=24, 30000, 40000))/'1_PANEL_CONTROL'!$C$32, 0)</f>
        <v>3333.3333333333335</v>
      </c>
      <c r="CH43" s="33">
        <f>IF(CH$8&gt;='1_PANEL_CONTROL'!$D$42, IF(CH$8&lt;=12, 18000, IF(CH$8&lt;=24, 30000, 40000))/'1_PANEL_CONTROL'!$C$32, 0)</f>
        <v>3333.3333333333335</v>
      </c>
      <c r="CI43" s="33">
        <f>IF(CI$8&gt;='1_PANEL_CONTROL'!$D$42, IF(CI$8&lt;=12, 18000, IF(CI$8&lt;=24, 30000, 40000))/'1_PANEL_CONTROL'!$C$32, 0)</f>
        <v>3333.3333333333335</v>
      </c>
    </row>
    <row r="44" spans="1:87" ht="16">
      <c r="A44" s="6" t="s">
        <v>583</v>
      </c>
      <c r="B44" s="30" t="s">
        <v>465</v>
      </c>
      <c r="C44" s="15"/>
      <c r="D44" s="33">
        <f>IF(D$8&gt;='1_PANEL_CONTROL'!$D$42, IF('1_PANEL_CONTROL'!$C$32=14, IF(OR(MOD(D$8,12)=6, MOD(D$8,12)=0), IF(D$8&lt;=12, 18000, IF(D$8&lt;=24, 30000, 40000))/14, 0), 0), 0)</f>
        <v>0</v>
      </c>
      <c r="E44" s="33">
        <f>IF(E$8&gt;='1_PANEL_CONTROL'!$D$42, IF('1_PANEL_CONTROL'!$C$32=14, IF(OR(MOD(E$8,12)=6, MOD(E$8,12)=0), IF(E$8&lt;=12, 18000, IF(E$8&lt;=24, 30000, 40000))/14, 0), 0), 0)</f>
        <v>0</v>
      </c>
      <c r="F44" s="33">
        <f>IF(F$8&gt;='1_PANEL_CONTROL'!$D$42, IF('1_PANEL_CONTROL'!$C$32=14, IF(OR(MOD(F$8,12)=6, MOD(F$8,12)=0), IF(F$8&lt;=12, 18000, IF(F$8&lt;=24, 30000, 40000))/14, 0), 0), 0)</f>
        <v>0</v>
      </c>
      <c r="G44" s="33">
        <f>IF(G$8&gt;='1_PANEL_CONTROL'!$D$42, IF('1_PANEL_CONTROL'!$C$32=14, IF(OR(MOD(G$8,12)=6, MOD(G$8,12)=0), IF(G$8&lt;=12, 18000, IF(G$8&lt;=24, 30000, 40000))/14, 0), 0), 0)</f>
        <v>0</v>
      </c>
      <c r="H44" s="33">
        <f>IF(H$8&gt;='1_PANEL_CONTROL'!$D$42, IF('1_PANEL_CONTROL'!$C$32=14, IF(OR(MOD(H$8,12)=6, MOD(H$8,12)=0), IF(H$8&lt;=12, 18000, IF(H$8&lt;=24, 30000, 40000))/14, 0), 0), 0)</f>
        <v>0</v>
      </c>
      <c r="I44" s="33">
        <f>IF(I$8&gt;='1_PANEL_CONTROL'!$D$42, IF('1_PANEL_CONTROL'!$C$32=14, IF(OR(MOD(I$8,12)=6, MOD(I$8,12)=0), IF(I$8&lt;=12, 18000, IF(I$8&lt;=24, 30000, 40000))/14, 0), 0), 0)</f>
        <v>0</v>
      </c>
      <c r="J44" s="33">
        <f>IF(J$8&gt;='1_PANEL_CONTROL'!$D$42, IF('1_PANEL_CONTROL'!$C$32=14, IF(OR(MOD(J$8,12)=6, MOD(J$8,12)=0), IF(J$8&lt;=12, 18000, IF(J$8&lt;=24, 30000, 40000))/14, 0), 0), 0)</f>
        <v>0</v>
      </c>
      <c r="K44" s="33">
        <f>IF(K$8&gt;='1_PANEL_CONTROL'!$D$42, IF('1_PANEL_CONTROL'!$C$32=14, IF(OR(MOD(K$8,12)=6, MOD(K$8,12)=0), IF(K$8&lt;=12, 18000, IF(K$8&lt;=24, 30000, 40000))/14, 0), 0), 0)</f>
        <v>0</v>
      </c>
      <c r="L44" s="33">
        <f>IF(L$8&gt;='1_PANEL_CONTROL'!$D$42, IF('1_PANEL_CONTROL'!$C$32=14, IF(OR(MOD(L$8,12)=6, MOD(L$8,12)=0), IF(L$8&lt;=12, 18000, IF(L$8&lt;=24, 30000, 40000))/14, 0), 0), 0)</f>
        <v>0</v>
      </c>
      <c r="M44" s="33">
        <f>IF(M$8&gt;='1_PANEL_CONTROL'!$D$42, IF('1_PANEL_CONTROL'!$C$32=14, IF(OR(MOD(M$8,12)=6, MOD(M$8,12)=0), IF(M$8&lt;=12, 18000, IF(M$8&lt;=24, 30000, 40000))/14, 0), 0), 0)</f>
        <v>0</v>
      </c>
      <c r="N44" s="33">
        <f>IF(N$8&gt;='1_PANEL_CONTROL'!$D$42, IF('1_PANEL_CONTROL'!$C$32=14, IF(OR(MOD(N$8,12)=6, MOD(N$8,12)=0), IF(N$8&lt;=12, 18000, IF(N$8&lt;=24, 30000, 40000))/14, 0), 0), 0)</f>
        <v>0</v>
      </c>
      <c r="O44" s="33">
        <f>IF(O$8&gt;='1_PANEL_CONTROL'!$D$42, IF('1_PANEL_CONTROL'!$C$32=14, IF(OR(MOD(O$8,12)=6, MOD(O$8,12)=0), IF(O$8&lt;=12, 18000, IF(O$8&lt;=24, 30000, 40000))/14, 0), 0), 0)</f>
        <v>0</v>
      </c>
      <c r="P44" s="33">
        <f>IF(P$8&gt;='1_PANEL_CONTROL'!$D$42, IF('1_PANEL_CONTROL'!$C$32=14, IF(OR(MOD(P$8,12)=6, MOD(P$8,12)=0), IF(P$8&lt;=12, 18000, IF(P$8&lt;=24, 30000, 40000))/14, 0), 0), 0)</f>
        <v>0</v>
      </c>
      <c r="Q44" s="33">
        <f>IF(Q$8&gt;='1_PANEL_CONTROL'!$D$42, IF('1_PANEL_CONTROL'!$C$32=14, IF(OR(MOD(Q$8,12)=6, MOD(Q$8,12)=0), IF(Q$8&lt;=12, 18000, IF(Q$8&lt;=24, 30000, 40000))/14, 0), 0), 0)</f>
        <v>0</v>
      </c>
      <c r="R44" s="33">
        <f>IF(R$8&gt;='1_PANEL_CONTROL'!$D$42, IF('1_PANEL_CONTROL'!$C$32=14, IF(OR(MOD(R$8,12)=6, MOD(R$8,12)=0), IF(R$8&lt;=12, 18000, IF(R$8&lt;=24, 30000, 40000))/14, 0), 0), 0)</f>
        <v>0</v>
      </c>
      <c r="S44" s="33">
        <f>IF(S$8&gt;='1_PANEL_CONTROL'!$D$42, IF('1_PANEL_CONTROL'!$C$32=14, IF(OR(MOD(S$8,12)=6, MOD(S$8,12)=0), IF(S$8&lt;=12, 18000, IF(S$8&lt;=24, 30000, 40000))/14, 0), 0), 0)</f>
        <v>0</v>
      </c>
      <c r="T44" s="33">
        <f>IF(T$8&gt;='1_PANEL_CONTROL'!$D$42, IF('1_PANEL_CONTROL'!$C$32=14, IF(OR(MOD(T$8,12)=6, MOD(T$8,12)=0), IF(T$8&lt;=12, 18000, IF(T$8&lt;=24, 30000, 40000))/14, 0), 0), 0)</f>
        <v>0</v>
      </c>
      <c r="U44" s="33">
        <f>IF(U$8&gt;='1_PANEL_CONTROL'!$D$42, IF('1_PANEL_CONTROL'!$C$32=14, IF(OR(MOD(U$8,12)=6, MOD(U$8,12)=0), IF(U$8&lt;=12, 18000, IF(U$8&lt;=24, 30000, 40000))/14, 0), 0), 0)</f>
        <v>0</v>
      </c>
      <c r="V44" s="33">
        <f>IF(V$8&gt;='1_PANEL_CONTROL'!$D$42, IF('1_PANEL_CONTROL'!$C$32=14, IF(OR(MOD(V$8,12)=6, MOD(V$8,12)=0), IF(V$8&lt;=12, 18000, IF(V$8&lt;=24, 30000, 40000))/14, 0), 0), 0)</f>
        <v>0</v>
      </c>
      <c r="W44" s="33">
        <f>IF(W$8&gt;='1_PANEL_CONTROL'!$D$42, IF('1_PANEL_CONTROL'!$C$32=14, IF(OR(MOD(W$8,12)=6, MOD(W$8,12)=0), IF(W$8&lt;=12, 18000, IF(W$8&lt;=24, 30000, 40000))/14, 0), 0), 0)</f>
        <v>0</v>
      </c>
      <c r="X44" s="33">
        <f>IF(X$8&gt;='1_PANEL_CONTROL'!$D$42, IF('1_PANEL_CONTROL'!$C$32=14, IF(OR(MOD(X$8,12)=6, MOD(X$8,12)=0), IF(X$8&lt;=12, 18000, IF(X$8&lt;=24, 30000, 40000))/14, 0), 0), 0)</f>
        <v>0</v>
      </c>
      <c r="Y44" s="33">
        <f>IF(Y$8&gt;='1_PANEL_CONTROL'!$D$42, IF('1_PANEL_CONTROL'!$C$32=14, IF(OR(MOD(Y$8,12)=6, MOD(Y$8,12)=0), IF(Y$8&lt;=12, 18000, IF(Y$8&lt;=24, 30000, 40000))/14, 0), 0), 0)</f>
        <v>0</v>
      </c>
      <c r="Z44" s="33">
        <f>IF(Z$8&gt;='1_PANEL_CONTROL'!$D$42, IF('1_PANEL_CONTROL'!$C$32=14, IF(OR(MOD(Z$8,12)=6, MOD(Z$8,12)=0), IF(Z$8&lt;=12, 18000, IF(Z$8&lt;=24, 30000, 40000))/14, 0), 0), 0)</f>
        <v>0</v>
      </c>
      <c r="AA44" s="33">
        <f>IF(AA$8&gt;='1_PANEL_CONTROL'!$D$42, IF('1_PANEL_CONTROL'!$C$32=14, IF(OR(MOD(AA$8,12)=6, MOD(AA$8,12)=0), IF(AA$8&lt;=12, 18000, IF(AA$8&lt;=24, 30000, 40000))/14, 0), 0), 0)</f>
        <v>0</v>
      </c>
      <c r="AB44" s="33">
        <f>IF(AB$8&gt;='1_PANEL_CONTROL'!$D$42, IF('1_PANEL_CONTROL'!$C$32=14, IF(OR(MOD(AB$8,12)=6, MOD(AB$8,12)=0), IF(AB$8&lt;=12, 18000, IF(AB$8&lt;=24, 30000, 40000))/14, 0), 0), 0)</f>
        <v>0</v>
      </c>
      <c r="AC44" s="33">
        <f>IF(AC$8&gt;='1_PANEL_CONTROL'!$D$42, IF('1_PANEL_CONTROL'!$C$32=14, IF(OR(MOD(AC$8,12)=6, MOD(AC$8,12)=0), IF(AC$8&lt;=12, 18000, IF(AC$8&lt;=24, 30000, 40000))/14, 0), 0), 0)</f>
        <v>0</v>
      </c>
      <c r="AD44" s="33">
        <f>IF(AD$8&gt;='1_PANEL_CONTROL'!$D$42, IF('1_PANEL_CONTROL'!$C$32=14, IF(OR(MOD(AD$8,12)=6, MOD(AD$8,12)=0), IF(AD$8&lt;=12, 18000, IF(AD$8&lt;=24, 30000, 40000))/14, 0), 0), 0)</f>
        <v>0</v>
      </c>
      <c r="AE44" s="33">
        <f>IF(AE$8&gt;='1_PANEL_CONTROL'!$D$42, IF('1_PANEL_CONTROL'!$C$32=14, IF(OR(MOD(AE$8,12)=6, MOD(AE$8,12)=0), IF(AE$8&lt;=12, 18000, IF(AE$8&lt;=24, 30000, 40000))/14, 0), 0), 0)</f>
        <v>0</v>
      </c>
      <c r="AF44" s="33">
        <f>IF(AF$8&gt;='1_PANEL_CONTROL'!$D$42, IF('1_PANEL_CONTROL'!$C$32=14, IF(OR(MOD(AF$8,12)=6, MOD(AF$8,12)=0), IF(AF$8&lt;=12, 18000, IF(AF$8&lt;=24, 30000, 40000))/14, 0), 0), 0)</f>
        <v>0</v>
      </c>
      <c r="AG44" s="33">
        <f>IF(AG$8&gt;='1_PANEL_CONTROL'!$D$42, IF('1_PANEL_CONTROL'!$C$32=14, IF(OR(MOD(AG$8,12)=6, MOD(AG$8,12)=0), IF(AG$8&lt;=12, 18000, IF(AG$8&lt;=24, 30000, 40000))/14, 0), 0), 0)</f>
        <v>0</v>
      </c>
      <c r="AH44" s="33">
        <f>IF(AH$8&gt;='1_PANEL_CONTROL'!$D$42, IF('1_PANEL_CONTROL'!$C$32=14, IF(OR(MOD(AH$8,12)=6, MOD(AH$8,12)=0), IF(AH$8&lt;=12, 18000, IF(AH$8&lt;=24, 30000, 40000))/14, 0), 0), 0)</f>
        <v>0</v>
      </c>
      <c r="AI44" s="33">
        <f>IF(AI$8&gt;='1_PANEL_CONTROL'!$D$42, IF('1_PANEL_CONTROL'!$C$32=14, IF(OR(MOD(AI$8,12)=6, MOD(AI$8,12)=0), IF(AI$8&lt;=12, 18000, IF(AI$8&lt;=24, 30000, 40000))/14, 0), 0), 0)</f>
        <v>0</v>
      </c>
      <c r="AJ44" s="33">
        <f>IF(AJ$8&gt;='1_PANEL_CONTROL'!$D$42, IF('1_PANEL_CONTROL'!$C$32=14, IF(OR(MOD(AJ$8,12)=6, MOD(AJ$8,12)=0), IF(AJ$8&lt;=12, 18000, IF(AJ$8&lt;=24, 30000, 40000))/14, 0), 0), 0)</f>
        <v>0</v>
      </c>
      <c r="AK44" s="33">
        <f>IF(AK$8&gt;='1_PANEL_CONTROL'!$D$42, IF('1_PANEL_CONTROL'!$C$32=14, IF(OR(MOD(AK$8,12)=6, MOD(AK$8,12)=0), IF(AK$8&lt;=12, 18000, IF(AK$8&lt;=24, 30000, 40000))/14, 0), 0), 0)</f>
        <v>0</v>
      </c>
      <c r="AL44" s="33">
        <f>IF(AL$8&gt;='1_PANEL_CONTROL'!$D$42, IF('1_PANEL_CONTROL'!$C$32=14, IF(OR(MOD(AL$8,12)=6, MOD(AL$8,12)=0), IF(AL$8&lt;=12, 18000, IF(AL$8&lt;=24, 30000, 40000))/14, 0), 0), 0)</f>
        <v>0</v>
      </c>
      <c r="AM44" s="33">
        <f>IF(AM$8&gt;='1_PANEL_CONTROL'!$D$42, IF('1_PANEL_CONTROL'!$C$32=14, IF(OR(MOD(AM$8,12)=6, MOD(AM$8,12)=0), IF(AM$8&lt;=12, 18000, IF(AM$8&lt;=24, 30000, 40000))/14, 0), 0), 0)</f>
        <v>0</v>
      </c>
      <c r="AN44" s="33">
        <f>IF(AN$8&gt;='1_PANEL_CONTROL'!$D$42, IF('1_PANEL_CONTROL'!$C$32=14, IF(OR(MOD(AN$8,12)=6, MOD(AN$8,12)=0), IF(AN$8&lt;=12, 18000, IF(AN$8&lt;=24, 30000, 40000))/14, 0), 0), 0)</f>
        <v>0</v>
      </c>
      <c r="AO44" s="33">
        <f>IF(AO$8&gt;='1_PANEL_CONTROL'!$D$42, IF('1_PANEL_CONTROL'!$C$32=14, IF(OR(MOD(AO$8,12)=6, MOD(AO$8,12)=0), IF(AO$8&lt;=12, 18000, IF(AO$8&lt;=24, 30000, 40000))/14, 0), 0), 0)</f>
        <v>0</v>
      </c>
      <c r="AP44" s="33">
        <f>IF(AP$8&gt;='1_PANEL_CONTROL'!$D$42, IF('1_PANEL_CONTROL'!$C$32=14, IF(OR(MOD(AP$8,12)=6, MOD(AP$8,12)=0), IF(AP$8&lt;=12, 18000, IF(AP$8&lt;=24, 30000, 40000))/14, 0), 0), 0)</f>
        <v>0</v>
      </c>
      <c r="AQ44" s="33">
        <f>IF(AQ$8&gt;='1_PANEL_CONTROL'!$D$42, IF('1_PANEL_CONTROL'!$C$32=14, IF(OR(MOD(AQ$8,12)=6, MOD(AQ$8,12)=0), IF(AQ$8&lt;=12, 18000, IF(AQ$8&lt;=24, 30000, 40000))/14, 0), 0), 0)</f>
        <v>0</v>
      </c>
      <c r="AR44" s="33">
        <f>IF(AR$8&gt;='1_PANEL_CONTROL'!$D$42, IF('1_PANEL_CONTROL'!$C$32=14, IF(OR(MOD(AR$8,12)=6, MOD(AR$8,12)=0), IF(AR$8&lt;=12, 18000, IF(AR$8&lt;=24, 30000, 40000))/14, 0), 0), 0)</f>
        <v>0</v>
      </c>
      <c r="AS44" s="33">
        <f>IF(AS$8&gt;='1_PANEL_CONTROL'!$D$42, IF('1_PANEL_CONTROL'!$C$32=14, IF(OR(MOD(AS$8,12)=6, MOD(AS$8,12)=0), IF(AS$8&lt;=12, 18000, IF(AS$8&lt;=24, 30000, 40000))/14, 0), 0), 0)</f>
        <v>0</v>
      </c>
      <c r="AT44" s="33">
        <f>IF(AT$8&gt;='1_PANEL_CONTROL'!$D$42, IF('1_PANEL_CONTROL'!$C$32=14, IF(OR(MOD(AT$8,12)=6, MOD(AT$8,12)=0), IF(AT$8&lt;=12, 18000, IF(AT$8&lt;=24, 30000, 40000))/14, 0), 0), 0)</f>
        <v>0</v>
      </c>
      <c r="AU44" s="33">
        <f>IF(AU$8&gt;='1_PANEL_CONTROL'!$D$42, IF('1_PANEL_CONTROL'!$C$32=14, IF(OR(MOD(AU$8,12)=6, MOD(AU$8,12)=0), IF(AU$8&lt;=12, 18000, IF(AU$8&lt;=24, 30000, 40000))/14, 0), 0), 0)</f>
        <v>0</v>
      </c>
      <c r="AV44" s="33">
        <f>IF(AV$8&gt;='1_PANEL_CONTROL'!$D$42, IF('1_PANEL_CONTROL'!$C$32=14, IF(OR(MOD(AV$8,12)=6, MOD(AV$8,12)=0), IF(AV$8&lt;=12, 18000, IF(AV$8&lt;=24, 30000, 40000))/14, 0), 0), 0)</f>
        <v>0</v>
      </c>
      <c r="AW44" s="33">
        <f>IF(AW$8&gt;='1_PANEL_CONTROL'!$D$42, IF('1_PANEL_CONTROL'!$C$32=14, IF(OR(MOD(AW$8,12)=6, MOD(AW$8,12)=0), IF(AW$8&lt;=12, 18000, IF(AW$8&lt;=24, 30000, 40000))/14, 0), 0), 0)</f>
        <v>0</v>
      </c>
      <c r="AX44" s="33">
        <f>IF(AX$8&gt;='1_PANEL_CONTROL'!$D$42, IF('1_PANEL_CONTROL'!$C$32=14, IF(OR(MOD(AX$8,12)=6, MOD(AX$8,12)=0), IF(AX$8&lt;=12, 18000, IF(AX$8&lt;=24, 30000, 40000))/14, 0), 0), 0)</f>
        <v>0</v>
      </c>
      <c r="AY44" s="33">
        <f>IF(AY$8&gt;='1_PANEL_CONTROL'!$D$42, IF('1_PANEL_CONTROL'!$C$32=14, IF(OR(MOD(AY$8,12)=6, MOD(AY$8,12)=0), IF(AY$8&lt;=12, 18000, IF(AY$8&lt;=24, 30000, 40000))/14, 0), 0), 0)</f>
        <v>0</v>
      </c>
      <c r="AZ44" s="33">
        <f>IF(AZ$8&gt;='1_PANEL_CONTROL'!$D$42, IF('1_PANEL_CONTROL'!$C$32=14, IF(OR(MOD(AZ$8,12)=6, MOD(AZ$8,12)=0), IF(AZ$8&lt;=12, 18000, IF(AZ$8&lt;=24, 30000, 40000))/14, 0), 0), 0)</f>
        <v>0</v>
      </c>
      <c r="BA44" s="33">
        <f>IF(BA$8&gt;='1_PANEL_CONTROL'!$D$42, IF('1_PANEL_CONTROL'!$C$32=14, IF(OR(MOD(BA$8,12)=6, MOD(BA$8,12)=0), IF(BA$8&lt;=12, 18000, IF(BA$8&lt;=24, 30000, 40000))/14, 0), 0), 0)</f>
        <v>0</v>
      </c>
      <c r="BB44" s="33">
        <f>IF(BB$8&gt;='1_PANEL_CONTROL'!$D$42, IF('1_PANEL_CONTROL'!$C$32=14, IF(OR(MOD(BB$8,12)=6, MOD(BB$8,12)=0), IF(BB$8&lt;=12, 18000, IF(BB$8&lt;=24, 30000, 40000))/14, 0), 0), 0)</f>
        <v>0</v>
      </c>
      <c r="BC44" s="33">
        <f>IF(BC$8&gt;='1_PANEL_CONTROL'!$D$42, IF('1_PANEL_CONTROL'!$C$32=14, IF(OR(MOD(BC$8,12)=6, MOD(BC$8,12)=0), IF(BC$8&lt;=12, 18000, IF(BC$8&lt;=24, 30000, 40000))/14, 0), 0), 0)</f>
        <v>0</v>
      </c>
      <c r="BD44" s="33">
        <f>IF(BD$8&gt;='1_PANEL_CONTROL'!$D$42, IF('1_PANEL_CONTROL'!$C$32=14, IF(OR(MOD(BD$8,12)=6, MOD(BD$8,12)=0), IF(BD$8&lt;=12, 18000, IF(BD$8&lt;=24, 30000, 40000))/14, 0), 0), 0)</f>
        <v>0</v>
      </c>
      <c r="BE44" s="33">
        <f>IF(BE$8&gt;='1_PANEL_CONTROL'!$D$42, IF('1_PANEL_CONTROL'!$C$32=14, IF(OR(MOD(BE$8,12)=6, MOD(BE$8,12)=0), IF(BE$8&lt;=12, 18000, IF(BE$8&lt;=24, 30000, 40000))/14, 0), 0), 0)</f>
        <v>0</v>
      </c>
      <c r="BF44" s="33">
        <f>IF(BF$8&gt;='1_PANEL_CONTROL'!$D$42, IF('1_PANEL_CONTROL'!$C$32=14, IF(OR(MOD(BF$8,12)=6, MOD(BF$8,12)=0), IF(BF$8&lt;=12, 18000, IF(BF$8&lt;=24, 30000, 40000))/14, 0), 0), 0)</f>
        <v>0</v>
      </c>
      <c r="BG44" s="33">
        <f>IF(BG$8&gt;='1_PANEL_CONTROL'!$D$42, IF('1_PANEL_CONTROL'!$C$32=14, IF(OR(MOD(BG$8,12)=6, MOD(BG$8,12)=0), IF(BG$8&lt;=12, 18000, IF(BG$8&lt;=24, 30000, 40000))/14, 0), 0), 0)</f>
        <v>0</v>
      </c>
      <c r="BH44" s="33">
        <f>IF(BH$8&gt;='1_PANEL_CONTROL'!$D$42, IF('1_PANEL_CONTROL'!$C$32=14, IF(OR(MOD(BH$8,12)=6, MOD(BH$8,12)=0), IF(BH$8&lt;=12, 18000, IF(BH$8&lt;=24, 30000, 40000))/14, 0), 0), 0)</f>
        <v>0</v>
      </c>
      <c r="BI44" s="33">
        <f>IF(BI$8&gt;='1_PANEL_CONTROL'!$D$42, IF('1_PANEL_CONTROL'!$C$32=14, IF(OR(MOD(BI$8,12)=6, MOD(BI$8,12)=0), IF(BI$8&lt;=12, 18000, IF(BI$8&lt;=24, 30000, 40000))/14, 0), 0), 0)</f>
        <v>0</v>
      </c>
      <c r="BJ44" s="33">
        <f>IF(BJ$8&gt;='1_PANEL_CONTROL'!$D$42, IF('1_PANEL_CONTROL'!$C$32=14, IF(OR(MOD(BJ$8,12)=6, MOD(BJ$8,12)=0), IF(BJ$8&lt;=12, 18000, IF(BJ$8&lt;=24, 30000, 40000))/14, 0), 0), 0)</f>
        <v>0</v>
      </c>
      <c r="BK44" s="33">
        <f>IF(BK$8&gt;='1_PANEL_CONTROL'!$D$42, IF('1_PANEL_CONTROL'!$C$32=14, IF(OR(MOD(BK$8,12)=6, MOD(BK$8,12)=0), IF(BK$8&lt;=12, 18000, IF(BK$8&lt;=24, 30000, 40000))/14, 0), 0), 0)</f>
        <v>0</v>
      </c>
      <c r="BL44" s="33">
        <f>IF(BL$8&gt;='1_PANEL_CONTROL'!$D$42, IF('1_PANEL_CONTROL'!$C$32=14, IF(OR(MOD(BL$8,12)=6, MOD(BL$8,12)=0), IF(BL$8&lt;=12, 18000, IF(BL$8&lt;=24, 30000, 40000))/14, 0), 0), 0)</f>
        <v>0</v>
      </c>
      <c r="BM44" s="33">
        <f>IF(BM$8&gt;='1_PANEL_CONTROL'!$D$42, IF('1_PANEL_CONTROL'!$C$32=14, IF(OR(MOD(BM$8,12)=6, MOD(BM$8,12)=0), IF(BM$8&lt;=12, 18000, IF(BM$8&lt;=24, 30000, 40000))/14, 0), 0), 0)</f>
        <v>0</v>
      </c>
      <c r="BN44" s="33">
        <f>IF(BN$8&gt;='1_PANEL_CONTROL'!$D$42, IF('1_PANEL_CONTROL'!$C$32=14, IF(OR(MOD(BN$8,12)=6, MOD(BN$8,12)=0), IF(BN$8&lt;=12, 18000, IF(BN$8&lt;=24, 30000, 40000))/14, 0), 0), 0)</f>
        <v>0</v>
      </c>
      <c r="BO44" s="33">
        <f>IF(BO$8&gt;='1_PANEL_CONTROL'!$D$42, IF('1_PANEL_CONTROL'!$C$32=14, IF(OR(MOD(BO$8,12)=6, MOD(BO$8,12)=0), IF(BO$8&lt;=12, 18000, IF(BO$8&lt;=24, 30000, 40000))/14, 0), 0), 0)</f>
        <v>0</v>
      </c>
      <c r="BP44" s="33">
        <f>IF(BP$8&gt;='1_PANEL_CONTROL'!$D$42, IF('1_PANEL_CONTROL'!$C$32=14, IF(OR(MOD(BP$8,12)=6, MOD(BP$8,12)=0), IF(BP$8&lt;=12, 18000, IF(BP$8&lt;=24, 30000, 40000))/14, 0), 0), 0)</f>
        <v>0</v>
      </c>
      <c r="BQ44" s="33">
        <f>IF(BQ$8&gt;='1_PANEL_CONTROL'!$D$42, IF('1_PANEL_CONTROL'!$C$32=14, IF(OR(MOD(BQ$8,12)=6, MOD(BQ$8,12)=0), IF(BQ$8&lt;=12, 18000, IF(BQ$8&lt;=24, 30000, 40000))/14, 0), 0), 0)</f>
        <v>0</v>
      </c>
      <c r="BR44" s="33">
        <f>IF(BR$8&gt;='1_PANEL_CONTROL'!$D$42, IF('1_PANEL_CONTROL'!$C$32=14, IF(OR(MOD(BR$8,12)=6, MOD(BR$8,12)=0), IF(BR$8&lt;=12, 18000, IF(BR$8&lt;=24, 30000, 40000))/14, 0), 0), 0)</f>
        <v>0</v>
      </c>
      <c r="BS44" s="33">
        <f>IF(BS$8&gt;='1_PANEL_CONTROL'!$D$42, IF('1_PANEL_CONTROL'!$C$32=14, IF(OR(MOD(BS$8,12)=6, MOD(BS$8,12)=0), IF(BS$8&lt;=12, 18000, IF(BS$8&lt;=24, 30000, 40000))/14, 0), 0), 0)</f>
        <v>0</v>
      </c>
      <c r="BT44" s="33">
        <f>IF(BT$8&gt;='1_PANEL_CONTROL'!$D$42, IF('1_PANEL_CONTROL'!$C$32=14, IF(OR(MOD(BT$8,12)=6, MOD(BT$8,12)=0), IF(BT$8&lt;=12, 18000, IF(BT$8&lt;=24, 30000, 40000))/14, 0), 0), 0)</f>
        <v>0</v>
      </c>
      <c r="BU44" s="33">
        <f>IF(BU$8&gt;='1_PANEL_CONTROL'!$D$42, IF('1_PANEL_CONTROL'!$C$32=14, IF(OR(MOD(BU$8,12)=6, MOD(BU$8,12)=0), IF(BU$8&lt;=12, 18000, IF(BU$8&lt;=24, 30000, 40000))/14, 0), 0), 0)</f>
        <v>0</v>
      </c>
      <c r="BV44" s="33">
        <f>IF(BV$8&gt;='1_PANEL_CONTROL'!$D$42, IF('1_PANEL_CONTROL'!$C$32=14, IF(OR(MOD(BV$8,12)=6, MOD(BV$8,12)=0), IF(BV$8&lt;=12, 18000, IF(BV$8&lt;=24, 30000, 40000))/14, 0), 0), 0)</f>
        <v>0</v>
      </c>
      <c r="BW44" s="33">
        <f>IF(BW$8&gt;='1_PANEL_CONTROL'!$D$42, IF('1_PANEL_CONTROL'!$C$32=14, IF(OR(MOD(BW$8,12)=6, MOD(BW$8,12)=0), IF(BW$8&lt;=12, 18000, IF(BW$8&lt;=24, 30000, 40000))/14, 0), 0), 0)</f>
        <v>0</v>
      </c>
      <c r="BX44" s="33">
        <f>IF(BX$8&gt;='1_PANEL_CONTROL'!$D$42, IF('1_PANEL_CONTROL'!$C$32=14, IF(OR(MOD(BX$8,12)=6, MOD(BX$8,12)=0), IF(BX$8&lt;=12, 18000, IF(BX$8&lt;=24, 30000, 40000))/14, 0), 0), 0)</f>
        <v>0</v>
      </c>
      <c r="BY44" s="33">
        <f>IF(BY$8&gt;='1_PANEL_CONTROL'!$D$42, IF('1_PANEL_CONTROL'!$C$32=14, IF(OR(MOD(BY$8,12)=6, MOD(BY$8,12)=0), IF(BY$8&lt;=12, 18000, IF(BY$8&lt;=24, 30000, 40000))/14, 0), 0), 0)</f>
        <v>0</v>
      </c>
      <c r="BZ44" s="33">
        <f>IF(BZ$8&gt;='1_PANEL_CONTROL'!$D$42, IF('1_PANEL_CONTROL'!$C$32=14, IF(OR(MOD(BZ$8,12)=6, MOD(BZ$8,12)=0), IF(BZ$8&lt;=12, 18000, IF(BZ$8&lt;=24, 30000, 40000))/14, 0), 0), 0)</f>
        <v>0</v>
      </c>
      <c r="CA44" s="33">
        <f>IF(CA$8&gt;='1_PANEL_CONTROL'!$D$42, IF('1_PANEL_CONTROL'!$C$32=14, IF(OR(MOD(CA$8,12)=6, MOD(CA$8,12)=0), IF(CA$8&lt;=12, 18000, IF(CA$8&lt;=24, 30000, 40000))/14, 0), 0), 0)</f>
        <v>0</v>
      </c>
      <c r="CB44" s="33">
        <f>IF(CB$8&gt;='1_PANEL_CONTROL'!$D$42, IF('1_PANEL_CONTROL'!$C$32=14, IF(OR(MOD(CB$8,12)=6, MOD(CB$8,12)=0), IF(CB$8&lt;=12, 18000, IF(CB$8&lt;=24, 30000, 40000))/14, 0), 0), 0)</f>
        <v>0</v>
      </c>
      <c r="CC44" s="33">
        <f>IF(CC$8&gt;='1_PANEL_CONTROL'!$D$42, IF('1_PANEL_CONTROL'!$C$32=14, IF(OR(MOD(CC$8,12)=6, MOD(CC$8,12)=0), IF(CC$8&lt;=12, 18000, IF(CC$8&lt;=24, 30000, 40000))/14, 0), 0), 0)</f>
        <v>0</v>
      </c>
      <c r="CD44" s="33">
        <f>IF(CD$8&gt;='1_PANEL_CONTROL'!$D$42, IF('1_PANEL_CONTROL'!$C$32=14, IF(OR(MOD(CD$8,12)=6, MOD(CD$8,12)=0), IF(CD$8&lt;=12, 18000, IF(CD$8&lt;=24, 30000, 40000))/14, 0), 0), 0)</f>
        <v>0</v>
      </c>
      <c r="CE44" s="33">
        <f>IF(CE$8&gt;='1_PANEL_CONTROL'!$D$42, IF('1_PANEL_CONTROL'!$C$32=14, IF(OR(MOD(CE$8,12)=6, MOD(CE$8,12)=0), IF(CE$8&lt;=12, 18000, IF(CE$8&lt;=24, 30000, 40000))/14, 0), 0), 0)</f>
        <v>0</v>
      </c>
      <c r="CF44" s="33">
        <f>IF(CF$8&gt;='1_PANEL_CONTROL'!$D$42, IF('1_PANEL_CONTROL'!$C$32=14, IF(OR(MOD(CF$8,12)=6, MOD(CF$8,12)=0), IF(CF$8&lt;=12, 18000, IF(CF$8&lt;=24, 30000, 40000))/14, 0), 0), 0)</f>
        <v>0</v>
      </c>
      <c r="CG44" s="33">
        <f>IF(CG$8&gt;='1_PANEL_CONTROL'!$D$42, IF('1_PANEL_CONTROL'!$C$32=14, IF(OR(MOD(CG$8,12)=6, MOD(CG$8,12)=0), IF(CG$8&lt;=12, 18000, IF(CG$8&lt;=24, 30000, 40000))/14, 0), 0), 0)</f>
        <v>0</v>
      </c>
      <c r="CH44" s="33">
        <f>IF(CH$8&gt;='1_PANEL_CONTROL'!$D$42, IF('1_PANEL_CONTROL'!$C$32=14, IF(OR(MOD(CH$8,12)=6, MOD(CH$8,12)=0), IF(CH$8&lt;=12, 18000, IF(CH$8&lt;=24, 30000, 40000))/14, 0), 0), 0)</f>
        <v>0</v>
      </c>
      <c r="CI44" s="33">
        <f>IF(CI$8&gt;='1_PANEL_CONTROL'!$D$42, IF('1_PANEL_CONTROL'!$C$32=14, IF(OR(MOD(CI$8,12)=6, MOD(CI$8,12)=0), IF(CI$8&lt;=12, 18000, IF(CI$8&lt;=24, 30000, 40000))/14, 0), 0), 0)</f>
        <v>0</v>
      </c>
    </row>
    <row r="45" spans="1:87" ht="16">
      <c r="A45" s="6" t="s">
        <v>584</v>
      </c>
      <c r="B45" s="30" t="s">
        <v>465</v>
      </c>
      <c r="C45" s="15"/>
      <c r="D45" s="33">
        <f t="shared" ref="D45:AI45" si="27">D43+D44</f>
        <v>1500</v>
      </c>
      <c r="E45" s="33">
        <f t="shared" si="27"/>
        <v>1500</v>
      </c>
      <c r="F45" s="33">
        <f t="shared" si="27"/>
        <v>1500</v>
      </c>
      <c r="G45" s="33">
        <f t="shared" si="27"/>
        <v>1500</v>
      </c>
      <c r="H45" s="33">
        <f t="shared" si="27"/>
        <v>1500</v>
      </c>
      <c r="I45" s="33">
        <f t="shared" si="27"/>
        <v>1500</v>
      </c>
      <c r="J45" s="33">
        <f t="shared" si="27"/>
        <v>1500</v>
      </c>
      <c r="K45" s="33">
        <f t="shared" si="27"/>
        <v>1500</v>
      </c>
      <c r="L45" s="33">
        <f t="shared" si="27"/>
        <v>1500</v>
      </c>
      <c r="M45" s="33">
        <f t="shared" si="27"/>
        <v>1500</v>
      </c>
      <c r="N45" s="33">
        <f t="shared" si="27"/>
        <v>1500</v>
      </c>
      <c r="O45" s="33">
        <f t="shared" si="27"/>
        <v>1500</v>
      </c>
      <c r="P45" s="33">
        <f t="shared" si="27"/>
        <v>2500</v>
      </c>
      <c r="Q45" s="33">
        <f t="shared" si="27"/>
        <v>2500</v>
      </c>
      <c r="R45" s="33">
        <f t="shared" si="27"/>
        <v>2500</v>
      </c>
      <c r="S45" s="33">
        <f t="shared" si="27"/>
        <v>2500</v>
      </c>
      <c r="T45" s="33">
        <f t="shared" si="27"/>
        <v>2500</v>
      </c>
      <c r="U45" s="33">
        <f t="shared" si="27"/>
        <v>2500</v>
      </c>
      <c r="V45" s="33">
        <f t="shared" si="27"/>
        <v>2500</v>
      </c>
      <c r="W45" s="33">
        <f t="shared" si="27"/>
        <v>2500</v>
      </c>
      <c r="X45" s="33">
        <f t="shared" si="27"/>
        <v>2500</v>
      </c>
      <c r="Y45" s="33">
        <f t="shared" si="27"/>
        <v>2500</v>
      </c>
      <c r="Z45" s="33">
        <f t="shared" si="27"/>
        <v>2500</v>
      </c>
      <c r="AA45" s="33">
        <f t="shared" si="27"/>
        <v>2500</v>
      </c>
      <c r="AB45" s="33">
        <f t="shared" si="27"/>
        <v>3333.3333333333335</v>
      </c>
      <c r="AC45" s="33">
        <f t="shared" si="27"/>
        <v>3333.3333333333335</v>
      </c>
      <c r="AD45" s="33">
        <f t="shared" si="27"/>
        <v>3333.3333333333335</v>
      </c>
      <c r="AE45" s="33">
        <f t="shared" si="27"/>
        <v>3333.3333333333335</v>
      </c>
      <c r="AF45" s="33">
        <f t="shared" si="27"/>
        <v>3333.3333333333335</v>
      </c>
      <c r="AG45" s="33">
        <f t="shared" si="27"/>
        <v>3333.3333333333335</v>
      </c>
      <c r="AH45" s="33">
        <f t="shared" si="27"/>
        <v>3333.3333333333335</v>
      </c>
      <c r="AI45" s="33">
        <f t="shared" si="27"/>
        <v>3333.3333333333335</v>
      </c>
      <c r="AJ45" s="33">
        <f t="shared" ref="AJ45:BO45" si="28">AJ43+AJ44</f>
        <v>3333.3333333333335</v>
      </c>
      <c r="AK45" s="33">
        <f t="shared" si="28"/>
        <v>3333.3333333333335</v>
      </c>
      <c r="AL45" s="33">
        <f t="shared" si="28"/>
        <v>3333.3333333333335</v>
      </c>
      <c r="AM45" s="33">
        <f t="shared" si="28"/>
        <v>3333.3333333333335</v>
      </c>
      <c r="AN45" s="33">
        <f t="shared" si="28"/>
        <v>3333.3333333333335</v>
      </c>
      <c r="AO45" s="33">
        <f t="shared" si="28"/>
        <v>3333.3333333333335</v>
      </c>
      <c r="AP45" s="33">
        <f t="shared" si="28"/>
        <v>3333.3333333333335</v>
      </c>
      <c r="AQ45" s="33">
        <f t="shared" si="28"/>
        <v>3333.3333333333335</v>
      </c>
      <c r="AR45" s="33">
        <f t="shared" si="28"/>
        <v>3333.3333333333335</v>
      </c>
      <c r="AS45" s="33">
        <f t="shared" si="28"/>
        <v>3333.3333333333335</v>
      </c>
      <c r="AT45" s="33">
        <f t="shared" si="28"/>
        <v>3333.3333333333335</v>
      </c>
      <c r="AU45" s="33">
        <f t="shared" si="28"/>
        <v>3333.3333333333335</v>
      </c>
      <c r="AV45" s="33">
        <f t="shared" si="28"/>
        <v>3333.3333333333335</v>
      </c>
      <c r="AW45" s="33">
        <f t="shared" si="28"/>
        <v>3333.3333333333335</v>
      </c>
      <c r="AX45" s="33">
        <f t="shared" si="28"/>
        <v>3333.3333333333335</v>
      </c>
      <c r="AY45" s="33">
        <f t="shared" si="28"/>
        <v>3333.3333333333335</v>
      </c>
      <c r="AZ45" s="33">
        <f t="shared" si="28"/>
        <v>3333.3333333333335</v>
      </c>
      <c r="BA45" s="33">
        <f t="shared" si="28"/>
        <v>3333.3333333333335</v>
      </c>
      <c r="BB45" s="33">
        <f t="shared" si="28"/>
        <v>3333.3333333333335</v>
      </c>
      <c r="BC45" s="33">
        <f t="shared" si="28"/>
        <v>3333.3333333333335</v>
      </c>
      <c r="BD45" s="33">
        <f t="shared" si="28"/>
        <v>3333.3333333333335</v>
      </c>
      <c r="BE45" s="33">
        <f t="shared" si="28"/>
        <v>3333.3333333333335</v>
      </c>
      <c r="BF45" s="33">
        <f t="shared" si="28"/>
        <v>3333.3333333333335</v>
      </c>
      <c r="BG45" s="33">
        <f t="shared" si="28"/>
        <v>3333.3333333333335</v>
      </c>
      <c r="BH45" s="33">
        <f t="shared" si="28"/>
        <v>3333.3333333333335</v>
      </c>
      <c r="BI45" s="33">
        <f t="shared" si="28"/>
        <v>3333.3333333333335</v>
      </c>
      <c r="BJ45" s="33">
        <f t="shared" si="28"/>
        <v>3333.3333333333335</v>
      </c>
      <c r="BK45" s="33">
        <f t="shared" si="28"/>
        <v>3333.3333333333335</v>
      </c>
      <c r="BL45" s="33">
        <f t="shared" si="28"/>
        <v>3333.3333333333335</v>
      </c>
      <c r="BM45" s="33">
        <f t="shared" si="28"/>
        <v>3333.3333333333335</v>
      </c>
      <c r="BN45" s="33">
        <f t="shared" si="28"/>
        <v>3333.3333333333335</v>
      </c>
      <c r="BO45" s="33">
        <f t="shared" si="28"/>
        <v>3333.3333333333335</v>
      </c>
      <c r="BP45" s="33">
        <f t="shared" ref="BP45:CU45" si="29">BP43+BP44</f>
        <v>3333.3333333333335</v>
      </c>
      <c r="BQ45" s="33">
        <f t="shared" si="29"/>
        <v>3333.3333333333335</v>
      </c>
      <c r="BR45" s="33">
        <f t="shared" si="29"/>
        <v>3333.3333333333335</v>
      </c>
      <c r="BS45" s="33">
        <f t="shared" si="29"/>
        <v>3333.3333333333335</v>
      </c>
      <c r="BT45" s="33">
        <f t="shared" si="29"/>
        <v>3333.3333333333335</v>
      </c>
      <c r="BU45" s="33">
        <f t="shared" si="29"/>
        <v>3333.3333333333335</v>
      </c>
      <c r="BV45" s="33">
        <f t="shared" si="29"/>
        <v>3333.3333333333335</v>
      </c>
      <c r="BW45" s="33">
        <f t="shared" si="29"/>
        <v>3333.3333333333335</v>
      </c>
      <c r="BX45" s="33">
        <f t="shared" si="29"/>
        <v>3333.3333333333335</v>
      </c>
      <c r="BY45" s="33">
        <f t="shared" si="29"/>
        <v>3333.3333333333335</v>
      </c>
      <c r="BZ45" s="33">
        <f t="shared" si="29"/>
        <v>3333.3333333333335</v>
      </c>
      <c r="CA45" s="33">
        <f t="shared" si="29"/>
        <v>3333.3333333333335</v>
      </c>
      <c r="CB45" s="33">
        <f t="shared" si="29"/>
        <v>3333.3333333333335</v>
      </c>
      <c r="CC45" s="33">
        <f t="shared" si="29"/>
        <v>3333.3333333333335</v>
      </c>
      <c r="CD45" s="33">
        <f t="shared" si="29"/>
        <v>3333.3333333333335</v>
      </c>
      <c r="CE45" s="33">
        <f t="shared" si="29"/>
        <v>3333.3333333333335</v>
      </c>
      <c r="CF45" s="33">
        <f t="shared" si="29"/>
        <v>3333.3333333333335</v>
      </c>
      <c r="CG45" s="33">
        <f t="shared" si="29"/>
        <v>3333.3333333333335</v>
      </c>
      <c r="CH45" s="33">
        <f t="shared" si="29"/>
        <v>3333.3333333333335</v>
      </c>
      <c r="CI45" s="33">
        <f t="shared" si="29"/>
        <v>3333.3333333333335</v>
      </c>
    </row>
    <row r="46" spans="1:87" ht="16">
      <c r="A46" s="6" t="s">
        <v>585</v>
      </c>
      <c r="B46" s="30" t="s">
        <v>465</v>
      </c>
      <c r="C46" s="15"/>
      <c r="D46" s="33">
        <f>IF(D$8&gt;='1_PANEL_CONTROL'!$D$42, IF(D$8&lt;=12, 18000, IF(D$8&lt;=24, 30000, 40000))/12, 0)</f>
        <v>1500</v>
      </c>
      <c r="E46" s="33">
        <f>IF(E$8&gt;='1_PANEL_CONTROL'!$D$42, IF(E$8&lt;=12, 18000, IF(E$8&lt;=24, 30000, 40000))/12, 0)</f>
        <v>1500</v>
      </c>
      <c r="F46" s="33">
        <f>IF(F$8&gt;='1_PANEL_CONTROL'!$D$42, IF(F$8&lt;=12, 18000, IF(F$8&lt;=24, 30000, 40000))/12, 0)</f>
        <v>1500</v>
      </c>
      <c r="G46" s="33">
        <f>IF(G$8&gt;='1_PANEL_CONTROL'!$D$42, IF(G$8&lt;=12, 18000, IF(G$8&lt;=24, 30000, 40000))/12, 0)</f>
        <v>1500</v>
      </c>
      <c r="H46" s="33">
        <f>IF(H$8&gt;='1_PANEL_CONTROL'!$D$42, IF(H$8&lt;=12, 18000, IF(H$8&lt;=24, 30000, 40000))/12, 0)</f>
        <v>1500</v>
      </c>
      <c r="I46" s="33">
        <f>IF(I$8&gt;='1_PANEL_CONTROL'!$D$42, IF(I$8&lt;=12, 18000, IF(I$8&lt;=24, 30000, 40000))/12, 0)</f>
        <v>1500</v>
      </c>
      <c r="J46" s="33">
        <f>IF(J$8&gt;='1_PANEL_CONTROL'!$D$42, IF(J$8&lt;=12, 18000, IF(J$8&lt;=24, 30000, 40000))/12, 0)</f>
        <v>1500</v>
      </c>
      <c r="K46" s="33">
        <f>IF(K$8&gt;='1_PANEL_CONTROL'!$D$42, IF(K$8&lt;=12, 18000, IF(K$8&lt;=24, 30000, 40000))/12, 0)</f>
        <v>1500</v>
      </c>
      <c r="L46" s="33">
        <f>IF(L$8&gt;='1_PANEL_CONTROL'!$D$42, IF(L$8&lt;=12, 18000, IF(L$8&lt;=24, 30000, 40000))/12, 0)</f>
        <v>1500</v>
      </c>
      <c r="M46" s="33">
        <f>IF(M$8&gt;='1_PANEL_CONTROL'!$D$42, IF(M$8&lt;=12, 18000, IF(M$8&lt;=24, 30000, 40000))/12, 0)</f>
        <v>1500</v>
      </c>
      <c r="N46" s="33">
        <f>IF(N$8&gt;='1_PANEL_CONTROL'!$D$42, IF(N$8&lt;=12, 18000, IF(N$8&lt;=24, 30000, 40000))/12, 0)</f>
        <v>1500</v>
      </c>
      <c r="O46" s="33">
        <f>IF(O$8&gt;='1_PANEL_CONTROL'!$D$42, IF(O$8&lt;=12, 18000, IF(O$8&lt;=24, 30000, 40000))/12, 0)</f>
        <v>1500</v>
      </c>
      <c r="P46" s="33">
        <f>IF(P$8&gt;='1_PANEL_CONTROL'!$D$42, IF(P$8&lt;=12, 18000, IF(P$8&lt;=24, 30000, 40000))/12, 0)</f>
        <v>2500</v>
      </c>
      <c r="Q46" s="33">
        <f>IF(Q$8&gt;='1_PANEL_CONTROL'!$D$42, IF(Q$8&lt;=12, 18000, IF(Q$8&lt;=24, 30000, 40000))/12, 0)</f>
        <v>2500</v>
      </c>
      <c r="R46" s="33">
        <f>IF(R$8&gt;='1_PANEL_CONTROL'!$D$42, IF(R$8&lt;=12, 18000, IF(R$8&lt;=24, 30000, 40000))/12, 0)</f>
        <v>2500</v>
      </c>
      <c r="S46" s="33">
        <f>IF(S$8&gt;='1_PANEL_CONTROL'!$D$42, IF(S$8&lt;=12, 18000, IF(S$8&lt;=24, 30000, 40000))/12, 0)</f>
        <v>2500</v>
      </c>
      <c r="T46" s="33">
        <f>IF(T$8&gt;='1_PANEL_CONTROL'!$D$42, IF(T$8&lt;=12, 18000, IF(T$8&lt;=24, 30000, 40000))/12, 0)</f>
        <v>2500</v>
      </c>
      <c r="U46" s="33">
        <f>IF(U$8&gt;='1_PANEL_CONTROL'!$D$42, IF(U$8&lt;=12, 18000, IF(U$8&lt;=24, 30000, 40000))/12, 0)</f>
        <v>2500</v>
      </c>
      <c r="V46" s="33">
        <f>IF(V$8&gt;='1_PANEL_CONTROL'!$D$42, IF(V$8&lt;=12, 18000, IF(V$8&lt;=24, 30000, 40000))/12, 0)</f>
        <v>2500</v>
      </c>
      <c r="W46" s="33">
        <f>IF(W$8&gt;='1_PANEL_CONTROL'!$D$42, IF(W$8&lt;=12, 18000, IF(W$8&lt;=24, 30000, 40000))/12, 0)</f>
        <v>2500</v>
      </c>
      <c r="X46" s="33">
        <f>IF(X$8&gt;='1_PANEL_CONTROL'!$D$42, IF(X$8&lt;=12, 18000, IF(X$8&lt;=24, 30000, 40000))/12, 0)</f>
        <v>2500</v>
      </c>
      <c r="Y46" s="33">
        <f>IF(Y$8&gt;='1_PANEL_CONTROL'!$D$42, IF(Y$8&lt;=12, 18000, IF(Y$8&lt;=24, 30000, 40000))/12, 0)</f>
        <v>2500</v>
      </c>
      <c r="Z46" s="33">
        <f>IF(Z$8&gt;='1_PANEL_CONTROL'!$D$42, IF(Z$8&lt;=12, 18000, IF(Z$8&lt;=24, 30000, 40000))/12, 0)</f>
        <v>2500</v>
      </c>
      <c r="AA46" s="33">
        <f>IF(AA$8&gt;='1_PANEL_CONTROL'!$D$42, IF(AA$8&lt;=12, 18000, IF(AA$8&lt;=24, 30000, 40000))/12, 0)</f>
        <v>2500</v>
      </c>
      <c r="AB46" s="33">
        <f>IF(AB$8&gt;='1_PANEL_CONTROL'!$D$42, IF(AB$8&lt;=12, 18000, IF(AB$8&lt;=24, 30000, 40000))/12, 0)</f>
        <v>3333.3333333333335</v>
      </c>
      <c r="AC46" s="33">
        <f>IF(AC$8&gt;='1_PANEL_CONTROL'!$D$42, IF(AC$8&lt;=12, 18000, IF(AC$8&lt;=24, 30000, 40000))/12, 0)</f>
        <v>3333.3333333333335</v>
      </c>
      <c r="AD46" s="33">
        <f>IF(AD$8&gt;='1_PANEL_CONTROL'!$D$42, IF(AD$8&lt;=12, 18000, IF(AD$8&lt;=24, 30000, 40000))/12, 0)</f>
        <v>3333.3333333333335</v>
      </c>
      <c r="AE46" s="33">
        <f>IF(AE$8&gt;='1_PANEL_CONTROL'!$D$42, IF(AE$8&lt;=12, 18000, IF(AE$8&lt;=24, 30000, 40000))/12, 0)</f>
        <v>3333.3333333333335</v>
      </c>
      <c r="AF46" s="33">
        <f>IF(AF$8&gt;='1_PANEL_CONTROL'!$D$42, IF(AF$8&lt;=12, 18000, IF(AF$8&lt;=24, 30000, 40000))/12, 0)</f>
        <v>3333.3333333333335</v>
      </c>
      <c r="AG46" s="33">
        <f>IF(AG$8&gt;='1_PANEL_CONTROL'!$D$42, IF(AG$8&lt;=12, 18000, IF(AG$8&lt;=24, 30000, 40000))/12, 0)</f>
        <v>3333.3333333333335</v>
      </c>
      <c r="AH46" s="33">
        <f>IF(AH$8&gt;='1_PANEL_CONTROL'!$D$42, IF(AH$8&lt;=12, 18000, IF(AH$8&lt;=24, 30000, 40000))/12, 0)</f>
        <v>3333.3333333333335</v>
      </c>
      <c r="AI46" s="33">
        <f>IF(AI$8&gt;='1_PANEL_CONTROL'!$D$42, IF(AI$8&lt;=12, 18000, IF(AI$8&lt;=24, 30000, 40000))/12, 0)</f>
        <v>3333.3333333333335</v>
      </c>
      <c r="AJ46" s="33">
        <f>IF(AJ$8&gt;='1_PANEL_CONTROL'!$D$42, IF(AJ$8&lt;=12, 18000, IF(AJ$8&lt;=24, 30000, 40000))/12, 0)</f>
        <v>3333.3333333333335</v>
      </c>
      <c r="AK46" s="33">
        <f>IF(AK$8&gt;='1_PANEL_CONTROL'!$D$42, IF(AK$8&lt;=12, 18000, IF(AK$8&lt;=24, 30000, 40000))/12, 0)</f>
        <v>3333.3333333333335</v>
      </c>
      <c r="AL46" s="33">
        <f>IF(AL$8&gt;='1_PANEL_CONTROL'!$D$42, IF(AL$8&lt;=12, 18000, IF(AL$8&lt;=24, 30000, 40000))/12, 0)</f>
        <v>3333.3333333333335</v>
      </c>
      <c r="AM46" s="33">
        <f>IF(AM$8&gt;='1_PANEL_CONTROL'!$D$42, IF(AM$8&lt;=12, 18000, IF(AM$8&lt;=24, 30000, 40000))/12, 0)</f>
        <v>3333.3333333333335</v>
      </c>
      <c r="AN46" s="33">
        <f>IF(AN$8&gt;='1_PANEL_CONTROL'!$D$42, IF(AN$8&lt;=12, 18000, IF(AN$8&lt;=24, 30000, 40000))/12, 0)</f>
        <v>3333.3333333333335</v>
      </c>
      <c r="AO46" s="33">
        <f>IF(AO$8&gt;='1_PANEL_CONTROL'!$D$42, IF(AO$8&lt;=12, 18000, IF(AO$8&lt;=24, 30000, 40000))/12, 0)</f>
        <v>3333.3333333333335</v>
      </c>
      <c r="AP46" s="33">
        <f>IF(AP$8&gt;='1_PANEL_CONTROL'!$D$42, IF(AP$8&lt;=12, 18000, IF(AP$8&lt;=24, 30000, 40000))/12, 0)</f>
        <v>3333.3333333333335</v>
      </c>
      <c r="AQ46" s="33">
        <f>IF(AQ$8&gt;='1_PANEL_CONTROL'!$D$42, IF(AQ$8&lt;=12, 18000, IF(AQ$8&lt;=24, 30000, 40000))/12, 0)</f>
        <v>3333.3333333333335</v>
      </c>
      <c r="AR46" s="33">
        <f>IF(AR$8&gt;='1_PANEL_CONTROL'!$D$42, IF(AR$8&lt;=12, 18000, IF(AR$8&lt;=24, 30000, 40000))/12, 0)</f>
        <v>3333.3333333333335</v>
      </c>
      <c r="AS46" s="33">
        <f>IF(AS$8&gt;='1_PANEL_CONTROL'!$D$42, IF(AS$8&lt;=12, 18000, IF(AS$8&lt;=24, 30000, 40000))/12, 0)</f>
        <v>3333.3333333333335</v>
      </c>
      <c r="AT46" s="33">
        <f>IF(AT$8&gt;='1_PANEL_CONTROL'!$D$42, IF(AT$8&lt;=12, 18000, IF(AT$8&lt;=24, 30000, 40000))/12, 0)</f>
        <v>3333.3333333333335</v>
      </c>
      <c r="AU46" s="33">
        <f>IF(AU$8&gt;='1_PANEL_CONTROL'!$D$42, IF(AU$8&lt;=12, 18000, IF(AU$8&lt;=24, 30000, 40000))/12, 0)</f>
        <v>3333.3333333333335</v>
      </c>
      <c r="AV46" s="33">
        <f>IF(AV$8&gt;='1_PANEL_CONTROL'!$D$42, IF(AV$8&lt;=12, 18000, IF(AV$8&lt;=24, 30000, 40000))/12, 0)</f>
        <v>3333.3333333333335</v>
      </c>
      <c r="AW46" s="33">
        <f>IF(AW$8&gt;='1_PANEL_CONTROL'!$D$42, IF(AW$8&lt;=12, 18000, IF(AW$8&lt;=24, 30000, 40000))/12, 0)</f>
        <v>3333.3333333333335</v>
      </c>
      <c r="AX46" s="33">
        <f>IF(AX$8&gt;='1_PANEL_CONTROL'!$D$42, IF(AX$8&lt;=12, 18000, IF(AX$8&lt;=24, 30000, 40000))/12, 0)</f>
        <v>3333.3333333333335</v>
      </c>
      <c r="AY46" s="33">
        <f>IF(AY$8&gt;='1_PANEL_CONTROL'!$D$42, IF(AY$8&lt;=12, 18000, IF(AY$8&lt;=24, 30000, 40000))/12, 0)</f>
        <v>3333.3333333333335</v>
      </c>
      <c r="AZ46" s="33">
        <f>IF(AZ$8&gt;='1_PANEL_CONTROL'!$D$42, IF(AZ$8&lt;=12, 18000, IF(AZ$8&lt;=24, 30000, 40000))/12, 0)</f>
        <v>3333.3333333333335</v>
      </c>
      <c r="BA46" s="33">
        <f>IF(BA$8&gt;='1_PANEL_CONTROL'!$D$42, IF(BA$8&lt;=12, 18000, IF(BA$8&lt;=24, 30000, 40000))/12, 0)</f>
        <v>3333.3333333333335</v>
      </c>
      <c r="BB46" s="33">
        <f>IF(BB$8&gt;='1_PANEL_CONTROL'!$D$42, IF(BB$8&lt;=12, 18000, IF(BB$8&lt;=24, 30000, 40000))/12, 0)</f>
        <v>3333.3333333333335</v>
      </c>
      <c r="BC46" s="33">
        <f>IF(BC$8&gt;='1_PANEL_CONTROL'!$D$42, IF(BC$8&lt;=12, 18000, IF(BC$8&lt;=24, 30000, 40000))/12, 0)</f>
        <v>3333.3333333333335</v>
      </c>
      <c r="BD46" s="33">
        <f>IF(BD$8&gt;='1_PANEL_CONTROL'!$D$42, IF(BD$8&lt;=12, 18000, IF(BD$8&lt;=24, 30000, 40000))/12, 0)</f>
        <v>3333.3333333333335</v>
      </c>
      <c r="BE46" s="33">
        <f>IF(BE$8&gt;='1_PANEL_CONTROL'!$D$42, IF(BE$8&lt;=12, 18000, IF(BE$8&lt;=24, 30000, 40000))/12, 0)</f>
        <v>3333.3333333333335</v>
      </c>
      <c r="BF46" s="33">
        <f>IF(BF$8&gt;='1_PANEL_CONTROL'!$D$42, IF(BF$8&lt;=12, 18000, IF(BF$8&lt;=24, 30000, 40000))/12, 0)</f>
        <v>3333.3333333333335</v>
      </c>
      <c r="BG46" s="33">
        <f>IF(BG$8&gt;='1_PANEL_CONTROL'!$D$42, IF(BG$8&lt;=12, 18000, IF(BG$8&lt;=24, 30000, 40000))/12, 0)</f>
        <v>3333.3333333333335</v>
      </c>
      <c r="BH46" s="33">
        <f>IF(BH$8&gt;='1_PANEL_CONTROL'!$D$42, IF(BH$8&lt;=12, 18000, IF(BH$8&lt;=24, 30000, 40000))/12, 0)</f>
        <v>3333.3333333333335</v>
      </c>
      <c r="BI46" s="33">
        <f>IF(BI$8&gt;='1_PANEL_CONTROL'!$D$42, IF(BI$8&lt;=12, 18000, IF(BI$8&lt;=24, 30000, 40000))/12, 0)</f>
        <v>3333.3333333333335</v>
      </c>
      <c r="BJ46" s="33">
        <f>IF(BJ$8&gt;='1_PANEL_CONTROL'!$D$42, IF(BJ$8&lt;=12, 18000, IF(BJ$8&lt;=24, 30000, 40000))/12, 0)</f>
        <v>3333.3333333333335</v>
      </c>
      <c r="BK46" s="33">
        <f>IF(BK$8&gt;='1_PANEL_CONTROL'!$D$42, IF(BK$8&lt;=12, 18000, IF(BK$8&lt;=24, 30000, 40000))/12, 0)</f>
        <v>3333.3333333333335</v>
      </c>
      <c r="BL46" s="33">
        <f>IF(BL$8&gt;='1_PANEL_CONTROL'!$D$42, IF(BL$8&lt;=12, 18000, IF(BL$8&lt;=24, 30000, 40000))/12, 0)</f>
        <v>3333.3333333333335</v>
      </c>
      <c r="BM46" s="33">
        <f>IF(BM$8&gt;='1_PANEL_CONTROL'!$D$42, IF(BM$8&lt;=12, 18000, IF(BM$8&lt;=24, 30000, 40000))/12, 0)</f>
        <v>3333.3333333333335</v>
      </c>
      <c r="BN46" s="33">
        <f>IF(BN$8&gt;='1_PANEL_CONTROL'!$D$42, IF(BN$8&lt;=12, 18000, IF(BN$8&lt;=24, 30000, 40000))/12, 0)</f>
        <v>3333.3333333333335</v>
      </c>
      <c r="BO46" s="33">
        <f>IF(BO$8&gt;='1_PANEL_CONTROL'!$D$42, IF(BO$8&lt;=12, 18000, IF(BO$8&lt;=24, 30000, 40000))/12, 0)</f>
        <v>3333.3333333333335</v>
      </c>
      <c r="BP46" s="33">
        <f>IF(BP$8&gt;='1_PANEL_CONTROL'!$D$42, IF(BP$8&lt;=12, 18000, IF(BP$8&lt;=24, 30000, 40000))/12, 0)</f>
        <v>3333.3333333333335</v>
      </c>
      <c r="BQ46" s="33">
        <f>IF(BQ$8&gt;='1_PANEL_CONTROL'!$D$42, IF(BQ$8&lt;=12, 18000, IF(BQ$8&lt;=24, 30000, 40000))/12, 0)</f>
        <v>3333.3333333333335</v>
      </c>
      <c r="BR46" s="33">
        <f>IF(BR$8&gt;='1_PANEL_CONTROL'!$D$42, IF(BR$8&lt;=12, 18000, IF(BR$8&lt;=24, 30000, 40000))/12, 0)</f>
        <v>3333.3333333333335</v>
      </c>
      <c r="BS46" s="33">
        <f>IF(BS$8&gt;='1_PANEL_CONTROL'!$D$42, IF(BS$8&lt;=12, 18000, IF(BS$8&lt;=24, 30000, 40000))/12, 0)</f>
        <v>3333.3333333333335</v>
      </c>
      <c r="BT46" s="33">
        <f>IF(BT$8&gt;='1_PANEL_CONTROL'!$D$42, IF(BT$8&lt;=12, 18000, IF(BT$8&lt;=24, 30000, 40000))/12, 0)</f>
        <v>3333.3333333333335</v>
      </c>
      <c r="BU46" s="33">
        <f>IF(BU$8&gt;='1_PANEL_CONTROL'!$D$42, IF(BU$8&lt;=12, 18000, IF(BU$8&lt;=24, 30000, 40000))/12, 0)</f>
        <v>3333.3333333333335</v>
      </c>
      <c r="BV46" s="33">
        <f>IF(BV$8&gt;='1_PANEL_CONTROL'!$D$42, IF(BV$8&lt;=12, 18000, IF(BV$8&lt;=24, 30000, 40000))/12, 0)</f>
        <v>3333.3333333333335</v>
      </c>
      <c r="BW46" s="33">
        <f>IF(BW$8&gt;='1_PANEL_CONTROL'!$D$42, IF(BW$8&lt;=12, 18000, IF(BW$8&lt;=24, 30000, 40000))/12, 0)</f>
        <v>3333.3333333333335</v>
      </c>
      <c r="BX46" s="33">
        <f>IF(BX$8&gt;='1_PANEL_CONTROL'!$D$42, IF(BX$8&lt;=12, 18000, IF(BX$8&lt;=24, 30000, 40000))/12, 0)</f>
        <v>3333.3333333333335</v>
      </c>
      <c r="BY46" s="33">
        <f>IF(BY$8&gt;='1_PANEL_CONTROL'!$D$42, IF(BY$8&lt;=12, 18000, IF(BY$8&lt;=24, 30000, 40000))/12, 0)</f>
        <v>3333.3333333333335</v>
      </c>
      <c r="BZ46" s="33">
        <f>IF(BZ$8&gt;='1_PANEL_CONTROL'!$D$42, IF(BZ$8&lt;=12, 18000, IF(BZ$8&lt;=24, 30000, 40000))/12, 0)</f>
        <v>3333.3333333333335</v>
      </c>
      <c r="CA46" s="33">
        <f>IF(CA$8&gt;='1_PANEL_CONTROL'!$D$42, IF(CA$8&lt;=12, 18000, IF(CA$8&lt;=24, 30000, 40000))/12, 0)</f>
        <v>3333.3333333333335</v>
      </c>
      <c r="CB46" s="33">
        <f>IF(CB$8&gt;='1_PANEL_CONTROL'!$D$42, IF(CB$8&lt;=12, 18000, IF(CB$8&lt;=24, 30000, 40000))/12, 0)</f>
        <v>3333.3333333333335</v>
      </c>
      <c r="CC46" s="33">
        <f>IF(CC$8&gt;='1_PANEL_CONTROL'!$D$42, IF(CC$8&lt;=12, 18000, IF(CC$8&lt;=24, 30000, 40000))/12, 0)</f>
        <v>3333.3333333333335</v>
      </c>
      <c r="CD46" s="33">
        <f>IF(CD$8&gt;='1_PANEL_CONTROL'!$D$42, IF(CD$8&lt;=12, 18000, IF(CD$8&lt;=24, 30000, 40000))/12, 0)</f>
        <v>3333.3333333333335</v>
      </c>
      <c r="CE46" s="33">
        <f>IF(CE$8&gt;='1_PANEL_CONTROL'!$D$42, IF(CE$8&lt;=12, 18000, IF(CE$8&lt;=24, 30000, 40000))/12, 0)</f>
        <v>3333.3333333333335</v>
      </c>
      <c r="CF46" s="33">
        <f>IF(CF$8&gt;='1_PANEL_CONTROL'!$D$42, IF(CF$8&lt;=12, 18000, IF(CF$8&lt;=24, 30000, 40000))/12, 0)</f>
        <v>3333.3333333333335</v>
      </c>
      <c r="CG46" s="33">
        <f>IF(CG$8&gt;='1_PANEL_CONTROL'!$D$42, IF(CG$8&lt;=12, 18000, IF(CG$8&lt;=24, 30000, 40000))/12, 0)</f>
        <v>3333.3333333333335</v>
      </c>
      <c r="CH46" s="33">
        <f>IF(CH$8&gt;='1_PANEL_CONTROL'!$D$42, IF(CH$8&lt;=12, 18000, IF(CH$8&lt;=24, 30000, 40000))/12, 0)</f>
        <v>3333.3333333333335</v>
      </c>
      <c r="CI46" s="33">
        <f>IF(CI$8&gt;='1_PANEL_CONTROL'!$D$42, IF(CI$8&lt;=12, 18000, IF(CI$8&lt;=24, 30000, 40000))/12, 0)</f>
        <v>3333.3333333333335</v>
      </c>
    </row>
    <row r="47" spans="1:87" ht="16">
      <c r="A47" s="6" t="s">
        <v>586</v>
      </c>
      <c r="B47" s="30" t="s">
        <v>465</v>
      </c>
      <c r="C47" s="15"/>
      <c r="D47" s="33">
        <f>IF(D$8&gt;='1_PANEL_CONTROL'!$D$42, MIN(MAX(D46, $D$6), $D$5), 0)</f>
        <v>1500</v>
      </c>
      <c r="E47" s="33">
        <f>IF(E$8&gt;='1_PANEL_CONTROL'!$D$42, MIN(MAX(E46, $D$6), $D$5), 0)</f>
        <v>1500</v>
      </c>
      <c r="F47" s="33">
        <f>IF(F$8&gt;='1_PANEL_CONTROL'!$D$42, MIN(MAX(F46, $D$6), $D$5), 0)</f>
        <v>1500</v>
      </c>
      <c r="G47" s="33">
        <f>IF(G$8&gt;='1_PANEL_CONTROL'!$D$42, MIN(MAX(G46, $D$6), $D$5), 0)</f>
        <v>1500</v>
      </c>
      <c r="H47" s="33">
        <f>IF(H$8&gt;='1_PANEL_CONTROL'!$D$42, MIN(MAX(H46, $D$6), $D$5), 0)</f>
        <v>1500</v>
      </c>
      <c r="I47" s="33">
        <f>IF(I$8&gt;='1_PANEL_CONTROL'!$D$42, MIN(MAX(I46, $D$6), $D$5), 0)</f>
        <v>1500</v>
      </c>
      <c r="J47" s="33">
        <f>IF(J$8&gt;='1_PANEL_CONTROL'!$D$42, MIN(MAX(J46, $D$6), $D$5), 0)</f>
        <v>1500</v>
      </c>
      <c r="K47" s="33">
        <f>IF(K$8&gt;='1_PANEL_CONTROL'!$D$42, MIN(MAX(K46, $D$6), $D$5), 0)</f>
        <v>1500</v>
      </c>
      <c r="L47" s="33">
        <f>IF(L$8&gt;='1_PANEL_CONTROL'!$D$42, MIN(MAX(L46, $D$6), $D$5), 0)</f>
        <v>1500</v>
      </c>
      <c r="M47" s="33">
        <f>IF(M$8&gt;='1_PANEL_CONTROL'!$D$42, MIN(MAX(M46, $D$6), $D$5), 0)</f>
        <v>1500</v>
      </c>
      <c r="N47" s="33">
        <f>IF(N$8&gt;='1_PANEL_CONTROL'!$D$42, MIN(MAX(N46, $D$6), $D$5), 0)</f>
        <v>1500</v>
      </c>
      <c r="O47" s="33">
        <f>IF(O$8&gt;='1_PANEL_CONTROL'!$D$42, MIN(MAX(O46, $D$6), $D$5), 0)</f>
        <v>1500</v>
      </c>
      <c r="P47" s="33">
        <f>IF(P$8&gt;='1_PANEL_CONTROL'!$D$42, MIN(MAX(P46, $D$6), $D$5), 0)</f>
        <v>2500</v>
      </c>
      <c r="Q47" s="33">
        <f>IF(Q$8&gt;='1_PANEL_CONTROL'!$D$42, MIN(MAX(Q46, $D$6), $D$5), 0)</f>
        <v>2500</v>
      </c>
      <c r="R47" s="33">
        <f>IF(R$8&gt;='1_PANEL_CONTROL'!$D$42, MIN(MAX(R46, $D$6), $D$5), 0)</f>
        <v>2500</v>
      </c>
      <c r="S47" s="33">
        <f>IF(S$8&gt;='1_PANEL_CONTROL'!$D$42, MIN(MAX(S46, $D$6), $D$5), 0)</f>
        <v>2500</v>
      </c>
      <c r="T47" s="33">
        <f>IF(T$8&gt;='1_PANEL_CONTROL'!$D$42, MIN(MAX(T46, $D$6), $D$5), 0)</f>
        <v>2500</v>
      </c>
      <c r="U47" s="33">
        <f>IF(U$8&gt;='1_PANEL_CONTROL'!$D$42, MIN(MAX(U46, $D$6), $D$5), 0)</f>
        <v>2500</v>
      </c>
      <c r="V47" s="33">
        <f>IF(V$8&gt;='1_PANEL_CONTROL'!$D$42, MIN(MAX(V46, $D$6), $D$5), 0)</f>
        <v>2500</v>
      </c>
      <c r="W47" s="33">
        <f>IF(W$8&gt;='1_PANEL_CONTROL'!$D$42, MIN(MAX(W46, $D$6), $D$5), 0)</f>
        <v>2500</v>
      </c>
      <c r="X47" s="33">
        <f>IF(X$8&gt;='1_PANEL_CONTROL'!$D$42, MIN(MAX(X46, $D$6), $D$5), 0)</f>
        <v>2500</v>
      </c>
      <c r="Y47" s="33">
        <f>IF(Y$8&gt;='1_PANEL_CONTROL'!$D$42, MIN(MAX(Y46, $D$6), $D$5), 0)</f>
        <v>2500</v>
      </c>
      <c r="Z47" s="33">
        <f>IF(Z$8&gt;='1_PANEL_CONTROL'!$D$42, MIN(MAX(Z46, $D$6), $D$5), 0)</f>
        <v>2500</v>
      </c>
      <c r="AA47" s="33">
        <f>IF(AA$8&gt;='1_PANEL_CONTROL'!$D$42, MIN(MAX(AA46, $D$6), $D$5), 0)</f>
        <v>2500</v>
      </c>
      <c r="AB47" s="33">
        <f>IF(AB$8&gt;='1_PANEL_CONTROL'!$D$42, MIN(MAX(AB46, $D$6), $D$5), 0)</f>
        <v>3333.3333333333335</v>
      </c>
      <c r="AC47" s="33">
        <f>IF(AC$8&gt;='1_PANEL_CONTROL'!$D$42, MIN(MAX(AC46, $D$6), $D$5), 0)</f>
        <v>3333.3333333333335</v>
      </c>
      <c r="AD47" s="33">
        <f>IF(AD$8&gt;='1_PANEL_CONTROL'!$D$42, MIN(MAX(AD46, $D$6), $D$5), 0)</f>
        <v>3333.3333333333335</v>
      </c>
      <c r="AE47" s="33">
        <f>IF(AE$8&gt;='1_PANEL_CONTROL'!$D$42, MIN(MAX(AE46, $D$6), $D$5), 0)</f>
        <v>3333.3333333333335</v>
      </c>
      <c r="AF47" s="33">
        <f>IF(AF$8&gt;='1_PANEL_CONTROL'!$D$42, MIN(MAX(AF46, $D$6), $D$5), 0)</f>
        <v>3333.3333333333335</v>
      </c>
      <c r="AG47" s="33">
        <f>IF(AG$8&gt;='1_PANEL_CONTROL'!$D$42, MIN(MAX(AG46, $D$6), $D$5), 0)</f>
        <v>3333.3333333333335</v>
      </c>
      <c r="AH47" s="33">
        <f>IF(AH$8&gt;='1_PANEL_CONTROL'!$D$42, MIN(MAX(AH46, $D$6), $D$5), 0)</f>
        <v>3333.3333333333335</v>
      </c>
      <c r="AI47" s="33">
        <f>IF(AI$8&gt;='1_PANEL_CONTROL'!$D$42, MIN(MAX(AI46, $D$6), $D$5), 0)</f>
        <v>3333.3333333333335</v>
      </c>
      <c r="AJ47" s="33">
        <f>IF(AJ$8&gt;='1_PANEL_CONTROL'!$D$42, MIN(MAX(AJ46, $D$6), $D$5), 0)</f>
        <v>3333.3333333333335</v>
      </c>
      <c r="AK47" s="33">
        <f>IF(AK$8&gt;='1_PANEL_CONTROL'!$D$42, MIN(MAX(AK46, $D$6), $D$5), 0)</f>
        <v>3333.3333333333335</v>
      </c>
      <c r="AL47" s="33">
        <f>IF(AL$8&gt;='1_PANEL_CONTROL'!$D$42, MIN(MAX(AL46, $D$6), $D$5), 0)</f>
        <v>3333.3333333333335</v>
      </c>
      <c r="AM47" s="33">
        <f>IF(AM$8&gt;='1_PANEL_CONTROL'!$D$42, MIN(MAX(AM46, $D$6), $D$5), 0)</f>
        <v>3333.3333333333335</v>
      </c>
      <c r="AN47" s="33">
        <f>IF(AN$8&gt;='1_PANEL_CONTROL'!$D$42, MIN(MAX(AN46, $D$6), $D$5), 0)</f>
        <v>3333.3333333333335</v>
      </c>
      <c r="AO47" s="33">
        <f>IF(AO$8&gt;='1_PANEL_CONTROL'!$D$42, MIN(MAX(AO46, $D$6), $D$5), 0)</f>
        <v>3333.3333333333335</v>
      </c>
      <c r="AP47" s="33">
        <f>IF(AP$8&gt;='1_PANEL_CONTROL'!$D$42, MIN(MAX(AP46, $D$6), $D$5), 0)</f>
        <v>3333.3333333333335</v>
      </c>
      <c r="AQ47" s="33">
        <f>IF(AQ$8&gt;='1_PANEL_CONTROL'!$D$42, MIN(MAX(AQ46, $D$6), $D$5), 0)</f>
        <v>3333.3333333333335</v>
      </c>
      <c r="AR47" s="33">
        <f>IF(AR$8&gt;='1_PANEL_CONTROL'!$D$42, MIN(MAX(AR46, $D$6), $D$5), 0)</f>
        <v>3333.3333333333335</v>
      </c>
      <c r="AS47" s="33">
        <f>IF(AS$8&gt;='1_PANEL_CONTROL'!$D$42, MIN(MAX(AS46, $D$6), $D$5), 0)</f>
        <v>3333.3333333333335</v>
      </c>
      <c r="AT47" s="33">
        <f>IF(AT$8&gt;='1_PANEL_CONTROL'!$D$42, MIN(MAX(AT46, $D$6), $D$5), 0)</f>
        <v>3333.3333333333335</v>
      </c>
      <c r="AU47" s="33">
        <f>IF(AU$8&gt;='1_PANEL_CONTROL'!$D$42, MIN(MAX(AU46, $D$6), $D$5), 0)</f>
        <v>3333.3333333333335</v>
      </c>
      <c r="AV47" s="33">
        <f>IF(AV$8&gt;='1_PANEL_CONTROL'!$D$42, MIN(MAX(AV46, $D$6), $D$5), 0)</f>
        <v>3333.3333333333335</v>
      </c>
      <c r="AW47" s="33">
        <f>IF(AW$8&gt;='1_PANEL_CONTROL'!$D$42, MIN(MAX(AW46, $D$6), $D$5), 0)</f>
        <v>3333.3333333333335</v>
      </c>
      <c r="AX47" s="33">
        <f>IF(AX$8&gt;='1_PANEL_CONTROL'!$D$42, MIN(MAX(AX46, $D$6), $D$5), 0)</f>
        <v>3333.3333333333335</v>
      </c>
      <c r="AY47" s="33">
        <f>IF(AY$8&gt;='1_PANEL_CONTROL'!$D$42, MIN(MAX(AY46, $D$6), $D$5), 0)</f>
        <v>3333.3333333333335</v>
      </c>
      <c r="AZ47" s="33">
        <f>IF(AZ$8&gt;='1_PANEL_CONTROL'!$D$42, MIN(MAX(AZ46, $D$6), $D$5), 0)</f>
        <v>3333.3333333333335</v>
      </c>
      <c r="BA47" s="33">
        <f>IF(BA$8&gt;='1_PANEL_CONTROL'!$D$42, MIN(MAX(BA46, $D$6), $D$5), 0)</f>
        <v>3333.3333333333335</v>
      </c>
      <c r="BB47" s="33">
        <f>IF(BB$8&gt;='1_PANEL_CONTROL'!$D$42, MIN(MAX(BB46, $D$6), $D$5), 0)</f>
        <v>3333.3333333333335</v>
      </c>
      <c r="BC47" s="33">
        <f>IF(BC$8&gt;='1_PANEL_CONTROL'!$D$42, MIN(MAX(BC46, $D$6), $D$5), 0)</f>
        <v>3333.3333333333335</v>
      </c>
      <c r="BD47" s="33">
        <f>IF(BD$8&gt;='1_PANEL_CONTROL'!$D$42, MIN(MAX(BD46, $D$6), $D$5), 0)</f>
        <v>3333.3333333333335</v>
      </c>
      <c r="BE47" s="33">
        <f>IF(BE$8&gt;='1_PANEL_CONTROL'!$D$42, MIN(MAX(BE46, $D$6), $D$5), 0)</f>
        <v>3333.3333333333335</v>
      </c>
      <c r="BF47" s="33">
        <f>IF(BF$8&gt;='1_PANEL_CONTROL'!$D$42, MIN(MAX(BF46, $D$6), $D$5), 0)</f>
        <v>3333.3333333333335</v>
      </c>
      <c r="BG47" s="33">
        <f>IF(BG$8&gt;='1_PANEL_CONTROL'!$D$42, MIN(MAX(BG46, $D$6), $D$5), 0)</f>
        <v>3333.3333333333335</v>
      </c>
      <c r="BH47" s="33">
        <f>IF(BH$8&gt;='1_PANEL_CONTROL'!$D$42, MIN(MAX(BH46, $D$6), $D$5), 0)</f>
        <v>3333.3333333333335</v>
      </c>
      <c r="BI47" s="33">
        <f>IF(BI$8&gt;='1_PANEL_CONTROL'!$D$42, MIN(MAX(BI46, $D$6), $D$5), 0)</f>
        <v>3333.3333333333335</v>
      </c>
      <c r="BJ47" s="33">
        <f>IF(BJ$8&gt;='1_PANEL_CONTROL'!$D$42, MIN(MAX(BJ46, $D$6), $D$5), 0)</f>
        <v>3333.3333333333335</v>
      </c>
      <c r="BK47" s="33">
        <f>IF(BK$8&gt;='1_PANEL_CONTROL'!$D$42, MIN(MAX(BK46, $D$6), $D$5), 0)</f>
        <v>3333.3333333333335</v>
      </c>
      <c r="BL47" s="33">
        <f>IF(BL$8&gt;='1_PANEL_CONTROL'!$D$42, MIN(MAX(BL46, $D$6), $D$5), 0)</f>
        <v>3333.3333333333335</v>
      </c>
      <c r="BM47" s="33">
        <f>IF(BM$8&gt;='1_PANEL_CONTROL'!$D$42, MIN(MAX(BM46, $D$6), $D$5), 0)</f>
        <v>3333.3333333333335</v>
      </c>
      <c r="BN47" s="33">
        <f>IF(BN$8&gt;='1_PANEL_CONTROL'!$D$42, MIN(MAX(BN46, $D$6), $D$5), 0)</f>
        <v>3333.3333333333335</v>
      </c>
      <c r="BO47" s="33">
        <f>IF(BO$8&gt;='1_PANEL_CONTROL'!$D$42, MIN(MAX(BO46, $D$6), $D$5), 0)</f>
        <v>3333.3333333333335</v>
      </c>
      <c r="BP47" s="33">
        <f>IF(BP$8&gt;='1_PANEL_CONTROL'!$D$42, MIN(MAX(BP46, $D$6), $D$5), 0)</f>
        <v>3333.3333333333335</v>
      </c>
      <c r="BQ47" s="33">
        <f>IF(BQ$8&gt;='1_PANEL_CONTROL'!$D$42, MIN(MAX(BQ46, $D$6), $D$5), 0)</f>
        <v>3333.3333333333335</v>
      </c>
      <c r="BR47" s="33">
        <f>IF(BR$8&gt;='1_PANEL_CONTROL'!$D$42, MIN(MAX(BR46, $D$6), $D$5), 0)</f>
        <v>3333.3333333333335</v>
      </c>
      <c r="BS47" s="33">
        <f>IF(BS$8&gt;='1_PANEL_CONTROL'!$D$42, MIN(MAX(BS46, $D$6), $D$5), 0)</f>
        <v>3333.3333333333335</v>
      </c>
      <c r="BT47" s="33">
        <f>IF(BT$8&gt;='1_PANEL_CONTROL'!$D$42, MIN(MAX(BT46, $D$6), $D$5), 0)</f>
        <v>3333.3333333333335</v>
      </c>
      <c r="BU47" s="33">
        <f>IF(BU$8&gt;='1_PANEL_CONTROL'!$D$42, MIN(MAX(BU46, $D$6), $D$5), 0)</f>
        <v>3333.3333333333335</v>
      </c>
      <c r="BV47" s="33">
        <f>IF(BV$8&gt;='1_PANEL_CONTROL'!$D$42, MIN(MAX(BV46, $D$6), $D$5), 0)</f>
        <v>3333.3333333333335</v>
      </c>
      <c r="BW47" s="33">
        <f>IF(BW$8&gt;='1_PANEL_CONTROL'!$D$42, MIN(MAX(BW46, $D$6), $D$5), 0)</f>
        <v>3333.3333333333335</v>
      </c>
      <c r="BX47" s="33">
        <f>IF(BX$8&gt;='1_PANEL_CONTROL'!$D$42, MIN(MAX(BX46, $D$6), $D$5), 0)</f>
        <v>3333.3333333333335</v>
      </c>
      <c r="BY47" s="33">
        <f>IF(BY$8&gt;='1_PANEL_CONTROL'!$D$42, MIN(MAX(BY46, $D$6), $D$5), 0)</f>
        <v>3333.3333333333335</v>
      </c>
      <c r="BZ47" s="33">
        <f>IF(BZ$8&gt;='1_PANEL_CONTROL'!$D$42, MIN(MAX(BZ46, $D$6), $D$5), 0)</f>
        <v>3333.3333333333335</v>
      </c>
      <c r="CA47" s="33">
        <f>IF(CA$8&gt;='1_PANEL_CONTROL'!$D$42, MIN(MAX(CA46, $D$6), $D$5), 0)</f>
        <v>3333.3333333333335</v>
      </c>
      <c r="CB47" s="33">
        <f>IF(CB$8&gt;='1_PANEL_CONTROL'!$D$42, MIN(MAX(CB46, $D$6), $D$5), 0)</f>
        <v>3333.3333333333335</v>
      </c>
      <c r="CC47" s="33">
        <f>IF(CC$8&gt;='1_PANEL_CONTROL'!$D$42, MIN(MAX(CC46, $D$6), $D$5), 0)</f>
        <v>3333.3333333333335</v>
      </c>
      <c r="CD47" s="33">
        <f>IF(CD$8&gt;='1_PANEL_CONTROL'!$D$42, MIN(MAX(CD46, $D$6), $D$5), 0)</f>
        <v>3333.3333333333335</v>
      </c>
      <c r="CE47" s="33">
        <f>IF(CE$8&gt;='1_PANEL_CONTROL'!$D$42, MIN(MAX(CE46, $D$6), $D$5), 0)</f>
        <v>3333.3333333333335</v>
      </c>
      <c r="CF47" s="33">
        <f>IF(CF$8&gt;='1_PANEL_CONTROL'!$D$42, MIN(MAX(CF46, $D$6), $D$5), 0)</f>
        <v>3333.3333333333335</v>
      </c>
      <c r="CG47" s="33">
        <f>IF(CG$8&gt;='1_PANEL_CONTROL'!$D$42, MIN(MAX(CG46, $D$6), $D$5), 0)</f>
        <v>3333.3333333333335</v>
      </c>
      <c r="CH47" s="33">
        <f>IF(CH$8&gt;='1_PANEL_CONTROL'!$D$42, MIN(MAX(CH46, $D$6), $D$5), 0)</f>
        <v>3333.3333333333335</v>
      </c>
      <c r="CI47" s="33">
        <f>IF(CI$8&gt;='1_PANEL_CONTROL'!$D$42, MIN(MAX(CI46, $D$6), $D$5), 0)</f>
        <v>3333.3333333333335</v>
      </c>
    </row>
    <row r="48" spans="1:87" ht="16">
      <c r="A48" s="6" t="s">
        <v>587</v>
      </c>
      <c r="B48" s="30" t="s">
        <v>465</v>
      </c>
      <c r="C48" s="15"/>
      <c r="D48" s="33">
        <f>IF(D$8&gt;='1_PANEL_CONTROL'!$D$42, '1_PANEL_CONTROL'!$F$33, 0)</f>
        <v>448.69</v>
      </c>
      <c r="E48" s="33">
        <f>IF(E$8&gt;='1_PANEL_CONTROL'!$D$42, '1_PANEL_CONTROL'!$F$33, 0)</f>
        <v>448.69</v>
      </c>
      <c r="F48" s="33">
        <f>IF(F$8&gt;='1_PANEL_CONTROL'!$D$42, '1_PANEL_CONTROL'!$F$33, 0)</f>
        <v>448.69</v>
      </c>
      <c r="G48" s="33">
        <f>IF(G$8&gt;='1_PANEL_CONTROL'!$D$42, '1_PANEL_CONTROL'!$F$33, 0)</f>
        <v>448.69</v>
      </c>
      <c r="H48" s="33">
        <f>IF(H$8&gt;='1_PANEL_CONTROL'!$D$42, '1_PANEL_CONTROL'!$F$33, 0)</f>
        <v>448.69</v>
      </c>
      <c r="I48" s="33">
        <f>IF(I$8&gt;='1_PANEL_CONTROL'!$D$42, '1_PANEL_CONTROL'!$F$33, 0)</f>
        <v>448.69</v>
      </c>
      <c r="J48" s="33">
        <f>IF(J$8&gt;='1_PANEL_CONTROL'!$D$42, '1_PANEL_CONTROL'!$F$33, 0)</f>
        <v>448.69</v>
      </c>
      <c r="K48" s="33">
        <f>IF(K$8&gt;='1_PANEL_CONTROL'!$D$42, '1_PANEL_CONTROL'!$F$33, 0)</f>
        <v>448.69</v>
      </c>
      <c r="L48" s="33">
        <f>IF(L$8&gt;='1_PANEL_CONTROL'!$D$42, '1_PANEL_CONTROL'!$F$33, 0)</f>
        <v>448.69</v>
      </c>
      <c r="M48" s="33">
        <f>IF(M$8&gt;='1_PANEL_CONTROL'!$D$42, '1_PANEL_CONTROL'!$F$33, 0)</f>
        <v>448.69</v>
      </c>
      <c r="N48" s="33">
        <f>IF(N$8&gt;='1_PANEL_CONTROL'!$D$42, '1_PANEL_CONTROL'!$F$33, 0)</f>
        <v>448.69</v>
      </c>
      <c r="O48" s="33">
        <f>IF(O$8&gt;='1_PANEL_CONTROL'!$D$42, '1_PANEL_CONTROL'!$F$33, 0)</f>
        <v>448.69</v>
      </c>
      <c r="P48" s="33">
        <f>IF(P$8&gt;='1_PANEL_CONTROL'!$D$42, '1_PANEL_CONTROL'!$F$33, 0)</f>
        <v>448.69</v>
      </c>
      <c r="Q48" s="33">
        <f>IF(Q$8&gt;='1_PANEL_CONTROL'!$D$42, '1_PANEL_CONTROL'!$F$33, 0)</f>
        <v>448.69</v>
      </c>
      <c r="R48" s="33">
        <f>IF(R$8&gt;='1_PANEL_CONTROL'!$D$42, '1_PANEL_CONTROL'!$F$33, 0)</f>
        <v>448.69</v>
      </c>
      <c r="S48" s="33">
        <f>IF(S$8&gt;='1_PANEL_CONTROL'!$D$42, '1_PANEL_CONTROL'!$F$33, 0)</f>
        <v>448.69</v>
      </c>
      <c r="T48" s="33">
        <f>IF(T$8&gt;='1_PANEL_CONTROL'!$D$42, '1_PANEL_CONTROL'!$F$33, 0)</f>
        <v>448.69</v>
      </c>
      <c r="U48" s="33">
        <f>IF(U$8&gt;='1_PANEL_CONTROL'!$D$42, '1_PANEL_CONTROL'!$F$33, 0)</f>
        <v>448.69</v>
      </c>
      <c r="V48" s="33">
        <f>IF(V$8&gt;='1_PANEL_CONTROL'!$D$42, '1_PANEL_CONTROL'!$F$33, 0)</f>
        <v>448.69</v>
      </c>
      <c r="W48" s="33">
        <f>IF(W$8&gt;='1_PANEL_CONTROL'!$D$42, '1_PANEL_CONTROL'!$F$33, 0)</f>
        <v>448.69</v>
      </c>
      <c r="X48" s="33">
        <f>IF(X$8&gt;='1_PANEL_CONTROL'!$D$42, '1_PANEL_CONTROL'!$F$33, 0)</f>
        <v>448.69</v>
      </c>
      <c r="Y48" s="33">
        <f>IF(Y$8&gt;='1_PANEL_CONTROL'!$D$42, '1_PANEL_CONTROL'!$F$33, 0)</f>
        <v>448.69</v>
      </c>
      <c r="Z48" s="33">
        <f>IF(Z$8&gt;='1_PANEL_CONTROL'!$D$42, '1_PANEL_CONTROL'!$F$33, 0)</f>
        <v>448.69</v>
      </c>
      <c r="AA48" s="33">
        <f>IF(AA$8&gt;='1_PANEL_CONTROL'!$D$42, '1_PANEL_CONTROL'!$F$33, 0)</f>
        <v>448.69</v>
      </c>
      <c r="AB48" s="33">
        <f>IF(AB$8&gt;='1_PANEL_CONTROL'!$D$42, '1_PANEL_CONTROL'!$F$33, 0)</f>
        <v>448.69</v>
      </c>
      <c r="AC48" s="33">
        <f>IF(AC$8&gt;='1_PANEL_CONTROL'!$D$42, '1_PANEL_CONTROL'!$F$33, 0)</f>
        <v>448.69</v>
      </c>
      <c r="AD48" s="33">
        <f>IF(AD$8&gt;='1_PANEL_CONTROL'!$D$42, '1_PANEL_CONTROL'!$F$33, 0)</f>
        <v>448.69</v>
      </c>
      <c r="AE48" s="33">
        <f>IF(AE$8&gt;='1_PANEL_CONTROL'!$D$42, '1_PANEL_CONTROL'!$F$33, 0)</f>
        <v>448.69</v>
      </c>
      <c r="AF48" s="33">
        <f>IF(AF$8&gt;='1_PANEL_CONTROL'!$D$42, '1_PANEL_CONTROL'!$F$33, 0)</f>
        <v>448.69</v>
      </c>
      <c r="AG48" s="33">
        <f>IF(AG$8&gt;='1_PANEL_CONTROL'!$D$42, '1_PANEL_CONTROL'!$F$33, 0)</f>
        <v>448.69</v>
      </c>
      <c r="AH48" s="33">
        <f>IF(AH$8&gt;='1_PANEL_CONTROL'!$D$42, '1_PANEL_CONTROL'!$F$33, 0)</f>
        <v>448.69</v>
      </c>
      <c r="AI48" s="33">
        <f>IF(AI$8&gt;='1_PANEL_CONTROL'!$D$42, '1_PANEL_CONTROL'!$F$33, 0)</f>
        <v>448.69</v>
      </c>
      <c r="AJ48" s="33">
        <f>IF(AJ$8&gt;='1_PANEL_CONTROL'!$D$42, '1_PANEL_CONTROL'!$F$33, 0)</f>
        <v>448.69</v>
      </c>
      <c r="AK48" s="33">
        <f>IF(AK$8&gt;='1_PANEL_CONTROL'!$D$42, '1_PANEL_CONTROL'!$F$33, 0)</f>
        <v>448.69</v>
      </c>
      <c r="AL48" s="33">
        <f>IF(AL$8&gt;='1_PANEL_CONTROL'!$D$42, '1_PANEL_CONTROL'!$F$33, 0)</f>
        <v>448.69</v>
      </c>
      <c r="AM48" s="33">
        <f>IF(AM$8&gt;='1_PANEL_CONTROL'!$D$42, '1_PANEL_CONTROL'!$F$33, 0)</f>
        <v>448.69</v>
      </c>
      <c r="AN48" s="33">
        <f>IF(AN$8&gt;='1_PANEL_CONTROL'!$D$42, '1_PANEL_CONTROL'!$F$33, 0)</f>
        <v>448.69</v>
      </c>
      <c r="AO48" s="33">
        <f>IF(AO$8&gt;='1_PANEL_CONTROL'!$D$42, '1_PANEL_CONTROL'!$F$33, 0)</f>
        <v>448.69</v>
      </c>
      <c r="AP48" s="33">
        <f>IF(AP$8&gt;='1_PANEL_CONTROL'!$D$42, '1_PANEL_CONTROL'!$F$33, 0)</f>
        <v>448.69</v>
      </c>
      <c r="AQ48" s="33">
        <f>IF(AQ$8&gt;='1_PANEL_CONTROL'!$D$42, '1_PANEL_CONTROL'!$F$33, 0)</f>
        <v>448.69</v>
      </c>
      <c r="AR48" s="33">
        <f>IF(AR$8&gt;='1_PANEL_CONTROL'!$D$42, '1_PANEL_CONTROL'!$F$33, 0)</f>
        <v>448.69</v>
      </c>
      <c r="AS48" s="33">
        <f>IF(AS$8&gt;='1_PANEL_CONTROL'!$D$42, '1_PANEL_CONTROL'!$F$33, 0)</f>
        <v>448.69</v>
      </c>
      <c r="AT48" s="33">
        <f>IF(AT$8&gt;='1_PANEL_CONTROL'!$D$42, '1_PANEL_CONTROL'!$F$33, 0)</f>
        <v>448.69</v>
      </c>
      <c r="AU48" s="33">
        <f>IF(AU$8&gt;='1_PANEL_CONTROL'!$D$42, '1_PANEL_CONTROL'!$F$33, 0)</f>
        <v>448.69</v>
      </c>
      <c r="AV48" s="33">
        <f>IF(AV$8&gt;='1_PANEL_CONTROL'!$D$42, '1_PANEL_CONTROL'!$F$33, 0)</f>
        <v>448.69</v>
      </c>
      <c r="AW48" s="33">
        <f>IF(AW$8&gt;='1_PANEL_CONTROL'!$D$42, '1_PANEL_CONTROL'!$F$33, 0)</f>
        <v>448.69</v>
      </c>
      <c r="AX48" s="33">
        <f>IF(AX$8&gt;='1_PANEL_CONTROL'!$D$42, '1_PANEL_CONTROL'!$F$33, 0)</f>
        <v>448.69</v>
      </c>
      <c r="AY48" s="33">
        <f>IF(AY$8&gt;='1_PANEL_CONTROL'!$D$42, '1_PANEL_CONTROL'!$F$33, 0)</f>
        <v>448.69</v>
      </c>
      <c r="AZ48" s="33">
        <f>IF(AZ$8&gt;='1_PANEL_CONTROL'!$D$42, '1_PANEL_CONTROL'!$F$33, 0)</f>
        <v>448.69</v>
      </c>
      <c r="BA48" s="33">
        <f>IF(BA$8&gt;='1_PANEL_CONTROL'!$D$42, '1_PANEL_CONTROL'!$F$33, 0)</f>
        <v>448.69</v>
      </c>
      <c r="BB48" s="33">
        <f>IF(BB$8&gt;='1_PANEL_CONTROL'!$D$42, '1_PANEL_CONTROL'!$F$33, 0)</f>
        <v>448.69</v>
      </c>
      <c r="BC48" s="33">
        <f>IF(BC$8&gt;='1_PANEL_CONTROL'!$D$42, '1_PANEL_CONTROL'!$F$33, 0)</f>
        <v>448.69</v>
      </c>
      <c r="BD48" s="33">
        <f>IF(BD$8&gt;='1_PANEL_CONTROL'!$D$42, '1_PANEL_CONTROL'!$F$33, 0)</f>
        <v>448.69</v>
      </c>
      <c r="BE48" s="33">
        <f>IF(BE$8&gt;='1_PANEL_CONTROL'!$D$42, '1_PANEL_CONTROL'!$F$33, 0)</f>
        <v>448.69</v>
      </c>
      <c r="BF48" s="33">
        <f>IF(BF$8&gt;='1_PANEL_CONTROL'!$D$42, '1_PANEL_CONTROL'!$F$33, 0)</f>
        <v>448.69</v>
      </c>
      <c r="BG48" s="33">
        <f>IF(BG$8&gt;='1_PANEL_CONTROL'!$D$42, '1_PANEL_CONTROL'!$F$33, 0)</f>
        <v>448.69</v>
      </c>
      <c r="BH48" s="33">
        <f>IF(BH$8&gt;='1_PANEL_CONTROL'!$D$42, '1_PANEL_CONTROL'!$F$33, 0)</f>
        <v>448.69</v>
      </c>
      <c r="BI48" s="33">
        <f>IF(BI$8&gt;='1_PANEL_CONTROL'!$D$42, '1_PANEL_CONTROL'!$F$33, 0)</f>
        <v>448.69</v>
      </c>
      <c r="BJ48" s="33">
        <f>IF(BJ$8&gt;='1_PANEL_CONTROL'!$D$42, '1_PANEL_CONTROL'!$F$33, 0)</f>
        <v>448.69</v>
      </c>
      <c r="BK48" s="33">
        <f>IF(BK$8&gt;='1_PANEL_CONTROL'!$D$42, '1_PANEL_CONTROL'!$F$33, 0)</f>
        <v>448.69</v>
      </c>
      <c r="BL48" s="33">
        <f>IF(BL$8&gt;='1_PANEL_CONTROL'!$D$42, '1_PANEL_CONTROL'!$F$33, 0)</f>
        <v>448.69</v>
      </c>
      <c r="BM48" s="33">
        <f>IF(BM$8&gt;='1_PANEL_CONTROL'!$D$42, '1_PANEL_CONTROL'!$F$33, 0)</f>
        <v>448.69</v>
      </c>
      <c r="BN48" s="33">
        <f>IF(BN$8&gt;='1_PANEL_CONTROL'!$D$42, '1_PANEL_CONTROL'!$F$33, 0)</f>
        <v>448.69</v>
      </c>
      <c r="BO48" s="33">
        <f>IF(BO$8&gt;='1_PANEL_CONTROL'!$D$42, '1_PANEL_CONTROL'!$F$33, 0)</f>
        <v>448.69</v>
      </c>
      <c r="BP48" s="33">
        <f>IF(BP$8&gt;='1_PANEL_CONTROL'!$D$42, '1_PANEL_CONTROL'!$F$33, 0)</f>
        <v>448.69</v>
      </c>
      <c r="BQ48" s="33">
        <f>IF(BQ$8&gt;='1_PANEL_CONTROL'!$D$42, '1_PANEL_CONTROL'!$F$33, 0)</f>
        <v>448.69</v>
      </c>
      <c r="BR48" s="33">
        <f>IF(BR$8&gt;='1_PANEL_CONTROL'!$D$42, '1_PANEL_CONTROL'!$F$33, 0)</f>
        <v>448.69</v>
      </c>
      <c r="BS48" s="33">
        <f>IF(BS$8&gt;='1_PANEL_CONTROL'!$D$42, '1_PANEL_CONTROL'!$F$33, 0)</f>
        <v>448.69</v>
      </c>
      <c r="BT48" s="33">
        <f>IF(BT$8&gt;='1_PANEL_CONTROL'!$D$42, '1_PANEL_CONTROL'!$F$33, 0)</f>
        <v>448.69</v>
      </c>
      <c r="BU48" s="33">
        <f>IF(BU$8&gt;='1_PANEL_CONTROL'!$D$42, '1_PANEL_CONTROL'!$F$33, 0)</f>
        <v>448.69</v>
      </c>
      <c r="BV48" s="33">
        <f>IF(BV$8&gt;='1_PANEL_CONTROL'!$D$42, '1_PANEL_CONTROL'!$F$33, 0)</f>
        <v>448.69</v>
      </c>
      <c r="BW48" s="33">
        <f>IF(BW$8&gt;='1_PANEL_CONTROL'!$D$42, '1_PANEL_CONTROL'!$F$33, 0)</f>
        <v>448.69</v>
      </c>
      <c r="BX48" s="33">
        <f>IF(BX$8&gt;='1_PANEL_CONTROL'!$D$42, '1_PANEL_CONTROL'!$F$33, 0)</f>
        <v>448.69</v>
      </c>
      <c r="BY48" s="33">
        <f>IF(BY$8&gt;='1_PANEL_CONTROL'!$D$42, '1_PANEL_CONTROL'!$F$33, 0)</f>
        <v>448.69</v>
      </c>
      <c r="BZ48" s="33">
        <f>IF(BZ$8&gt;='1_PANEL_CONTROL'!$D$42, '1_PANEL_CONTROL'!$F$33, 0)</f>
        <v>448.69</v>
      </c>
      <c r="CA48" s="33">
        <f>IF(CA$8&gt;='1_PANEL_CONTROL'!$D$42, '1_PANEL_CONTROL'!$F$33, 0)</f>
        <v>448.69</v>
      </c>
      <c r="CB48" s="33">
        <f>IF(CB$8&gt;='1_PANEL_CONTROL'!$D$42, '1_PANEL_CONTROL'!$F$33, 0)</f>
        <v>448.69</v>
      </c>
      <c r="CC48" s="33">
        <f>IF(CC$8&gt;='1_PANEL_CONTROL'!$D$42, '1_PANEL_CONTROL'!$F$33, 0)</f>
        <v>448.69</v>
      </c>
      <c r="CD48" s="33">
        <f>IF(CD$8&gt;='1_PANEL_CONTROL'!$D$42, '1_PANEL_CONTROL'!$F$33, 0)</f>
        <v>448.69</v>
      </c>
      <c r="CE48" s="33">
        <f>IF(CE$8&gt;='1_PANEL_CONTROL'!$D$42, '1_PANEL_CONTROL'!$F$33, 0)</f>
        <v>448.69</v>
      </c>
      <c r="CF48" s="33">
        <f>IF(CF$8&gt;='1_PANEL_CONTROL'!$D$42, '1_PANEL_CONTROL'!$F$33, 0)</f>
        <v>448.69</v>
      </c>
      <c r="CG48" s="33">
        <f>IF(CG$8&gt;='1_PANEL_CONTROL'!$D$42, '1_PANEL_CONTROL'!$F$33, 0)</f>
        <v>448.69</v>
      </c>
      <c r="CH48" s="33">
        <f>IF(CH$8&gt;='1_PANEL_CONTROL'!$D$42, '1_PANEL_CONTROL'!$F$33, 0)</f>
        <v>448.69</v>
      </c>
      <c r="CI48" s="33">
        <f>IF(CI$8&gt;='1_PANEL_CONTROL'!$D$42, '1_PANEL_CONTROL'!$F$33, 0)</f>
        <v>448.69</v>
      </c>
    </row>
    <row r="49" spans="1:87" ht="16">
      <c r="A49" s="6" t="s">
        <v>588</v>
      </c>
      <c r="B49" s="30" t="s">
        <v>465</v>
      </c>
      <c r="C49" s="15"/>
      <c r="D49" s="33">
        <v>0</v>
      </c>
      <c r="E49" s="33">
        <v>0</v>
      </c>
      <c r="F49" s="33">
        <v>0</v>
      </c>
      <c r="G49" s="33">
        <v>0</v>
      </c>
      <c r="H49" s="33">
        <v>0</v>
      </c>
      <c r="I49" s="33">
        <v>0</v>
      </c>
      <c r="J49" s="33">
        <v>0</v>
      </c>
      <c r="K49" s="33">
        <v>0</v>
      </c>
      <c r="L49" s="33">
        <v>0</v>
      </c>
      <c r="M49" s="33">
        <v>0</v>
      </c>
      <c r="N49" s="33">
        <v>0</v>
      </c>
      <c r="O49" s="33">
        <v>0</v>
      </c>
      <c r="P49" s="33">
        <v>0</v>
      </c>
      <c r="Q49" s="33">
        <v>0</v>
      </c>
      <c r="R49" s="33">
        <v>0</v>
      </c>
      <c r="S49" s="33">
        <v>0</v>
      </c>
      <c r="T49" s="33">
        <v>0</v>
      </c>
      <c r="U49" s="33">
        <v>0</v>
      </c>
      <c r="V49" s="33">
        <v>0</v>
      </c>
      <c r="W49" s="33">
        <v>0</v>
      </c>
      <c r="X49" s="33">
        <v>0</v>
      </c>
      <c r="Y49" s="33">
        <v>0</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0</v>
      </c>
      <c r="BT49" s="33">
        <v>0</v>
      </c>
      <c r="BU49" s="33">
        <v>0</v>
      </c>
      <c r="BV49" s="33">
        <v>0</v>
      </c>
      <c r="BW49" s="33">
        <v>0</v>
      </c>
      <c r="BX49" s="33">
        <v>0</v>
      </c>
      <c r="BY49" s="33">
        <v>0</v>
      </c>
      <c r="BZ49" s="33">
        <v>0</v>
      </c>
      <c r="CA49" s="33">
        <v>0</v>
      </c>
      <c r="CB49" s="33">
        <v>0</v>
      </c>
      <c r="CC49" s="33">
        <v>0</v>
      </c>
      <c r="CD49" s="33">
        <v>0</v>
      </c>
      <c r="CE49" s="33">
        <v>0</v>
      </c>
      <c r="CF49" s="33">
        <v>0</v>
      </c>
      <c r="CG49" s="33">
        <v>0</v>
      </c>
      <c r="CH49" s="33">
        <v>0</v>
      </c>
      <c r="CI49" s="33">
        <v>0</v>
      </c>
    </row>
    <row r="50" spans="1:87" ht="16">
      <c r="A50" s="6" t="s">
        <v>589</v>
      </c>
      <c r="B50" s="30" t="s">
        <v>465</v>
      </c>
      <c r="C50" s="15"/>
      <c r="D50" s="33">
        <f>D45*'1_PANEL_CONTROL'!$E$42</f>
        <v>225</v>
      </c>
      <c r="E50" s="33">
        <f>E45*'1_PANEL_CONTROL'!$E$42</f>
        <v>225</v>
      </c>
      <c r="F50" s="33">
        <f>F45*'1_PANEL_CONTROL'!$E$42</f>
        <v>225</v>
      </c>
      <c r="G50" s="33">
        <f>G45*'1_PANEL_CONTROL'!$E$42</f>
        <v>225</v>
      </c>
      <c r="H50" s="33">
        <f>H45*'1_PANEL_CONTROL'!$E$42</f>
        <v>225</v>
      </c>
      <c r="I50" s="33">
        <f>I45*'1_PANEL_CONTROL'!$E$42</f>
        <v>225</v>
      </c>
      <c r="J50" s="33">
        <f>J45*'1_PANEL_CONTROL'!$E$42</f>
        <v>225</v>
      </c>
      <c r="K50" s="33">
        <f>K45*'1_PANEL_CONTROL'!$E$42</f>
        <v>225</v>
      </c>
      <c r="L50" s="33">
        <f>L45*'1_PANEL_CONTROL'!$E$42</f>
        <v>225</v>
      </c>
      <c r="M50" s="33">
        <f>M45*'1_PANEL_CONTROL'!$E$42</f>
        <v>225</v>
      </c>
      <c r="N50" s="33">
        <f>N45*'1_PANEL_CONTROL'!$E$42</f>
        <v>225</v>
      </c>
      <c r="O50" s="33">
        <f>O45*'1_PANEL_CONTROL'!$E$42</f>
        <v>225</v>
      </c>
      <c r="P50" s="33">
        <f>P45*'1_PANEL_CONTROL'!$E$42</f>
        <v>375</v>
      </c>
      <c r="Q50" s="33">
        <f>Q45*'1_PANEL_CONTROL'!$E$42</f>
        <v>375</v>
      </c>
      <c r="R50" s="33">
        <f>R45*'1_PANEL_CONTROL'!$E$42</f>
        <v>375</v>
      </c>
      <c r="S50" s="33">
        <f>S45*'1_PANEL_CONTROL'!$E$42</f>
        <v>375</v>
      </c>
      <c r="T50" s="33">
        <f>T45*'1_PANEL_CONTROL'!$E$42</f>
        <v>375</v>
      </c>
      <c r="U50" s="33">
        <f>U45*'1_PANEL_CONTROL'!$E$42</f>
        <v>375</v>
      </c>
      <c r="V50" s="33">
        <f>V45*'1_PANEL_CONTROL'!$E$42</f>
        <v>375</v>
      </c>
      <c r="W50" s="33">
        <f>W45*'1_PANEL_CONTROL'!$E$42</f>
        <v>375</v>
      </c>
      <c r="X50" s="33">
        <f>X45*'1_PANEL_CONTROL'!$E$42</f>
        <v>375</v>
      </c>
      <c r="Y50" s="33">
        <f>Y45*'1_PANEL_CONTROL'!$E$42</f>
        <v>375</v>
      </c>
      <c r="Z50" s="33">
        <f>Z45*'1_PANEL_CONTROL'!$E$42</f>
        <v>375</v>
      </c>
      <c r="AA50" s="33">
        <f>AA45*'1_PANEL_CONTROL'!$E$42</f>
        <v>375</v>
      </c>
      <c r="AB50" s="33">
        <f>AB45*'1_PANEL_CONTROL'!$E$42</f>
        <v>500</v>
      </c>
      <c r="AC50" s="33">
        <f>AC45*'1_PANEL_CONTROL'!$E$42</f>
        <v>500</v>
      </c>
      <c r="AD50" s="33">
        <f>AD45*'1_PANEL_CONTROL'!$E$42</f>
        <v>500</v>
      </c>
      <c r="AE50" s="33">
        <f>AE45*'1_PANEL_CONTROL'!$E$42</f>
        <v>500</v>
      </c>
      <c r="AF50" s="33">
        <f>AF45*'1_PANEL_CONTROL'!$E$42</f>
        <v>500</v>
      </c>
      <c r="AG50" s="33">
        <f>AG45*'1_PANEL_CONTROL'!$E$42</f>
        <v>500</v>
      </c>
      <c r="AH50" s="33">
        <f>AH45*'1_PANEL_CONTROL'!$E$42</f>
        <v>500</v>
      </c>
      <c r="AI50" s="33">
        <f>AI45*'1_PANEL_CONTROL'!$E$42</f>
        <v>500</v>
      </c>
      <c r="AJ50" s="33">
        <f>AJ45*'1_PANEL_CONTROL'!$E$42</f>
        <v>500</v>
      </c>
      <c r="AK50" s="33">
        <f>AK45*'1_PANEL_CONTROL'!$E$42</f>
        <v>500</v>
      </c>
      <c r="AL50" s="33">
        <f>AL45*'1_PANEL_CONTROL'!$E$42</f>
        <v>500</v>
      </c>
      <c r="AM50" s="33">
        <f>AM45*'1_PANEL_CONTROL'!$E$42</f>
        <v>500</v>
      </c>
      <c r="AN50" s="33">
        <f>AN45*'1_PANEL_CONTROL'!$E$42</f>
        <v>500</v>
      </c>
      <c r="AO50" s="33">
        <f>AO45*'1_PANEL_CONTROL'!$E$42</f>
        <v>500</v>
      </c>
      <c r="AP50" s="33">
        <f>AP45*'1_PANEL_CONTROL'!$E$42</f>
        <v>500</v>
      </c>
      <c r="AQ50" s="33">
        <f>AQ45*'1_PANEL_CONTROL'!$E$42</f>
        <v>500</v>
      </c>
      <c r="AR50" s="33">
        <f>AR45*'1_PANEL_CONTROL'!$E$42</f>
        <v>500</v>
      </c>
      <c r="AS50" s="33">
        <f>AS45*'1_PANEL_CONTROL'!$E$42</f>
        <v>500</v>
      </c>
      <c r="AT50" s="33">
        <f>AT45*'1_PANEL_CONTROL'!$E$42</f>
        <v>500</v>
      </c>
      <c r="AU50" s="33">
        <f>AU45*'1_PANEL_CONTROL'!$E$42</f>
        <v>500</v>
      </c>
      <c r="AV50" s="33">
        <f>AV45*'1_PANEL_CONTROL'!$E$42</f>
        <v>500</v>
      </c>
      <c r="AW50" s="33">
        <f>AW45*'1_PANEL_CONTROL'!$E$42</f>
        <v>500</v>
      </c>
      <c r="AX50" s="33">
        <f>AX45*'1_PANEL_CONTROL'!$E$42</f>
        <v>500</v>
      </c>
      <c r="AY50" s="33">
        <f>AY45*'1_PANEL_CONTROL'!$E$42</f>
        <v>500</v>
      </c>
      <c r="AZ50" s="33">
        <f>AZ45*'1_PANEL_CONTROL'!$E$42</f>
        <v>500</v>
      </c>
      <c r="BA50" s="33">
        <f>BA45*'1_PANEL_CONTROL'!$E$42</f>
        <v>500</v>
      </c>
      <c r="BB50" s="33">
        <f>BB45*'1_PANEL_CONTROL'!$E$42</f>
        <v>500</v>
      </c>
      <c r="BC50" s="33">
        <f>BC45*'1_PANEL_CONTROL'!$E$42</f>
        <v>500</v>
      </c>
      <c r="BD50" s="33">
        <f>BD45*'1_PANEL_CONTROL'!$E$42</f>
        <v>500</v>
      </c>
      <c r="BE50" s="33">
        <f>BE45*'1_PANEL_CONTROL'!$E$42</f>
        <v>500</v>
      </c>
      <c r="BF50" s="33">
        <f>BF45*'1_PANEL_CONTROL'!$E$42</f>
        <v>500</v>
      </c>
      <c r="BG50" s="33">
        <f>BG45*'1_PANEL_CONTROL'!$E$42</f>
        <v>500</v>
      </c>
      <c r="BH50" s="33">
        <f>BH45*'1_PANEL_CONTROL'!$E$42</f>
        <v>500</v>
      </c>
      <c r="BI50" s="33">
        <f>BI45*'1_PANEL_CONTROL'!$E$42</f>
        <v>500</v>
      </c>
      <c r="BJ50" s="33">
        <f>BJ45*'1_PANEL_CONTROL'!$E$42</f>
        <v>500</v>
      </c>
      <c r="BK50" s="33">
        <f>BK45*'1_PANEL_CONTROL'!$E$42</f>
        <v>500</v>
      </c>
      <c r="BL50" s="33">
        <f>BL45*'1_PANEL_CONTROL'!$E$42</f>
        <v>500</v>
      </c>
      <c r="BM50" s="33">
        <f>BM45*'1_PANEL_CONTROL'!$E$42</f>
        <v>500</v>
      </c>
      <c r="BN50" s="33">
        <f>BN45*'1_PANEL_CONTROL'!$E$42</f>
        <v>500</v>
      </c>
      <c r="BO50" s="33">
        <f>BO45*'1_PANEL_CONTROL'!$E$42</f>
        <v>500</v>
      </c>
      <c r="BP50" s="33">
        <f>BP45*'1_PANEL_CONTROL'!$E$42</f>
        <v>500</v>
      </c>
      <c r="BQ50" s="33">
        <f>BQ45*'1_PANEL_CONTROL'!$E$42</f>
        <v>500</v>
      </c>
      <c r="BR50" s="33">
        <f>BR45*'1_PANEL_CONTROL'!$E$42</f>
        <v>500</v>
      </c>
      <c r="BS50" s="33">
        <f>BS45*'1_PANEL_CONTROL'!$E$42</f>
        <v>500</v>
      </c>
      <c r="BT50" s="33">
        <f>BT45*'1_PANEL_CONTROL'!$E$42</f>
        <v>500</v>
      </c>
      <c r="BU50" s="33">
        <f>BU45*'1_PANEL_CONTROL'!$E$42</f>
        <v>500</v>
      </c>
      <c r="BV50" s="33">
        <f>BV45*'1_PANEL_CONTROL'!$E$42</f>
        <v>500</v>
      </c>
      <c r="BW50" s="33">
        <f>BW45*'1_PANEL_CONTROL'!$E$42</f>
        <v>500</v>
      </c>
      <c r="BX50" s="33">
        <f>BX45*'1_PANEL_CONTROL'!$E$42</f>
        <v>500</v>
      </c>
      <c r="BY50" s="33">
        <f>BY45*'1_PANEL_CONTROL'!$E$42</f>
        <v>500</v>
      </c>
      <c r="BZ50" s="33">
        <f>BZ45*'1_PANEL_CONTROL'!$E$42</f>
        <v>500</v>
      </c>
      <c r="CA50" s="33">
        <f>CA45*'1_PANEL_CONTROL'!$E$42</f>
        <v>500</v>
      </c>
      <c r="CB50" s="33">
        <f>CB45*'1_PANEL_CONTROL'!$E$42</f>
        <v>500</v>
      </c>
      <c r="CC50" s="33">
        <f>CC45*'1_PANEL_CONTROL'!$E$42</f>
        <v>500</v>
      </c>
      <c r="CD50" s="33">
        <f>CD45*'1_PANEL_CONTROL'!$E$42</f>
        <v>500</v>
      </c>
      <c r="CE50" s="33">
        <f>CE45*'1_PANEL_CONTROL'!$E$42</f>
        <v>500</v>
      </c>
      <c r="CF50" s="33">
        <f>CF45*'1_PANEL_CONTROL'!$E$42</f>
        <v>500</v>
      </c>
      <c r="CG50" s="33">
        <f>CG45*'1_PANEL_CONTROL'!$E$42</f>
        <v>500</v>
      </c>
      <c r="CH50" s="33">
        <f>CH45*'1_PANEL_CONTROL'!$E$42</f>
        <v>500</v>
      </c>
      <c r="CI50" s="33">
        <f>CI45*'1_PANEL_CONTROL'!$E$42</f>
        <v>500</v>
      </c>
    </row>
    <row r="51" spans="1:87" ht="16">
      <c r="A51" s="6" t="s">
        <v>590</v>
      </c>
      <c r="B51" s="30" t="s">
        <v>465</v>
      </c>
      <c r="C51" s="15"/>
      <c r="D51" s="33">
        <f t="shared" ref="D51:AI51" si="30">D45-D49-D50</f>
        <v>1275</v>
      </c>
      <c r="E51" s="33">
        <f t="shared" si="30"/>
        <v>1275</v>
      </c>
      <c r="F51" s="33">
        <f t="shared" si="30"/>
        <v>1275</v>
      </c>
      <c r="G51" s="33">
        <f t="shared" si="30"/>
        <v>1275</v>
      </c>
      <c r="H51" s="33">
        <f t="shared" si="30"/>
        <v>1275</v>
      </c>
      <c r="I51" s="33">
        <f t="shared" si="30"/>
        <v>1275</v>
      </c>
      <c r="J51" s="33">
        <f t="shared" si="30"/>
        <v>1275</v>
      </c>
      <c r="K51" s="33">
        <f t="shared" si="30"/>
        <v>1275</v>
      </c>
      <c r="L51" s="33">
        <f t="shared" si="30"/>
        <v>1275</v>
      </c>
      <c r="M51" s="33">
        <f t="shared" si="30"/>
        <v>1275</v>
      </c>
      <c r="N51" s="33">
        <f t="shared" si="30"/>
        <v>1275</v>
      </c>
      <c r="O51" s="33">
        <f t="shared" si="30"/>
        <v>1275</v>
      </c>
      <c r="P51" s="33">
        <f t="shared" si="30"/>
        <v>2125</v>
      </c>
      <c r="Q51" s="33">
        <f t="shared" si="30"/>
        <v>2125</v>
      </c>
      <c r="R51" s="33">
        <f t="shared" si="30"/>
        <v>2125</v>
      </c>
      <c r="S51" s="33">
        <f t="shared" si="30"/>
        <v>2125</v>
      </c>
      <c r="T51" s="33">
        <f t="shared" si="30"/>
        <v>2125</v>
      </c>
      <c r="U51" s="33">
        <f t="shared" si="30"/>
        <v>2125</v>
      </c>
      <c r="V51" s="33">
        <f t="shared" si="30"/>
        <v>2125</v>
      </c>
      <c r="W51" s="33">
        <f t="shared" si="30"/>
        <v>2125</v>
      </c>
      <c r="X51" s="33">
        <f t="shared" si="30"/>
        <v>2125</v>
      </c>
      <c r="Y51" s="33">
        <f t="shared" si="30"/>
        <v>2125</v>
      </c>
      <c r="Z51" s="33">
        <f t="shared" si="30"/>
        <v>2125</v>
      </c>
      <c r="AA51" s="33">
        <f t="shared" si="30"/>
        <v>2125</v>
      </c>
      <c r="AB51" s="33">
        <f t="shared" si="30"/>
        <v>2833.3333333333335</v>
      </c>
      <c r="AC51" s="33">
        <f t="shared" si="30"/>
        <v>2833.3333333333335</v>
      </c>
      <c r="AD51" s="33">
        <f t="shared" si="30"/>
        <v>2833.3333333333335</v>
      </c>
      <c r="AE51" s="33">
        <f t="shared" si="30"/>
        <v>2833.3333333333335</v>
      </c>
      <c r="AF51" s="33">
        <f t="shared" si="30"/>
        <v>2833.3333333333335</v>
      </c>
      <c r="AG51" s="33">
        <f t="shared" si="30"/>
        <v>2833.3333333333335</v>
      </c>
      <c r="AH51" s="33">
        <f t="shared" si="30"/>
        <v>2833.3333333333335</v>
      </c>
      <c r="AI51" s="33">
        <f t="shared" si="30"/>
        <v>2833.3333333333335</v>
      </c>
      <c r="AJ51" s="33">
        <f t="shared" ref="AJ51:BO51" si="31">AJ45-AJ49-AJ50</f>
        <v>2833.3333333333335</v>
      </c>
      <c r="AK51" s="33">
        <f t="shared" si="31"/>
        <v>2833.3333333333335</v>
      </c>
      <c r="AL51" s="33">
        <f t="shared" si="31"/>
        <v>2833.3333333333335</v>
      </c>
      <c r="AM51" s="33">
        <f t="shared" si="31"/>
        <v>2833.3333333333335</v>
      </c>
      <c r="AN51" s="33">
        <f t="shared" si="31"/>
        <v>2833.3333333333335</v>
      </c>
      <c r="AO51" s="33">
        <f t="shared" si="31"/>
        <v>2833.3333333333335</v>
      </c>
      <c r="AP51" s="33">
        <f t="shared" si="31"/>
        <v>2833.3333333333335</v>
      </c>
      <c r="AQ51" s="33">
        <f t="shared" si="31"/>
        <v>2833.3333333333335</v>
      </c>
      <c r="AR51" s="33">
        <f t="shared" si="31"/>
        <v>2833.3333333333335</v>
      </c>
      <c r="AS51" s="33">
        <f t="shared" si="31"/>
        <v>2833.3333333333335</v>
      </c>
      <c r="AT51" s="33">
        <f t="shared" si="31"/>
        <v>2833.3333333333335</v>
      </c>
      <c r="AU51" s="33">
        <f t="shared" si="31"/>
        <v>2833.3333333333335</v>
      </c>
      <c r="AV51" s="33">
        <f t="shared" si="31"/>
        <v>2833.3333333333335</v>
      </c>
      <c r="AW51" s="33">
        <f t="shared" si="31"/>
        <v>2833.3333333333335</v>
      </c>
      <c r="AX51" s="33">
        <f t="shared" si="31"/>
        <v>2833.3333333333335</v>
      </c>
      <c r="AY51" s="33">
        <f t="shared" si="31"/>
        <v>2833.3333333333335</v>
      </c>
      <c r="AZ51" s="33">
        <f t="shared" si="31"/>
        <v>2833.3333333333335</v>
      </c>
      <c r="BA51" s="33">
        <f t="shared" si="31"/>
        <v>2833.3333333333335</v>
      </c>
      <c r="BB51" s="33">
        <f t="shared" si="31"/>
        <v>2833.3333333333335</v>
      </c>
      <c r="BC51" s="33">
        <f t="shared" si="31"/>
        <v>2833.3333333333335</v>
      </c>
      <c r="BD51" s="33">
        <f t="shared" si="31"/>
        <v>2833.3333333333335</v>
      </c>
      <c r="BE51" s="33">
        <f t="shared" si="31"/>
        <v>2833.3333333333335</v>
      </c>
      <c r="BF51" s="33">
        <f t="shared" si="31"/>
        <v>2833.3333333333335</v>
      </c>
      <c r="BG51" s="33">
        <f t="shared" si="31"/>
        <v>2833.3333333333335</v>
      </c>
      <c r="BH51" s="33">
        <f t="shared" si="31"/>
        <v>2833.3333333333335</v>
      </c>
      <c r="BI51" s="33">
        <f t="shared" si="31"/>
        <v>2833.3333333333335</v>
      </c>
      <c r="BJ51" s="33">
        <f t="shared" si="31"/>
        <v>2833.3333333333335</v>
      </c>
      <c r="BK51" s="33">
        <f t="shared" si="31"/>
        <v>2833.3333333333335</v>
      </c>
      <c r="BL51" s="33">
        <f t="shared" si="31"/>
        <v>2833.3333333333335</v>
      </c>
      <c r="BM51" s="33">
        <f t="shared" si="31"/>
        <v>2833.3333333333335</v>
      </c>
      <c r="BN51" s="33">
        <f t="shared" si="31"/>
        <v>2833.3333333333335</v>
      </c>
      <c r="BO51" s="33">
        <f t="shared" si="31"/>
        <v>2833.3333333333335</v>
      </c>
      <c r="BP51" s="33">
        <f t="shared" ref="BP51:CU51" si="32">BP45-BP49-BP50</f>
        <v>2833.3333333333335</v>
      </c>
      <c r="BQ51" s="33">
        <f t="shared" si="32"/>
        <v>2833.3333333333335</v>
      </c>
      <c r="BR51" s="33">
        <f t="shared" si="32"/>
        <v>2833.3333333333335</v>
      </c>
      <c r="BS51" s="33">
        <f t="shared" si="32"/>
        <v>2833.3333333333335</v>
      </c>
      <c r="BT51" s="33">
        <f t="shared" si="32"/>
        <v>2833.3333333333335</v>
      </c>
      <c r="BU51" s="33">
        <f t="shared" si="32"/>
        <v>2833.3333333333335</v>
      </c>
      <c r="BV51" s="33">
        <f t="shared" si="32"/>
        <v>2833.3333333333335</v>
      </c>
      <c r="BW51" s="33">
        <f t="shared" si="32"/>
        <v>2833.3333333333335</v>
      </c>
      <c r="BX51" s="33">
        <f t="shared" si="32"/>
        <v>2833.3333333333335</v>
      </c>
      <c r="BY51" s="33">
        <f t="shared" si="32"/>
        <v>2833.3333333333335</v>
      </c>
      <c r="BZ51" s="33">
        <f t="shared" si="32"/>
        <v>2833.3333333333335</v>
      </c>
      <c r="CA51" s="33">
        <f t="shared" si="32"/>
        <v>2833.3333333333335</v>
      </c>
      <c r="CB51" s="33">
        <f t="shared" si="32"/>
        <v>2833.3333333333335</v>
      </c>
      <c r="CC51" s="33">
        <f t="shared" si="32"/>
        <v>2833.3333333333335</v>
      </c>
      <c r="CD51" s="33">
        <f t="shared" si="32"/>
        <v>2833.3333333333335</v>
      </c>
      <c r="CE51" s="33">
        <f t="shared" si="32"/>
        <v>2833.3333333333335</v>
      </c>
      <c r="CF51" s="33">
        <f t="shared" si="32"/>
        <v>2833.3333333333335</v>
      </c>
      <c r="CG51" s="33">
        <f t="shared" si="32"/>
        <v>2833.3333333333335</v>
      </c>
      <c r="CH51" s="33">
        <f t="shared" si="32"/>
        <v>2833.3333333333335</v>
      </c>
      <c r="CI51" s="33">
        <f t="shared" si="32"/>
        <v>2833.3333333333335</v>
      </c>
    </row>
    <row r="52" spans="1:87" ht="16">
      <c r="A52" s="5" t="s">
        <v>591</v>
      </c>
      <c r="B52" s="30" t="s">
        <v>465</v>
      </c>
      <c r="C52" s="15"/>
      <c r="D52" s="36">
        <f t="shared" ref="D52:AI52" si="33">D45+D48</f>
        <v>1948.69</v>
      </c>
      <c r="E52" s="36">
        <f t="shared" si="33"/>
        <v>1948.69</v>
      </c>
      <c r="F52" s="36">
        <f t="shared" si="33"/>
        <v>1948.69</v>
      </c>
      <c r="G52" s="36">
        <f t="shared" si="33"/>
        <v>1948.69</v>
      </c>
      <c r="H52" s="36">
        <f t="shared" si="33"/>
        <v>1948.69</v>
      </c>
      <c r="I52" s="36">
        <f t="shared" si="33"/>
        <v>1948.69</v>
      </c>
      <c r="J52" s="36">
        <f t="shared" si="33"/>
        <v>1948.69</v>
      </c>
      <c r="K52" s="36">
        <f t="shared" si="33"/>
        <v>1948.69</v>
      </c>
      <c r="L52" s="36">
        <f t="shared" si="33"/>
        <v>1948.69</v>
      </c>
      <c r="M52" s="36">
        <f t="shared" si="33"/>
        <v>1948.69</v>
      </c>
      <c r="N52" s="36">
        <f t="shared" si="33"/>
        <v>1948.69</v>
      </c>
      <c r="O52" s="36">
        <f t="shared" si="33"/>
        <v>1948.69</v>
      </c>
      <c r="P52" s="36">
        <f t="shared" si="33"/>
        <v>2948.69</v>
      </c>
      <c r="Q52" s="36">
        <f t="shared" si="33"/>
        <v>2948.69</v>
      </c>
      <c r="R52" s="36">
        <f t="shared" si="33"/>
        <v>2948.69</v>
      </c>
      <c r="S52" s="36">
        <f t="shared" si="33"/>
        <v>2948.69</v>
      </c>
      <c r="T52" s="36">
        <f t="shared" si="33"/>
        <v>2948.69</v>
      </c>
      <c r="U52" s="36">
        <f t="shared" si="33"/>
        <v>2948.69</v>
      </c>
      <c r="V52" s="36">
        <f t="shared" si="33"/>
        <v>2948.69</v>
      </c>
      <c r="W52" s="36">
        <f t="shared" si="33"/>
        <v>2948.69</v>
      </c>
      <c r="X52" s="36">
        <f t="shared" si="33"/>
        <v>2948.69</v>
      </c>
      <c r="Y52" s="36">
        <f t="shared" si="33"/>
        <v>2948.69</v>
      </c>
      <c r="Z52" s="36">
        <f t="shared" si="33"/>
        <v>2948.69</v>
      </c>
      <c r="AA52" s="36">
        <f t="shared" si="33"/>
        <v>2948.69</v>
      </c>
      <c r="AB52" s="36">
        <f t="shared" si="33"/>
        <v>3782.0233333333335</v>
      </c>
      <c r="AC52" s="36">
        <f t="shared" si="33"/>
        <v>3782.0233333333335</v>
      </c>
      <c r="AD52" s="36">
        <f t="shared" si="33"/>
        <v>3782.0233333333335</v>
      </c>
      <c r="AE52" s="36">
        <f t="shared" si="33"/>
        <v>3782.0233333333335</v>
      </c>
      <c r="AF52" s="36">
        <f t="shared" si="33"/>
        <v>3782.0233333333335</v>
      </c>
      <c r="AG52" s="36">
        <f t="shared" si="33"/>
        <v>3782.0233333333335</v>
      </c>
      <c r="AH52" s="36">
        <f t="shared" si="33"/>
        <v>3782.0233333333335</v>
      </c>
      <c r="AI52" s="36">
        <f t="shared" si="33"/>
        <v>3782.0233333333335</v>
      </c>
      <c r="AJ52" s="36">
        <f t="shared" ref="AJ52:BO52" si="34">AJ45+AJ48</f>
        <v>3782.0233333333335</v>
      </c>
      <c r="AK52" s="36">
        <f t="shared" si="34"/>
        <v>3782.0233333333335</v>
      </c>
      <c r="AL52" s="36">
        <f t="shared" si="34"/>
        <v>3782.0233333333335</v>
      </c>
      <c r="AM52" s="36">
        <f t="shared" si="34"/>
        <v>3782.0233333333335</v>
      </c>
      <c r="AN52" s="36">
        <f t="shared" si="34"/>
        <v>3782.0233333333335</v>
      </c>
      <c r="AO52" s="36">
        <f t="shared" si="34"/>
        <v>3782.0233333333335</v>
      </c>
      <c r="AP52" s="36">
        <f t="shared" si="34"/>
        <v>3782.0233333333335</v>
      </c>
      <c r="AQ52" s="36">
        <f t="shared" si="34"/>
        <v>3782.0233333333335</v>
      </c>
      <c r="AR52" s="36">
        <f t="shared" si="34"/>
        <v>3782.0233333333335</v>
      </c>
      <c r="AS52" s="36">
        <f t="shared" si="34"/>
        <v>3782.0233333333335</v>
      </c>
      <c r="AT52" s="36">
        <f t="shared" si="34"/>
        <v>3782.0233333333335</v>
      </c>
      <c r="AU52" s="36">
        <f t="shared" si="34"/>
        <v>3782.0233333333335</v>
      </c>
      <c r="AV52" s="36">
        <f t="shared" si="34"/>
        <v>3782.0233333333335</v>
      </c>
      <c r="AW52" s="36">
        <f t="shared" si="34"/>
        <v>3782.0233333333335</v>
      </c>
      <c r="AX52" s="36">
        <f t="shared" si="34"/>
        <v>3782.0233333333335</v>
      </c>
      <c r="AY52" s="36">
        <f t="shared" si="34"/>
        <v>3782.0233333333335</v>
      </c>
      <c r="AZ52" s="36">
        <f t="shared" si="34"/>
        <v>3782.0233333333335</v>
      </c>
      <c r="BA52" s="36">
        <f t="shared" si="34"/>
        <v>3782.0233333333335</v>
      </c>
      <c r="BB52" s="36">
        <f t="shared" si="34"/>
        <v>3782.0233333333335</v>
      </c>
      <c r="BC52" s="36">
        <f t="shared" si="34"/>
        <v>3782.0233333333335</v>
      </c>
      <c r="BD52" s="36">
        <f t="shared" si="34"/>
        <v>3782.0233333333335</v>
      </c>
      <c r="BE52" s="36">
        <f t="shared" si="34"/>
        <v>3782.0233333333335</v>
      </c>
      <c r="BF52" s="36">
        <f t="shared" si="34"/>
        <v>3782.0233333333335</v>
      </c>
      <c r="BG52" s="36">
        <f t="shared" si="34"/>
        <v>3782.0233333333335</v>
      </c>
      <c r="BH52" s="36">
        <f t="shared" si="34"/>
        <v>3782.0233333333335</v>
      </c>
      <c r="BI52" s="36">
        <f t="shared" si="34"/>
        <v>3782.0233333333335</v>
      </c>
      <c r="BJ52" s="36">
        <f t="shared" si="34"/>
        <v>3782.0233333333335</v>
      </c>
      <c r="BK52" s="36">
        <f t="shared" si="34"/>
        <v>3782.0233333333335</v>
      </c>
      <c r="BL52" s="36">
        <f t="shared" si="34"/>
        <v>3782.0233333333335</v>
      </c>
      <c r="BM52" s="36">
        <f t="shared" si="34"/>
        <v>3782.0233333333335</v>
      </c>
      <c r="BN52" s="36">
        <f t="shared" si="34"/>
        <v>3782.0233333333335</v>
      </c>
      <c r="BO52" s="36">
        <f t="shared" si="34"/>
        <v>3782.0233333333335</v>
      </c>
      <c r="BP52" s="36">
        <f t="shared" ref="BP52:CI52" si="35">BP45+BP48</f>
        <v>3782.0233333333335</v>
      </c>
      <c r="BQ52" s="36">
        <f t="shared" si="35"/>
        <v>3782.0233333333335</v>
      </c>
      <c r="BR52" s="36">
        <f t="shared" si="35"/>
        <v>3782.0233333333335</v>
      </c>
      <c r="BS52" s="36">
        <f t="shared" si="35"/>
        <v>3782.0233333333335</v>
      </c>
      <c r="BT52" s="36">
        <f t="shared" si="35"/>
        <v>3782.0233333333335</v>
      </c>
      <c r="BU52" s="36">
        <f t="shared" si="35"/>
        <v>3782.0233333333335</v>
      </c>
      <c r="BV52" s="36">
        <f t="shared" si="35"/>
        <v>3782.0233333333335</v>
      </c>
      <c r="BW52" s="36">
        <f t="shared" si="35"/>
        <v>3782.0233333333335</v>
      </c>
      <c r="BX52" s="36">
        <f t="shared" si="35"/>
        <v>3782.0233333333335</v>
      </c>
      <c r="BY52" s="36">
        <f t="shared" si="35"/>
        <v>3782.0233333333335</v>
      </c>
      <c r="BZ52" s="36">
        <f t="shared" si="35"/>
        <v>3782.0233333333335</v>
      </c>
      <c r="CA52" s="36">
        <f t="shared" si="35"/>
        <v>3782.0233333333335</v>
      </c>
      <c r="CB52" s="36">
        <f t="shared" si="35"/>
        <v>3782.0233333333335</v>
      </c>
      <c r="CC52" s="36">
        <f t="shared" si="35"/>
        <v>3782.0233333333335</v>
      </c>
      <c r="CD52" s="36">
        <f t="shared" si="35"/>
        <v>3782.0233333333335</v>
      </c>
      <c r="CE52" s="36">
        <f t="shared" si="35"/>
        <v>3782.0233333333335</v>
      </c>
      <c r="CF52" s="36">
        <f t="shared" si="35"/>
        <v>3782.0233333333335</v>
      </c>
      <c r="CG52" s="36">
        <f t="shared" si="35"/>
        <v>3782.0233333333335</v>
      </c>
      <c r="CH52" s="36">
        <f t="shared" si="35"/>
        <v>3782.0233333333335</v>
      </c>
      <c r="CI52" s="36">
        <f t="shared" si="35"/>
        <v>3782.0233333333335</v>
      </c>
    </row>
    <row r="54" spans="1:87" ht="16.5">
      <c r="A54" s="6" t="s">
        <v>582</v>
      </c>
      <c r="B54" s="30" t="s">
        <v>465</v>
      </c>
      <c r="C54" s="44">
        <f>'1_PANEL_CONTROL'!$C$43</f>
        <v>45000</v>
      </c>
      <c r="D54" s="33">
        <f>IF(D$8&gt;='1_PANEL_CONTROL'!$D$43, '1_PANEL_CONTROL'!$C$43/'1_PANEL_CONTROL'!$C$32, 0)</f>
        <v>0</v>
      </c>
      <c r="E54" s="33">
        <f>IF(E$8&gt;='1_PANEL_CONTROL'!$D$43, '1_PANEL_CONTROL'!$C$43/'1_PANEL_CONTROL'!$C$32, 0)</f>
        <v>0</v>
      </c>
      <c r="F54" s="33">
        <f>IF(F$8&gt;='1_PANEL_CONTROL'!$D$43, '1_PANEL_CONTROL'!$C$43/'1_PANEL_CONTROL'!$C$32, 0)</f>
        <v>0</v>
      </c>
      <c r="G54" s="33">
        <f>IF(G$8&gt;='1_PANEL_CONTROL'!$D$43, '1_PANEL_CONTROL'!$C$43/'1_PANEL_CONTROL'!$C$32, 0)</f>
        <v>0</v>
      </c>
      <c r="H54" s="33">
        <f>IF(H$8&gt;='1_PANEL_CONTROL'!$D$43, '1_PANEL_CONTROL'!$C$43/'1_PANEL_CONTROL'!$C$32, 0)</f>
        <v>0</v>
      </c>
      <c r="I54" s="33">
        <f>IF(I$8&gt;='1_PANEL_CONTROL'!$D$43, '1_PANEL_CONTROL'!$C$43/'1_PANEL_CONTROL'!$C$32, 0)</f>
        <v>0</v>
      </c>
      <c r="J54" s="33">
        <f>IF(J$8&gt;='1_PANEL_CONTROL'!$D$43, '1_PANEL_CONTROL'!$C$43/'1_PANEL_CONTROL'!$C$32, 0)</f>
        <v>0</v>
      </c>
      <c r="K54" s="33">
        <f>IF(K$8&gt;='1_PANEL_CONTROL'!$D$43, '1_PANEL_CONTROL'!$C$43/'1_PANEL_CONTROL'!$C$32, 0)</f>
        <v>0</v>
      </c>
      <c r="L54" s="33">
        <f>IF(L$8&gt;='1_PANEL_CONTROL'!$D$43, '1_PANEL_CONTROL'!$C$43/'1_PANEL_CONTROL'!$C$32, 0)</f>
        <v>0</v>
      </c>
      <c r="M54" s="33">
        <f>IF(M$8&gt;='1_PANEL_CONTROL'!$D$43, '1_PANEL_CONTROL'!$C$43/'1_PANEL_CONTROL'!$C$32, 0)</f>
        <v>0</v>
      </c>
      <c r="N54" s="33">
        <f>IF(N$8&gt;='1_PANEL_CONTROL'!$D$43, '1_PANEL_CONTROL'!$C$43/'1_PANEL_CONTROL'!$C$32, 0)</f>
        <v>0</v>
      </c>
      <c r="O54" s="33">
        <f>IF(O$8&gt;='1_PANEL_CONTROL'!$D$43, '1_PANEL_CONTROL'!$C$43/'1_PANEL_CONTROL'!$C$32, 0)</f>
        <v>0</v>
      </c>
      <c r="P54" s="33">
        <f>IF(P$8&gt;='1_PANEL_CONTROL'!$D$43, '1_PANEL_CONTROL'!$C$43/'1_PANEL_CONTROL'!$C$32, 0)</f>
        <v>3750</v>
      </c>
      <c r="Q54" s="33">
        <f>IF(Q$8&gt;='1_PANEL_CONTROL'!$D$43, '1_PANEL_CONTROL'!$C$43/'1_PANEL_CONTROL'!$C$32, 0)</f>
        <v>3750</v>
      </c>
      <c r="R54" s="33">
        <f>IF(R$8&gt;='1_PANEL_CONTROL'!$D$43, '1_PANEL_CONTROL'!$C$43/'1_PANEL_CONTROL'!$C$32, 0)</f>
        <v>3750</v>
      </c>
      <c r="S54" s="33">
        <f>IF(S$8&gt;='1_PANEL_CONTROL'!$D$43, '1_PANEL_CONTROL'!$C$43/'1_PANEL_CONTROL'!$C$32, 0)</f>
        <v>3750</v>
      </c>
      <c r="T54" s="33">
        <f>IF(T$8&gt;='1_PANEL_CONTROL'!$D$43, '1_PANEL_CONTROL'!$C$43/'1_PANEL_CONTROL'!$C$32, 0)</f>
        <v>3750</v>
      </c>
      <c r="U54" s="33">
        <f>IF(U$8&gt;='1_PANEL_CONTROL'!$D$43, '1_PANEL_CONTROL'!$C$43/'1_PANEL_CONTROL'!$C$32, 0)</f>
        <v>3750</v>
      </c>
      <c r="V54" s="33">
        <f>IF(V$8&gt;='1_PANEL_CONTROL'!$D$43, '1_PANEL_CONTROL'!$C$43/'1_PANEL_CONTROL'!$C$32, 0)</f>
        <v>3750</v>
      </c>
      <c r="W54" s="33">
        <f>IF(W$8&gt;='1_PANEL_CONTROL'!$D$43, '1_PANEL_CONTROL'!$C$43/'1_PANEL_CONTROL'!$C$32, 0)</f>
        <v>3750</v>
      </c>
      <c r="X54" s="33">
        <f>IF(X$8&gt;='1_PANEL_CONTROL'!$D$43, '1_PANEL_CONTROL'!$C$43/'1_PANEL_CONTROL'!$C$32, 0)</f>
        <v>3750</v>
      </c>
      <c r="Y54" s="33">
        <f>IF(Y$8&gt;='1_PANEL_CONTROL'!$D$43, '1_PANEL_CONTROL'!$C$43/'1_PANEL_CONTROL'!$C$32, 0)</f>
        <v>3750</v>
      </c>
      <c r="Z54" s="33">
        <f>IF(Z$8&gt;='1_PANEL_CONTROL'!$D$43, '1_PANEL_CONTROL'!$C$43/'1_PANEL_CONTROL'!$C$32, 0)</f>
        <v>3750</v>
      </c>
      <c r="AA54" s="33">
        <f>IF(AA$8&gt;='1_PANEL_CONTROL'!$D$43, '1_PANEL_CONTROL'!$C$43/'1_PANEL_CONTROL'!$C$32, 0)</f>
        <v>3750</v>
      </c>
      <c r="AB54" s="33">
        <f>IF(AB$8&gt;='1_PANEL_CONTROL'!$D$43, '1_PANEL_CONTROL'!$C$43/'1_PANEL_CONTROL'!$C$32, 0)</f>
        <v>3750</v>
      </c>
      <c r="AC54" s="33">
        <f>IF(AC$8&gt;='1_PANEL_CONTROL'!$D$43, '1_PANEL_CONTROL'!$C$43/'1_PANEL_CONTROL'!$C$32, 0)</f>
        <v>3750</v>
      </c>
      <c r="AD54" s="33">
        <f>IF(AD$8&gt;='1_PANEL_CONTROL'!$D$43, '1_PANEL_CONTROL'!$C$43/'1_PANEL_CONTROL'!$C$32, 0)</f>
        <v>3750</v>
      </c>
      <c r="AE54" s="33">
        <f>IF(AE$8&gt;='1_PANEL_CONTROL'!$D$43, '1_PANEL_CONTROL'!$C$43/'1_PANEL_CONTROL'!$C$32, 0)</f>
        <v>3750</v>
      </c>
      <c r="AF54" s="33">
        <f>IF(AF$8&gt;='1_PANEL_CONTROL'!$D$43, '1_PANEL_CONTROL'!$C$43/'1_PANEL_CONTROL'!$C$32, 0)</f>
        <v>3750</v>
      </c>
      <c r="AG54" s="33">
        <f>IF(AG$8&gt;='1_PANEL_CONTROL'!$D$43, '1_PANEL_CONTROL'!$C$43/'1_PANEL_CONTROL'!$C$32, 0)</f>
        <v>3750</v>
      </c>
      <c r="AH54" s="33">
        <f>IF(AH$8&gt;='1_PANEL_CONTROL'!$D$43, '1_PANEL_CONTROL'!$C$43/'1_PANEL_CONTROL'!$C$32, 0)</f>
        <v>3750</v>
      </c>
      <c r="AI54" s="33">
        <f>IF(AI$8&gt;='1_PANEL_CONTROL'!$D$43, '1_PANEL_CONTROL'!$C$43/'1_PANEL_CONTROL'!$C$32, 0)</f>
        <v>3750</v>
      </c>
      <c r="AJ54" s="33">
        <f>IF(AJ$8&gt;='1_PANEL_CONTROL'!$D$43, '1_PANEL_CONTROL'!$C$43/'1_PANEL_CONTROL'!$C$32, 0)</f>
        <v>3750</v>
      </c>
      <c r="AK54" s="33">
        <f>IF(AK$8&gt;='1_PANEL_CONTROL'!$D$43, '1_PANEL_CONTROL'!$C$43/'1_PANEL_CONTROL'!$C$32, 0)</f>
        <v>3750</v>
      </c>
      <c r="AL54" s="33">
        <f>IF(AL$8&gt;='1_PANEL_CONTROL'!$D$43, '1_PANEL_CONTROL'!$C$43/'1_PANEL_CONTROL'!$C$32, 0)</f>
        <v>3750</v>
      </c>
      <c r="AM54" s="33">
        <f>IF(AM$8&gt;='1_PANEL_CONTROL'!$D$43, '1_PANEL_CONTROL'!$C$43/'1_PANEL_CONTROL'!$C$32, 0)</f>
        <v>3750</v>
      </c>
      <c r="AN54" s="33">
        <f>IF(AN$8&gt;='1_PANEL_CONTROL'!$D$43, '1_PANEL_CONTROL'!$C$43/'1_PANEL_CONTROL'!$C$32, 0)</f>
        <v>3750</v>
      </c>
      <c r="AO54" s="33">
        <f>IF(AO$8&gt;='1_PANEL_CONTROL'!$D$43, '1_PANEL_CONTROL'!$C$43/'1_PANEL_CONTROL'!$C$32, 0)</f>
        <v>3750</v>
      </c>
      <c r="AP54" s="33">
        <f>IF(AP$8&gt;='1_PANEL_CONTROL'!$D$43, '1_PANEL_CONTROL'!$C$43/'1_PANEL_CONTROL'!$C$32, 0)</f>
        <v>3750</v>
      </c>
      <c r="AQ54" s="33">
        <f>IF(AQ$8&gt;='1_PANEL_CONTROL'!$D$43, '1_PANEL_CONTROL'!$C$43/'1_PANEL_CONTROL'!$C$32, 0)</f>
        <v>3750</v>
      </c>
      <c r="AR54" s="33">
        <f>IF(AR$8&gt;='1_PANEL_CONTROL'!$D$43, '1_PANEL_CONTROL'!$C$43/'1_PANEL_CONTROL'!$C$32, 0)</f>
        <v>3750</v>
      </c>
      <c r="AS54" s="33">
        <f>IF(AS$8&gt;='1_PANEL_CONTROL'!$D$43, '1_PANEL_CONTROL'!$C$43/'1_PANEL_CONTROL'!$C$32, 0)</f>
        <v>3750</v>
      </c>
      <c r="AT54" s="33">
        <f>IF(AT$8&gt;='1_PANEL_CONTROL'!$D$43, '1_PANEL_CONTROL'!$C$43/'1_PANEL_CONTROL'!$C$32, 0)</f>
        <v>3750</v>
      </c>
      <c r="AU54" s="33">
        <f>IF(AU$8&gt;='1_PANEL_CONTROL'!$D$43, '1_PANEL_CONTROL'!$C$43/'1_PANEL_CONTROL'!$C$32, 0)</f>
        <v>3750</v>
      </c>
      <c r="AV54" s="33">
        <f>IF(AV$8&gt;='1_PANEL_CONTROL'!$D$43, '1_PANEL_CONTROL'!$C$43/'1_PANEL_CONTROL'!$C$32, 0)</f>
        <v>3750</v>
      </c>
      <c r="AW54" s="33">
        <f>IF(AW$8&gt;='1_PANEL_CONTROL'!$D$43, '1_PANEL_CONTROL'!$C$43/'1_PANEL_CONTROL'!$C$32, 0)</f>
        <v>3750</v>
      </c>
      <c r="AX54" s="33">
        <f>IF(AX$8&gt;='1_PANEL_CONTROL'!$D$43, '1_PANEL_CONTROL'!$C$43/'1_PANEL_CONTROL'!$C$32, 0)</f>
        <v>3750</v>
      </c>
      <c r="AY54" s="33">
        <f>IF(AY$8&gt;='1_PANEL_CONTROL'!$D$43, '1_PANEL_CONTROL'!$C$43/'1_PANEL_CONTROL'!$C$32, 0)</f>
        <v>3750</v>
      </c>
      <c r="AZ54" s="33">
        <f>IF(AZ$8&gt;='1_PANEL_CONTROL'!$D$43, '1_PANEL_CONTROL'!$C$43/'1_PANEL_CONTROL'!$C$32, 0)</f>
        <v>3750</v>
      </c>
      <c r="BA54" s="33">
        <f>IF(BA$8&gt;='1_PANEL_CONTROL'!$D$43, '1_PANEL_CONTROL'!$C$43/'1_PANEL_CONTROL'!$C$32, 0)</f>
        <v>3750</v>
      </c>
      <c r="BB54" s="33">
        <f>IF(BB$8&gt;='1_PANEL_CONTROL'!$D$43, '1_PANEL_CONTROL'!$C$43/'1_PANEL_CONTROL'!$C$32, 0)</f>
        <v>3750</v>
      </c>
      <c r="BC54" s="33">
        <f>IF(BC$8&gt;='1_PANEL_CONTROL'!$D$43, '1_PANEL_CONTROL'!$C$43/'1_PANEL_CONTROL'!$C$32, 0)</f>
        <v>3750</v>
      </c>
      <c r="BD54" s="33">
        <f>IF(BD$8&gt;='1_PANEL_CONTROL'!$D$43, '1_PANEL_CONTROL'!$C$43/'1_PANEL_CONTROL'!$C$32, 0)</f>
        <v>3750</v>
      </c>
      <c r="BE54" s="33">
        <f>IF(BE$8&gt;='1_PANEL_CONTROL'!$D$43, '1_PANEL_CONTROL'!$C$43/'1_PANEL_CONTROL'!$C$32, 0)</f>
        <v>3750</v>
      </c>
      <c r="BF54" s="33">
        <f>IF(BF$8&gt;='1_PANEL_CONTROL'!$D$43, '1_PANEL_CONTROL'!$C$43/'1_PANEL_CONTROL'!$C$32, 0)</f>
        <v>3750</v>
      </c>
      <c r="BG54" s="33">
        <f>IF(BG$8&gt;='1_PANEL_CONTROL'!$D$43, '1_PANEL_CONTROL'!$C$43/'1_PANEL_CONTROL'!$C$32, 0)</f>
        <v>3750</v>
      </c>
      <c r="BH54" s="33">
        <f>IF(BH$8&gt;='1_PANEL_CONTROL'!$D$43, '1_PANEL_CONTROL'!$C$43/'1_PANEL_CONTROL'!$C$32, 0)</f>
        <v>3750</v>
      </c>
      <c r="BI54" s="33">
        <f>IF(BI$8&gt;='1_PANEL_CONTROL'!$D$43, '1_PANEL_CONTROL'!$C$43/'1_PANEL_CONTROL'!$C$32, 0)</f>
        <v>3750</v>
      </c>
      <c r="BJ54" s="33">
        <f>IF(BJ$8&gt;='1_PANEL_CONTROL'!$D$43, '1_PANEL_CONTROL'!$C$43/'1_PANEL_CONTROL'!$C$32, 0)</f>
        <v>3750</v>
      </c>
      <c r="BK54" s="33">
        <f>IF(BK$8&gt;='1_PANEL_CONTROL'!$D$43, '1_PANEL_CONTROL'!$C$43/'1_PANEL_CONTROL'!$C$32, 0)</f>
        <v>3750</v>
      </c>
      <c r="BL54" s="33">
        <f>IF(BL$8&gt;='1_PANEL_CONTROL'!$D$43, '1_PANEL_CONTROL'!$C$43/'1_PANEL_CONTROL'!$C$32, 0)</f>
        <v>3750</v>
      </c>
      <c r="BM54" s="33">
        <f>IF(BM$8&gt;='1_PANEL_CONTROL'!$D$43, '1_PANEL_CONTROL'!$C$43/'1_PANEL_CONTROL'!$C$32, 0)</f>
        <v>3750</v>
      </c>
      <c r="BN54" s="33">
        <f>IF(BN$8&gt;='1_PANEL_CONTROL'!$D$43, '1_PANEL_CONTROL'!$C$43/'1_PANEL_CONTROL'!$C$32, 0)</f>
        <v>3750</v>
      </c>
      <c r="BO54" s="33">
        <f>IF(BO$8&gt;='1_PANEL_CONTROL'!$D$43, '1_PANEL_CONTROL'!$C$43/'1_PANEL_CONTROL'!$C$32, 0)</f>
        <v>3750</v>
      </c>
      <c r="BP54" s="33">
        <f>IF(BP$8&gt;='1_PANEL_CONTROL'!$D$43, '1_PANEL_CONTROL'!$C$43/'1_PANEL_CONTROL'!$C$32, 0)</f>
        <v>3750</v>
      </c>
      <c r="BQ54" s="33">
        <f>IF(BQ$8&gt;='1_PANEL_CONTROL'!$D$43, '1_PANEL_CONTROL'!$C$43/'1_PANEL_CONTROL'!$C$32, 0)</f>
        <v>3750</v>
      </c>
      <c r="BR54" s="33">
        <f>IF(BR$8&gt;='1_PANEL_CONTROL'!$D$43, '1_PANEL_CONTROL'!$C$43/'1_PANEL_CONTROL'!$C$32, 0)</f>
        <v>3750</v>
      </c>
      <c r="BS54" s="33">
        <f>IF(BS$8&gt;='1_PANEL_CONTROL'!$D$43, '1_PANEL_CONTROL'!$C$43/'1_PANEL_CONTROL'!$C$32, 0)</f>
        <v>3750</v>
      </c>
      <c r="BT54" s="33">
        <f>IF(BT$8&gt;='1_PANEL_CONTROL'!$D$43, '1_PANEL_CONTROL'!$C$43/'1_PANEL_CONTROL'!$C$32, 0)</f>
        <v>3750</v>
      </c>
      <c r="BU54" s="33">
        <f>IF(BU$8&gt;='1_PANEL_CONTROL'!$D$43, '1_PANEL_CONTROL'!$C$43/'1_PANEL_CONTROL'!$C$32, 0)</f>
        <v>3750</v>
      </c>
      <c r="BV54" s="33">
        <f>IF(BV$8&gt;='1_PANEL_CONTROL'!$D$43, '1_PANEL_CONTROL'!$C$43/'1_PANEL_CONTROL'!$C$32, 0)</f>
        <v>3750</v>
      </c>
      <c r="BW54" s="33">
        <f>IF(BW$8&gt;='1_PANEL_CONTROL'!$D$43, '1_PANEL_CONTROL'!$C$43/'1_PANEL_CONTROL'!$C$32, 0)</f>
        <v>3750</v>
      </c>
      <c r="BX54" s="33">
        <f>IF(BX$8&gt;='1_PANEL_CONTROL'!$D$43, '1_PANEL_CONTROL'!$C$43/'1_PANEL_CONTROL'!$C$32, 0)</f>
        <v>3750</v>
      </c>
      <c r="BY54" s="33">
        <f>IF(BY$8&gt;='1_PANEL_CONTROL'!$D$43, '1_PANEL_CONTROL'!$C$43/'1_PANEL_CONTROL'!$C$32, 0)</f>
        <v>3750</v>
      </c>
      <c r="BZ54" s="33">
        <f>IF(BZ$8&gt;='1_PANEL_CONTROL'!$D$43, '1_PANEL_CONTROL'!$C$43/'1_PANEL_CONTROL'!$C$32, 0)</f>
        <v>3750</v>
      </c>
      <c r="CA54" s="33">
        <f>IF(CA$8&gt;='1_PANEL_CONTROL'!$D$43, '1_PANEL_CONTROL'!$C$43/'1_PANEL_CONTROL'!$C$32, 0)</f>
        <v>3750</v>
      </c>
      <c r="CB54" s="33">
        <f>IF(CB$8&gt;='1_PANEL_CONTROL'!$D$43, '1_PANEL_CONTROL'!$C$43/'1_PANEL_CONTROL'!$C$32, 0)</f>
        <v>3750</v>
      </c>
      <c r="CC54" s="33">
        <f>IF(CC$8&gt;='1_PANEL_CONTROL'!$D$43, '1_PANEL_CONTROL'!$C$43/'1_PANEL_CONTROL'!$C$32, 0)</f>
        <v>3750</v>
      </c>
      <c r="CD54" s="33">
        <f>IF(CD$8&gt;='1_PANEL_CONTROL'!$D$43, '1_PANEL_CONTROL'!$C$43/'1_PANEL_CONTROL'!$C$32, 0)</f>
        <v>3750</v>
      </c>
      <c r="CE54" s="33">
        <f>IF(CE$8&gt;='1_PANEL_CONTROL'!$D$43, '1_PANEL_CONTROL'!$C$43/'1_PANEL_CONTROL'!$C$32, 0)</f>
        <v>3750</v>
      </c>
      <c r="CF54" s="33">
        <f>IF(CF$8&gt;='1_PANEL_CONTROL'!$D$43, '1_PANEL_CONTROL'!$C$43/'1_PANEL_CONTROL'!$C$32, 0)</f>
        <v>3750</v>
      </c>
      <c r="CG54" s="33">
        <f>IF(CG$8&gt;='1_PANEL_CONTROL'!$D$43, '1_PANEL_CONTROL'!$C$43/'1_PANEL_CONTROL'!$C$32, 0)</f>
        <v>3750</v>
      </c>
      <c r="CH54" s="33">
        <f>IF(CH$8&gt;='1_PANEL_CONTROL'!$D$43, '1_PANEL_CONTROL'!$C$43/'1_PANEL_CONTROL'!$C$32, 0)</f>
        <v>3750</v>
      </c>
      <c r="CI54" s="33">
        <f>IF(CI$8&gt;='1_PANEL_CONTROL'!$D$43, '1_PANEL_CONTROL'!$C$43/'1_PANEL_CONTROL'!$C$32, 0)</f>
        <v>3750</v>
      </c>
    </row>
    <row r="55" spans="1:87" ht="16">
      <c r="A55" s="6" t="s">
        <v>583</v>
      </c>
      <c r="B55" s="30" t="s">
        <v>465</v>
      </c>
      <c r="C55" s="15"/>
      <c r="D55" s="33">
        <f>IF(D$8&gt;='1_PANEL_CONTROL'!$D$43, IF('1_PANEL_CONTROL'!$C$32=14, IF(OR(MOD(D$8,12)=6, MOD(D$8,12)=0), '1_PANEL_CONTROL'!$C$43/14, 0), 0), 0)</f>
        <v>0</v>
      </c>
      <c r="E55" s="33">
        <f>IF(E$8&gt;='1_PANEL_CONTROL'!$D$43, IF('1_PANEL_CONTROL'!$C$32=14, IF(OR(MOD(E$8,12)=6, MOD(E$8,12)=0), '1_PANEL_CONTROL'!$C$43/14, 0), 0), 0)</f>
        <v>0</v>
      </c>
      <c r="F55" s="33">
        <f>IF(F$8&gt;='1_PANEL_CONTROL'!$D$43, IF('1_PANEL_CONTROL'!$C$32=14, IF(OR(MOD(F$8,12)=6, MOD(F$8,12)=0), '1_PANEL_CONTROL'!$C$43/14, 0), 0), 0)</f>
        <v>0</v>
      </c>
      <c r="G55" s="33">
        <f>IF(G$8&gt;='1_PANEL_CONTROL'!$D$43, IF('1_PANEL_CONTROL'!$C$32=14, IF(OR(MOD(G$8,12)=6, MOD(G$8,12)=0), '1_PANEL_CONTROL'!$C$43/14, 0), 0), 0)</f>
        <v>0</v>
      </c>
      <c r="H55" s="33">
        <f>IF(H$8&gt;='1_PANEL_CONTROL'!$D$43, IF('1_PANEL_CONTROL'!$C$32=14, IF(OR(MOD(H$8,12)=6, MOD(H$8,12)=0), '1_PANEL_CONTROL'!$C$43/14, 0), 0), 0)</f>
        <v>0</v>
      </c>
      <c r="I55" s="33">
        <f>IF(I$8&gt;='1_PANEL_CONTROL'!$D$43, IF('1_PANEL_CONTROL'!$C$32=14, IF(OR(MOD(I$8,12)=6, MOD(I$8,12)=0), '1_PANEL_CONTROL'!$C$43/14, 0), 0), 0)</f>
        <v>0</v>
      </c>
      <c r="J55" s="33">
        <f>IF(J$8&gt;='1_PANEL_CONTROL'!$D$43, IF('1_PANEL_CONTROL'!$C$32=14, IF(OR(MOD(J$8,12)=6, MOD(J$8,12)=0), '1_PANEL_CONTROL'!$C$43/14, 0), 0), 0)</f>
        <v>0</v>
      </c>
      <c r="K55" s="33">
        <f>IF(K$8&gt;='1_PANEL_CONTROL'!$D$43, IF('1_PANEL_CONTROL'!$C$32=14, IF(OR(MOD(K$8,12)=6, MOD(K$8,12)=0), '1_PANEL_CONTROL'!$C$43/14, 0), 0), 0)</f>
        <v>0</v>
      </c>
      <c r="L55" s="33">
        <f>IF(L$8&gt;='1_PANEL_CONTROL'!$D$43, IF('1_PANEL_CONTROL'!$C$32=14, IF(OR(MOD(L$8,12)=6, MOD(L$8,12)=0), '1_PANEL_CONTROL'!$C$43/14, 0), 0), 0)</f>
        <v>0</v>
      </c>
      <c r="M55" s="33">
        <f>IF(M$8&gt;='1_PANEL_CONTROL'!$D$43, IF('1_PANEL_CONTROL'!$C$32=14, IF(OR(MOD(M$8,12)=6, MOD(M$8,12)=0), '1_PANEL_CONTROL'!$C$43/14, 0), 0), 0)</f>
        <v>0</v>
      </c>
      <c r="N55" s="33">
        <f>IF(N$8&gt;='1_PANEL_CONTROL'!$D$43, IF('1_PANEL_CONTROL'!$C$32=14, IF(OR(MOD(N$8,12)=6, MOD(N$8,12)=0), '1_PANEL_CONTROL'!$C$43/14, 0), 0), 0)</f>
        <v>0</v>
      </c>
      <c r="O55" s="33">
        <f>IF(O$8&gt;='1_PANEL_CONTROL'!$D$43, IF('1_PANEL_CONTROL'!$C$32=14, IF(OR(MOD(O$8,12)=6, MOD(O$8,12)=0), '1_PANEL_CONTROL'!$C$43/14, 0), 0), 0)</f>
        <v>0</v>
      </c>
      <c r="P55" s="33">
        <f>IF(P$8&gt;='1_PANEL_CONTROL'!$D$43, IF('1_PANEL_CONTROL'!$C$32=14, IF(OR(MOD(P$8,12)=6, MOD(P$8,12)=0), '1_PANEL_CONTROL'!$C$43/14, 0), 0), 0)</f>
        <v>0</v>
      </c>
      <c r="Q55" s="33">
        <f>IF(Q$8&gt;='1_PANEL_CONTROL'!$D$43, IF('1_PANEL_CONTROL'!$C$32=14, IF(OR(MOD(Q$8,12)=6, MOD(Q$8,12)=0), '1_PANEL_CONTROL'!$C$43/14, 0), 0), 0)</f>
        <v>0</v>
      </c>
      <c r="R55" s="33">
        <f>IF(R$8&gt;='1_PANEL_CONTROL'!$D$43, IF('1_PANEL_CONTROL'!$C$32=14, IF(OR(MOD(R$8,12)=6, MOD(R$8,12)=0), '1_PANEL_CONTROL'!$C$43/14, 0), 0), 0)</f>
        <v>0</v>
      </c>
      <c r="S55" s="33">
        <f>IF(S$8&gt;='1_PANEL_CONTROL'!$D$43, IF('1_PANEL_CONTROL'!$C$32=14, IF(OR(MOD(S$8,12)=6, MOD(S$8,12)=0), '1_PANEL_CONTROL'!$C$43/14, 0), 0), 0)</f>
        <v>0</v>
      </c>
      <c r="T55" s="33">
        <f>IF(T$8&gt;='1_PANEL_CONTROL'!$D$43, IF('1_PANEL_CONTROL'!$C$32=14, IF(OR(MOD(T$8,12)=6, MOD(T$8,12)=0), '1_PANEL_CONTROL'!$C$43/14, 0), 0), 0)</f>
        <v>0</v>
      </c>
      <c r="U55" s="33">
        <f>IF(U$8&gt;='1_PANEL_CONTROL'!$D$43, IF('1_PANEL_CONTROL'!$C$32=14, IF(OR(MOD(U$8,12)=6, MOD(U$8,12)=0), '1_PANEL_CONTROL'!$C$43/14, 0), 0), 0)</f>
        <v>0</v>
      </c>
      <c r="V55" s="33">
        <f>IF(V$8&gt;='1_PANEL_CONTROL'!$D$43, IF('1_PANEL_CONTROL'!$C$32=14, IF(OR(MOD(V$8,12)=6, MOD(V$8,12)=0), '1_PANEL_CONTROL'!$C$43/14, 0), 0), 0)</f>
        <v>0</v>
      </c>
      <c r="W55" s="33">
        <f>IF(W$8&gt;='1_PANEL_CONTROL'!$D$43, IF('1_PANEL_CONTROL'!$C$32=14, IF(OR(MOD(W$8,12)=6, MOD(W$8,12)=0), '1_PANEL_CONTROL'!$C$43/14, 0), 0), 0)</f>
        <v>0</v>
      </c>
      <c r="X55" s="33">
        <f>IF(X$8&gt;='1_PANEL_CONTROL'!$D$43, IF('1_PANEL_CONTROL'!$C$32=14, IF(OR(MOD(X$8,12)=6, MOD(X$8,12)=0), '1_PANEL_CONTROL'!$C$43/14, 0), 0), 0)</f>
        <v>0</v>
      </c>
      <c r="Y55" s="33">
        <f>IF(Y$8&gt;='1_PANEL_CONTROL'!$D$43, IF('1_PANEL_CONTROL'!$C$32=14, IF(OR(MOD(Y$8,12)=6, MOD(Y$8,12)=0), '1_PANEL_CONTROL'!$C$43/14, 0), 0), 0)</f>
        <v>0</v>
      </c>
      <c r="Z55" s="33">
        <f>IF(Z$8&gt;='1_PANEL_CONTROL'!$D$43, IF('1_PANEL_CONTROL'!$C$32=14, IF(OR(MOD(Z$8,12)=6, MOD(Z$8,12)=0), '1_PANEL_CONTROL'!$C$43/14, 0), 0), 0)</f>
        <v>0</v>
      </c>
      <c r="AA55" s="33">
        <f>IF(AA$8&gt;='1_PANEL_CONTROL'!$D$43, IF('1_PANEL_CONTROL'!$C$32=14, IF(OR(MOD(AA$8,12)=6, MOD(AA$8,12)=0), '1_PANEL_CONTROL'!$C$43/14, 0), 0), 0)</f>
        <v>0</v>
      </c>
      <c r="AB55" s="33">
        <f>IF(AB$8&gt;='1_PANEL_CONTROL'!$D$43, IF('1_PANEL_CONTROL'!$C$32=14, IF(OR(MOD(AB$8,12)=6, MOD(AB$8,12)=0), '1_PANEL_CONTROL'!$C$43/14, 0), 0), 0)</f>
        <v>0</v>
      </c>
      <c r="AC55" s="33">
        <f>IF(AC$8&gt;='1_PANEL_CONTROL'!$D$43, IF('1_PANEL_CONTROL'!$C$32=14, IF(OR(MOD(AC$8,12)=6, MOD(AC$8,12)=0), '1_PANEL_CONTROL'!$C$43/14, 0), 0), 0)</f>
        <v>0</v>
      </c>
      <c r="AD55" s="33">
        <f>IF(AD$8&gt;='1_PANEL_CONTROL'!$D$43, IF('1_PANEL_CONTROL'!$C$32=14, IF(OR(MOD(AD$8,12)=6, MOD(AD$8,12)=0), '1_PANEL_CONTROL'!$C$43/14, 0), 0), 0)</f>
        <v>0</v>
      </c>
      <c r="AE55" s="33">
        <f>IF(AE$8&gt;='1_PANEL_CONTROL'!$D$43, IF('1_PANEL_CONTROL'!$C$32=14, IF(OR(MOD(AE$8,12)=6, MOD(AE$8,12)=0), '1_PANEL_CONTROL'!$C$43/14, 0), 0), 0)</f>
        <v>0</v>
      </c>
      <c r="AF55" s="33">
        <f>IF(AF$8&gt;='1_PANEL_CONTROL'!$D$43, IF('1_PANEL_CONTROL'!$C$32=14, IF(OR(MOD(AF$8,12)=6, MOD(AF$8,12)=0), '1_PANEL_CONTROL'!$C$43/14, 0), 0), 0)</f>
        <v>0</v>
      </c>
      <c r="AG55" s="33">
        <f>IF(AG$8&gt;='1_PANEL_CONTROL'!$D$43, IF('1_PANEL_CONTROL'!$C$32=14, IF(OR(MOD(AG$8,12)=6, MOD(AG$8,12)=0), '1_PANEL_CONTROL'!$C$43/14, 0), 0), 0)</f>
        <v>0</v>
      </c>
      <c r="AH55" s="33">
        <f>IF(AH$8&gt;='1_PANEL_CONTROL'!$D$43, IF('1_PANEL_CONTROL'!$C$32=14, IF(OR(MOD(AH$8,12)=6, MOD(AH$8,12)=0), '1_PANEL_CONTROL'!$C$43/14, 0), 0), 0)</f>
        <v>0</v>
      </c>
      <c r="AI55" s="33">
        <f>IF(AI$8&gt;='1_PANEL_CONTROL'!$D$43, IF('1_PANEL_CONTROL'!$C$32=14, IF(OR(MOD(AI$8,12)=6, MOD(AI$8,12)=0), '1_PANEL_CONTROL'!$C$43/14, 0), 0), 0)</f>
        <v>0</v>
      </c>
      <c r="AJ55" s="33">
        <f>IF(AJ$8&gt;='1_PANEL_CONTROL'!$D$43, IF('1_PANEL_CONTROL'!$C$32=14, IF(OR(MOD(AJ$8,12)=6, MOD(AJ$8,12)=0), '1_PANEL_CONTROL'!$C$43/14, 0), 0), 0)</f>
        <v>0</v>
      </c>
      <c r="AK55" s="33">
        <f>IF(AK$8&gt;='1_PANEL_CONTROL'!$D$43, IF('1_PANEL_CONTROL'!$C$32=14, IF(OR(MOD(AK$8,12)=6, MOD(AK$8,12)=0), '1_PANEL_CONTROL'!$C$43/14, 0), 0), 0)</f>
        <v>0</v>
      </c>
      <c r="AL55" s="33">
        <f>IF(AL$8&gt;='1_PANEL_CONTROL'!$D$43, IF('1_PANEL_CONTROL'!$C$32=14, IF(OR(MOD(AL$8,12)=6, MOD(AL$8,12)=0), '1_PANEL_CONTROL'!$C$43/14, 0), 0), 0)</f>
        <v>0</v>
      </c>
      <c r="AM55" s="33">
        <f>IF(AM$8&gt;='1_PANEL_CONTROL'!$D$43, IF('1_PANEL_CONTROL'!$C$32=14, IF(OR(MOD(AM$8,12)=6, MOD(AM$8,12)=0), '1_PANEL_CONTROL'!$C$43/14, 0), 0), 0)</f>
        <v>0</v>
      </c>
      <c r="AN55" s="33">
        <f>IF(AN$8&gt;='1_PANEL_CONTROL'!$D$43, IF('1_PANEL_CONTROL'!$C$32=14, IF(OR(MOD(AN$8,12)=6, MOD(AN$8,12)=0), '1_PANEL_CONTROL'!$C$43/14, 0), 0), 0)</f>
        <v>0</v>
      </c>
      <c r="AO55" s="33">
        <f>IF(AO$8&gt;='1_PANEL_CONTROL'!$D$43, IF('1_PANEL_CONTROL'!$C$32=14, IF(OR(MOD(AO$8,12)=6, MOD(AO$8,12)=0), '1_PANEL_CONTROL'!$C$43/14, 0), 0), 0)</f>
        <v>0</v>
      </c>
      <c r="AP55" s="33">
        <f>IF(AP$8&gt;='1_PANEL_CONTROL'!$D$43, IF('1_PANEL_CONTROL'!$C$32=14, IF(OR(MOD(AP$8,12)=6, MOD(AP$8,12)=0), '1_PANEL_CONTROL'!$C$43/14, 0), 0), 0)</f>
        <v>0</v>
      </c>
      <c r="AQ55" s="33">
        <f>IF(AQ$8&gt;='1_PANEL_CONTROL'!$D$43, IF('1_PANEL_CONTROL'!$C$32=14, IF(OR(MOD(AQ$8,12)=6, MOD(AQ$8,12)=0), '1_PANEL_CONTROL'!$C$43/14, 0), 0), 0)</f>
        <v>0</v>
      </c>
      <c r="AR55" s="33">
        <f>IF(AR$8&gt;='1_PANEL_CONTROL'!$D$43, IF('1_PANEL_CONTROL'!$C$32=14, IF(OR(MOD(AR$8,12)=6, MOD(AR$8,12)=0), '1_PANEL_CONTROL'!$C$43/14, 0), 0), 0)</f>
        <v>0</v>
      </c>
      <c r="AS55" s="33">
        <f>IF(AS$8&gt;='1_PANEL_CONTROL'!$D$43, IF('1_PANEL_CONTROL'!$C$32=14, IF(OR(MOD(AS$8,12)=6, MOD(AS$8,12)=0), '1_PANEL_CONTROL'!$C$43/14, 0), 0), 0)</f>
        <v>0</v>
      </c>
      <c r="AT55" s="33">
        <f>IF(AT$8&gt;='1_PANEL_CONTROL'!$D$43, IF('1_PANEL_CONTROL'!$C$32=14, IF(OR(MOD(AT$8,12)=6, MOD(AT$8,12)=0), '1_PANEL_CONTROL'!$C$43/14, 0), 0), 0)</f>
        <v>0</v>
      </c>
      <c r="AU55" s="33">
        <f>IF(AU$8&gt;='1_PANEL_CONTROL'!$D$43, IF('1_PANEL_CONTROL'!$C$32=14, IF(OR(MOD(AU$8,12)=6, MOD(AU$8,12)=0), '1_PANEL_CONTROL'!$C$43/14, 0), 0), 0)</f>
        <v>0</v>
      </c>
      <c r="AV55" s="33">
        <f>IF(AV$8&gt;='1_PANEL_CONTROL'!$D$43, IF('1_PANEL_CONTROL'!$C$32=14, IF(OR(MOD(AV$8,12)=6, MOD(AV$8,12)=0), '1_PANEL_CONTROL'!$C$43/14, 0), 0), 0)</f>
        <v>0</v>
      </c>
      <c r="AW55" s="33">
        <f>IF(AW$8&gt;='1_PANEL_CONTROL'!$D$43, IF('1_PANEL_CONTROL'!$C$32=14, IF(OR(MOD(AW$8,12)=6, MOD(AW$8,12)=0), '1_PANEL_CONTROL'!$C$43/14, 0), 0), 0)</f>
        <v>0</v>
      </c>
      <c r="AX55" s="33">
        <f>IF(AX$8&gt;='1_PANEL_CONTROL'!$D$43, IF('1_PANEL_CONTROL'!$C$32=14, IF(OR(MOD(AX$8,12)=6, MOD(AX$8,12)=0), '1_PANEL_CONTROL'!$C$43/14, 0), 0), 0)</f>
        <v>0</v>
      </c>
      <c r="AY55" s="33">
        <f>IF(AY$8&gt;='1_PANEL_CONTROL'!$D$43, IF('1_PANEL_CONTROL'!$C$32=14, IF(OR(MOD(AY$8,12)=6, MOD(AY$8,12)=0), '1_PANEL_CONTROL'!$C$43/14, 0), 0), 0)</f>
        <v>0</v>
      </c>
      <c r="AZ55" s="33">
        <f>IF(AZ$8&gt;='1_PANEL_CONTROL'!$D$43, IF('1_PANEL_CONTROL'!$C$32=14, IF(OR(MOD(AZ$8,12)=6, MOD(AZ$8,12)=0), '1_PANEL_CONTROL'!$C$43/14, 0), 0), 0)</f>
        <v>0</v>
      </c>
      <c r="BA55" s="33">
        <f>IF(BA$8&gt;='1_PANEL_CONTROL'!$D$43, IF('1_PANEL_CONTROL'!$C$32=14, IF(OR(MOD(BA$8,12)=6, MOD(BA$8,12)=0), '1_PANEL_CONTROL'!$C$43/14, 0), 0), 0)</f>
        <v>0</v>
      </c>
      <c r="BB55" s="33">
        <f>IF(BB$8&gt;='1_PANEL_CONTROL'!$D$43, IF('1_PANEL_CONTROL'!$C$32=14, IF(OR(MOD(BB$8,12)=6, MOD(BB$8,12)=0), '1_PANEL_CONTROL'!$C$43/14, 0), 0), 0)</f>
        <v>0</v>
      </c>
      <c r="BC55" s="33">
        <f>IF(BC$8&gt;='1_PANEL_CONTROL'!$D$43, IF('1_PANEL_CONTROL'!$C$32=14, IF(OR(MOD(BC$8,12)=6, MOD(BC$8,12)=0), '1_PANEL_CONTROL'!$C$43/14, 0), 0), 0)</f>
        <v>0</v>
      </c>
      <c r="BD55" s="33">
        <f>IF(BD$8&gt;='1_PANEL_CONTROL'!$D$43, IF('1_PANEL_CONTROL'!$C$32=14, IF(OR(MOD(BD$8,12)=6, MOD(BD$8,12)=0), '1_PANEL_CONTROL'!$C$43/14, 0), 0), 0)</f>
        <v>0</v>
      </c>
      <c r="BE55" s="33">
        <f>IF(BE$8&gt;='1_PANEL_CONTROL'!$D$43, IF('1_PANEL_CONTROL'!$C$32=14, IF(OR(MOD(BE$8,12)=6, MOD(BE$8,12)=0), '1_PANEL_CONTROL'!$C$43/14, 0), 0), 0)</f>
        <v>0</v>
      </c>
      <c r="BF55" s="33">
        <f>IF(BF$8&gt;='1_PANEL_CONTROL'!$D$43, IF('1_PANEL_CONTROL'!$C$32=14, IF(OR(MOD(BF$8,12)=6, MOD(BF$8,12)=0), '1_PANEL_CONTROL'!$C$43/14, 0), 0), 0)</f>
        <v>0</v>
      </c>
      <c r="BG55" s="33">
        <f>IF(BG$8&gt;='1_PANEL_CONTROL'!$D$43, IF('1_PANEL_CONTROL'!$C$32=14, IF(OR(MOD(BG$8,12)=6, MOD(BG$8,12)=0), '1_PANEL_CONTROL'!$C$43/14, 0), 0), 0)</f>
        <v>0</v>
      </c>
      <c r="BH55" s="33">
        <f>IF(BH$8&gt;='1_PANEL_CONTROL'!$D$43, IF('1_PANEL_CONTROL'!$C$32=14, IF(OR(MOD(BH$8,12)=6, MOD(BH$8,12)=0), '1_PANEL_CONTROL'!$C$43/14, 0), 0), 0)</f>
        <v>0</v>
      </c>
      <c r="BI55" s="33">
        <f>IF(BI$8&gt;='1_PANEL_CONTROL'!$D$43, IF('1_PANEL_CONTROL'!$C$32=14, IF(OR(MOD(BI$8,12)=6, MOD(BI$8,12)=0), '1_PANEL_CONTROL'!$C$43/14, 0), 0), 0)</f>
        <v>0</v>
      </c>
      <c r="BJ55" s="33">
        <f>IF(BJ$8&gt;='1_PANEL_CONTROL'!$D$43, IF('1_PANEL_CONTROL'!$C$32=14, IF(OR(MOD(BJ$8,12)=6, MOD(BJ$8,12)=0), '1_PANEL_CONTROL'!$C$43/14, 0), 0), 0)</f>
        <v>0</v>
      </c>
      <c r="BK55" s="33">
        <f>IF(BK$8&gt;='1_PANEL_CONTROL'!$D$43, IF('1_PANEL_CONTROL'!$C$32=14, IF(OR(MOD(BK$8,12)=6, MOD(BK$8,12)=0), '1_PANEL_CONTROL'!$C$43/14, 0), 0), 0)</f>
        <v>0</v>
      </c>
      <c r="BL55" s="33">
        <f>IF(BL$8&gt;='1_PANEL_CONTROL'!$D$43, IF('1_PANEL_CONTROL'!$C$32=14, IF(OR(MOD(BL$8,12)=6, MOD(BL$8,12)=0), '1_PANEL_CONTROL'!$C$43/14, 0), 0), 0)</f>
        <v>0</v>
      </c>
      <c r="BM55" s="33">
        <f>IF(BM$8&gt;='1_PANEL_CONTROL'!$D$43, IF('1_PANEL_CONTROL'!$C$32=14, IF(OR(MOD(BM$8,12)=6, MOD(BM$8,12)=0), '1_PANEL_CONTROL'!$C$43/14, 0), 0), 0)</f>
        <v>0</v>
      </c>
      <c r="BN55" s="33">
        <f>IF(BN$8&gt;='1_PANEL_CONTROL'!$D$43, IF('1_PANEL_CONTROL'!$C$32=14, IF(OR(MOD(BN$8,12)=6, MOD(BN$8,12)=0), '1_PANEL_CONTROL'!$C$43/14, 0), 0), 0)</f>
        <v>0</v>
      </c>
      <c r="BO55" s="33">
        <f>IF(BO$8&gt;='1_PANEL_CONTROL'!$D$43, IF('1_PANEL_CONTROL'!$C$32=14, IF(OR(MOD(BO$8,12)=6, MOD(BO$8,12)=0), '1_PANEL_CONTROL'!$C$43/14, 0), 0), 0)</f>
        <v>0</v>
      </c>
      <c r="BP55" s="33">
        <f>IF(BP$8&gt;='1_PANEL_CONTROL'!$D$43, IF('1_PANEL_CONTROL'!$C$32=14, IF(OR(MOD(BP$8,12)=6, MOD(BP$8,12)=0), '1_PANEL_CONTROL'!$C$43/14, 0), 0), 0)</f>
        <v>0</v>
      </c>
      <c r="BQ55" s="33">
        <f>IF(BQ$8&gt;='1_PANEL_CONTROL'!$D$43, IF('1_PANEL_CONTROL'!$C$32=14, IF(OR(MOD(BQ$8,12)=6, MOD(BQ$8,12)=0), '1_PANEL_CONTROL'!$C$43/14, 0), 0), 0)</f>
        <v>0</v>
      </c>
      <c r="BR55" s="33">
        <f>IF(BR$8&gt;='1_PANEL_CONTROL'!$D$43, IF('1_PANEL_CONTROL'!$C$32=14, IF(OR(MOD(BR$8,12)=6, MOD(BR$8,12)=0), '1_PANEL_CONTROL'!$C$43/14, 0), 0), 0)</f>
        <v>0</v>
      </c>
      <c r="BS55" s="33">
        <f>IF(BS$8&gt;='1_PANEL_CONTROL'!$D$43, IF('1_PANEL_CONTROL'!$C$32=14, IF(OR(MOD(BS$8,12)=6, MOD(BS$8,12)=0), '1_PANEL_CONTROL'!$C$43/14, 0), 0), 0)</f>
        <v>0</v>
      </c>
      <c r="BT55" s="33">
        <f>IF(BT$8&gt;='1_PANEL_CONTROL'!$D$43, IF('1_PANEL_CONTROL'!$C$32=14, IF(OR(MOD(BT$8,12)=6, MOD(BT$8,12)=0), '1_PANEL_CONTROL'!$C$43/14, 0), 0), 0)</f>
        <v>0</v>
      </c>
      <c r="BU55" s="33">
        <f>IF(BU$8&gt;='1_PANEL_CONTROL'!$D$43, IF('1_PANEL_CONTROL'!$C$32=14, IF(OR(MOD(BU$8,12)=6, MOD(BU$8,12)=0), '1_PANEL_CONTROL'!$C$43/14, 0), 0), 0)</f>
        <v>0</v>
      </c>
      <c r="BV55" s="33">
        <f>IF(BV$8&gt;='1_PANEL_CONTROL'!$D$43, IF('1_PANEL_CONTROL'!$C$32=14, IF(OR(MOD(BV$8,12)=6, MOD(BV$8,12)=0), '1_PANEL_CONTROL'!$C$43/14, 0), 0), 0)</f>
        <v>0</v>
      </c>
      <c r="BW55" s="33">
        <f>IF(BW$8&gt;='1_PANEL_CONTROL'!$D$43, IF('1_PANEL_CONTROL'!$C$32=14, IF(OR(MOD(BW$8,12)=6, MOD(BW$8,12)=0), '1_PANEL_CONTROL'!$C$43/14, 0), 0), 0)</f>
        <v>0</v>
      </c>
      <c r="BX55" s="33">
        <f>IF(BX$8&gt;='1_PANEL_CONTROL'!$D$43, IF('1_PANEL_CONTROL'!$C$32=14, IF(OR(MOD(BX$8,12)=6, MOD(BX$8,12)=0), '1_PANEL_CONTROL'!$C$43/14, 0), 0), 0)</f>
        <v>0</v>
      </c>
      <c r="BY55" s="33">
        <f>IF(BY$8&gt;='1_PANEL_CONTROL'!$D$43, IF('1_PANEL_CONTROL'!$C$32=14, IF(OR(MOD(BY$8,12)=6, MOD(BY$8,12)=0), '1_PANEL_CONTROL'!$C$43/14, 0), 0), 0)</f>
        <v>0</v>
      </c>
      <c r="BZ55" s="33">
        <f>IF(BZ$8&gt;='1_PANEL_CONTROL'!$D$43, IF('1_PANEL_CONTROL'!$C$32=14, IF(OR(MOD(BZ$8,12)=6, MOD(BZ$8,12)=0), '1_PANEL_CONTROL'!$C$43/14, 0), 0), 0)</f>
        <v>0</v>
      </c>
      <c r="CA55" s="33">
        <f>IF(CA$8&gt;='1_PANEL_CONTROL'!$D$43, IF('1_PANEL_CONTROL'!$C$32=14, IF(OR(MOD(CA$8,12)=6, MOD(CA$8,12)=0), '1_PANEL_CONTROL'!$C$43/14, 0), 0), 0)</f>
        <v>0</v>
      </c>
      <c r="CB55" s="33">
        <f>IF(CB$8&gt;='1_PANEL_CONTROL'!$D$43, IF('1_PANEL_CONTROL'!$C$32=14, IF(OR(MOD(CB$8,12)=6, MOD(CB$8,12)=0), '1_PANEL_CONTROL'!$C$43/14, 0), 0), 0)</f>
        <v>0</v>
      </c>
      <c r="CC55" s="33">
        <f>IF(CC$8&gt;='1_PANEL_CONTROL'!$D$43, IF('1_PANEL_CONTROL'!$C$32=14, IF(OR(MOD(CC$8,12)=6, MOD(CC$8,12)=0), '1_PANEL_CONTROL'!$C$43/14, 0), 0), 0)</f>
        <v>0</v>
      </c>
      <c r="CD55" s="33">
        <f>IF(CD$8&gt;='1_PANEL_CONTROL'!$D$43, IF('1_PANEL_CONTROL'!$C$32=14, IF(OR(MOD(CD$8,12)=6, MOD(CD$8,12)=0), '1_PANEL_CONTROL'!$C$43/14, 0), 0), 0)</f>
        <v>0</v>
      </c>
      <c r="CE55" s="33">
        <f>IF(CE$8&gt;='1_PANEL_CONTROL'!$D$43, IF('1_PANEL_CONTROL'!$C$32=14, IF(OR(MOD(CE$8,12)=6, MOD(CE$8,12)=0), '1_PANEL_CONTROL'!$C$43/14, 0), 0), 0)</f>
        <v>0</v>
      </c>
      <c r="CF55" s="33">
        <f>IF(CF$8&gt;='1_PANEL_CONTROL'!$D$43, IF('1_PANEL_CONTROL'!$C$32=14, IF(OR(MOD(CF$8,12)=6, MOD(CF$8,12)=0), '1_PANEL_CONTROL'!$C$43/14, 0), 0), 0)</f>
        <v>0</v>
      </c>
      <c r="CG55" s="33">
        <f>IF(CG$8&gt;='1_PANEL_CONTROL'!$D$43, IF('1_PANEL_CONTROL'!$C$32=14, IF(OR(MOD(CG$8,12)=6, MOD(CG$8,12)=0), '1_PANEL_CONTROL'!$C$43/14, 0), 0), 0)</f>
        <v>0</v>
      </c>
      <c r="CH55" s="33">
        <f>IF(CH$8&gt;='1_PANEL_CONTROL'!$D$43, IF('1_PANEL_CONTROL'!$C$32=14, IF(OR(MOD(CH$8,12)=6, MOD(CH$8,12)=0), '1_PANEL_CONTROL'!$C$43/14, 0), 0), 0)</f>
        <v>0</v>
      </c>
      <c r="CI55" s="33">
        <f>IF(CI$8&gt;='1_PANEL_CONTROL'!$D$43, IF('1_PANEL_CONTROL'!$C$32=14, IF(OR(MOD(CI$8,12)=6, MOD(CI$8,12)=0), '1_PANEL_CONTROL'!$C$43/14, 0), 0), 0)</f>
        <v>0</v>
      </c>
    </row>
    <row r="56" spans="1:87" ht="16">
      <c r="A56" s="6" t="s">
        <v>584</v>
      </c>
      <c r="B56" s="30" t="s">
        <v>465</v>
      </c>
      <c r="C56" s="15"/>
      <c r="D56" s="33">
        <f t="shared" ref="D56:AI56" si="36">D54+D55</f>
        <v>0</v>
      </c>
      <c r="E56" s="33">
        <f t="shared" si="36"/>
        <v>0</v>
      </c>
      <c r="F56" s="33">
        <f t="shared" si="36"/>
        <v>0</v>
      </c>
      <c r="G56" s="33">
        <f t="shared" si="36"/>
        <v>0</v>
      </c>
      <c r="H56" s="33">
        <f t="shared" si="36"/>
        <v>0</v>
      </c>
      <c r="I56" s="33">
        <f t="shared" si="36"/>
        <v>0</v>
      </c>
      <c r="J56" s="33">
        <f t="shared" si="36"/>
        <v>0</v>
      </c>
      <c r="K56" s="33">
        <f t="shared" si="36"/>
        <v>0</v>
      </c>
      <c r="L56" s="33">
        <f t="shared" si="36"/>
        <v>0</v>
      </c>
      <c r="M56" s="33">
        <f t="shared" si="36"/>
        <v>0</v>
      </c>
      <c r="N56" s="33">
        <f t="shared" si="36"/>
        <v>0</v>
      </c>
      <c r="O56" s="33">
        <f t="shared" si="36"/>
        <v>0</v>
      </c>
      <c r="P56" s="33">
        <f t="shared" si="36"/>
        <v>3750</v>
      </c>
      <c r="Q56" s="33">
        <f t="shared" si="36"/>
        <v>3750</v>
      </c>
      <c r="R56" s="33">
        <f t="shared" si="36"/>
        <v>3750</v>
      </c>
      <c r="S56" s="33">
        <f t="shared" si="36"/>
        <v>3750</v>
      </c>
      <c r="T56" s="33">
        <f t="shared" si="36"/>
        <v>3750</v>
      </c>
      <c r="U56" s="33">
        <f t="shared" si="36"/>
        <v>3750</v>
      </c>
      <c r="V56" s="33">
        <f t="shared" si="36"/>
        <v>3750</v>
      </c>
      <c r="W56" s="33">
        <f t="shared" si="36"/>
        <v>3750</v>
      </c>
      <c r="X56" s="33">
        <f t="shared" si="36"/>
        <v>3750</v>
      </c>
      <c r="Y56" s="33">
        <f t="shared" si="36"/>
        <v>3750</v>
      </c>
      <c r="Z56" s="33">
        <f t="shared" si="36"/>
        <v>3750</v>
      </c>
      <c r="AA56" s="33">
        <f t="shared" si="36"/>
        <v>3750</v>
      </c>
      <c r="AB56" s="33">
        <f t="shared" si="36"/>
        <v>3750</v>
      </c>
      <c r="AC56" s="33">
        <f t="shared" si="36"/>
        <v>3750</v>
      </c>
      <c r="AD56" s="33">
        <f t="shared" si="36"/>
        <v>3750</v>
      </c>
      <c r="AE56" s="33">
        <f t="shared" si="36"/>
        <v>3750</v>
      </c>
      <c r="AF56" s="33">
        <f t="shared" si="36"/>
        <v>3750</v>
      </c>
      <c r="AG56" s="33">
        <f t="shared" si="36"/>
        <v>3750</v>
      </c>
      <c r="AH56" s="33">
        <f t="shared" si="36"/>
        <v>3750</v>
      </c>
      <c r="AI56" s="33">
        <f t="shared" si="36"/>
        <v>3750</v>
      </c>
      <c r="AJ56" s="33">
        <f t="shared" ref="AJ56:BO56" si="37">AJ54+AJ55</f>
        <v>3750</v>
      </c>
      <c r="AK56" s="33">
        <f t="shared" si="37"/>
        <v>3750</v>
      </c>
      <c r="AL56" s="33">
        <f t="shared" si="37"/>
        <v>3750</v>
      </c>
      <c r="AM56" s="33">
        <f t="shared" si="37"/>
        <v>3750</v>
      </c>
      <c r="AN56" s="33">
        <f t="shared" si="37"/>
        <v>3750</v>
      </c>
      <c r="AO56" s="33">
        <f t="shared" si="37"/>
        <v>3750</v>
      </c>
      <c r="AP56" s="33">
        <f t="shared" si="37"/>
        <v>3750</v>
      </c>
      <c r="AQ56" s="33">
        <f t="shared" si="37"/>
        <v>3750</v>
      </c>
      <c r="AR56" s="33">
        <f t="shared" si="37"/>
        <v>3750</v>
      </c>
      <c r="AS56" s="33">
        <f t="shared" si="37"/>
        <v>3750</v>
      </c>
      <c r="AT56" s="33">
        <f t="shared" si="37"/>
        <v>3750</v>
      </c>
      <c r="AU56" s="33">
        <f t="shared" si="37"/>
        <v>3750</v>
      </c>
      <c r="AV56" s="33">
        <f t="shared" si="37"/>
        <v>3750</v>
      </c>
      <c r="AW56" s="33">
        <f t="shared" si="37"/>
        <v>3750</v>
      </c>
      <c r="AX56" s="33">
        <f t="shared" si="37"/>
        <v>3750</v>
      </c>
      <c r="AY56" s="33">
        <f t="shared" si="37"/>
        <v>3750</v>
      </c>
      <c r="AZ56" s="33">
        <f t="shared" si="37"/>
        <v>3750</v>
      </c>
      <c r="BA56" s="33">
        <f t="shared" si="37"/>
        <v>3750</v>
      </c>
      <c r="BB56" s="33">
        <f t="shared" si="37"/>
        <v>3750</v>
      </c>
      <c r="BC56" s="33">
        <f t="shared" si="37"/>
        <v>3750</v>
      </c>
      <c r="BD56" s="33">
        <f t="shared" si="37"/>
        <v>3750</v>
      </c>
      <c r="BE56" s="33">
        <f t="shared" si="37"/>
        <v>3750</v>
      </c>
      <c r="BF56" s="33">
        <f t="shared" si="37"/>
        <v>3750</v>
      </c>
      <c r="BG56" s="33">
        <f t="shared" si="37"/>
        <v>3750</v>
      </c>
      <c r="BH56" s="33">
        <f t="shared" si="37"/>
        <v>3750</v>
      </c>
      <c r="BI56" s="33">
        <f t="shared" si="37"/>
        <v>3750</v>
      </c>
      <c r="BJ56" s="33">
        <f t="shared" si="37"/>
        <v>3750</v>
      </c>
      <c r="BK56" s="33">
        <f t="shared" si="37"/>
        <v>3750</v>
      </c>
      <c r="BL56" s="33">
        <f t="shared" si="37"/>
        <v>3750</v>
      </c>
      <c r="BM56" s="33">
        <f t="shared" si="37"/>
        <v>3750</v>
      </c>
      <c r="BN56" s="33">
        <f t="shared" si="37"/>
        <v>3750</v>
      </c>
      <c r="BO56" s="33">
        <f t="shared" si="37"/>
        <v>3750</v>
      </c>
      <c r="BP56" s="33">
        <f t="shared" ref="BP56:CU56" si="38">BP54+BP55</f>
        <v>3750</v>
      </c>
      <c r="BQ56" s="33">
        <f t="shared" si="38"/>
        <v>3750</v>
      </c>
      <c r="BR56" s="33">
        <f t="shared" si="38"/>
        <v>3750</v>
      </c>
      <c r="BS56" s="33">
        <f t="shared" si="38"/>
        <v>3750</v>
      </c>
      <c r="BT56" s="33">
        <f t="shared" si="38"/>
        <v>3750</v>
      </c>
      <c r="BU56" s="33">
        <f t="shared" si="38"/>
        <v>3750</v>
      </c>
      <c r="BV56" s="33">
        <f t="shared" si="38"/>
        <v>3750</v>
      </c>
      <c r="BW56" s="33">
        <f t="shared" si="38"/>
        <v>3750</v>
      </c>
      <c r="BX56" s="33">
        <f t="shared" si="38"/>
        <v>3750</v>
      </c>
      <c r="BY56" s="33">
        <f t="shared" si="38"/>
        <v>3750</v>
      </c>
      <c r="BZ56" s="33">
        <f t="shared" si="38"/>
        <v>3750</v>
      </c>
      <c r="CA56" s="33">
        <f t="shared" si="38"/>
        <v>3750</v>
      </c>
      <c r="CB56" s="33">
        <f t="shared" si="38"/>
        <v>3750</v>
      </c>
      <c r="CC56" s="33">
        <f t="shared" si="38"/>
        <v>3750</v>
      </c>
      <c r="CD56" s="33">
        <f t="shared" si="38"/>
        <v>3750</v>
      </c>
      <c r="CE56" s="33">
        <f t="shared" si="38"/>
        <v>3750</v>
      </c>
      <c r="CF56" s="33">
        <f t="shared" si="38"/>
        <v>3750</v>
      </c>
      <c r="CG56" s="33">
        <f t="shared" si="38"/>
        <v>3750</v>
      </c>
      <c r="CH56" s="33">
        <f t="shared" si="38"/>
        <v>3750</v>
      </c>
      <c r="CI56" s="33">
        <f t="shared" si="38"/>
        <v>3750</v>
      </c>
    </row>
    <row r="57" spans="1:87" ht="16">
      <c r="A57" s="6" t="s">
        <v>585</v>
      </c>
      <c r="B57" s="30" t="s">
        <v>465</v>
      </c>
      <c r="C57" s="15"/>
      <c r="D57" s="33">
        <f>IF(D$8&gt;='1_PANEL_CONTROL'!$D$43, '1_PANEL_CONTROL'!$C$43/12, 0)</f>
        <v>0</v>
      </c>
      <c r="E57" s="33">
        <f>IF(E$8&gt;='1_PANEL_CONTROL'!$D$43, '1_PANEL_CONTROL'!$C$43/12, 0)</f>
        <v>0</v>
      </c>
      <c r="F57" s="33">
        <f>IF(F$8&gt;='1_PANEL_CONTROL'!$D$43, '1_PANEL_CONTROL'!$C$43/12, 0)</f>
        <v>0</v>
      </c>
      <c r="G57" s="33">
        <f>IF(G$8&gt;='1_PANEL_CONTROL'!$D$43, '1_PANEL_CONTROL'!$C$43/12, 0)</f>
        <v>0</v>
      </c>
      <c r="H57" s="33">
        <f>IF(H$8&gt;='1_PANEL_CONTROL'!$D$43, '1_PANEL_CONTROL'!$C$43/12, 0)</f>
        <v>0</v>
      </c>
      <c r="I57" s="33">
        <f>IF(I$8&gt;='1_PANEL_CONTROL'!$D$43, '1_PANEL_CONTROL'!$C$43/12, 0)</f>
        <v>0</v>
      </c>
      <c r="J57" s="33">
        <f>IF(J$8&gt;='1_PANEL_CONTROL'!$D$43, '1_PANEL_CONTROL'!$C$43/12, 0)</f>
        <v>0</v>
      </c>
      <c r="K57" s="33">
        <f>IF(K$8&gt;='1_PANEL_CONTROL'!$D$43, '1_PANEL_CONTROL'!$C$43/12, 0)</f>
        <v>0</v>
      </c>
      <c r="L57" s="33">
        <f>IF(L$8&gt;='1_PANEL_CONTROL'!$D$43, '1_PANEL_CONTROL'!$C$43/12, 0)</f>
        <v>0</v>
      </c>
      <c r="M57" s="33">
        <f>IF(M$8&gt;='1_PANEL_CONTROL'!$D$43, '1_PANEL_CONTROL'!$C$43/12, 0)</f>
        <v>0</v>
      </c>
      <c r="N57" s="33">
        <f>IF(N$8&gt;='1_PANEL_CONTROL'!$D$43, '1_PANEL_CONTROL'!$C$43/12, 0)</f>
        <v>0</v>
      </c>
      <c r="O57" s="33">
        <f>IF(O$8&gt;='1_PANEL_CONTROL'!$D$43, '1_PANEL_CONTROL'!$C$43/12, 0)</f>
        <v>0</v>
      </c>
      <c r="P57" s="33">
        <f>IF(P$8&gt;='1_PANEL_CONTROL'!$D$43, '1_PANEL_CONTROL'!$C$43/12, 0)</f>
        <v>3750</v>
      </c>
      <c r="Q57" s="33">
        <f>IF(Q$8&gt;='1_PANEL_CONTROL'!$D$43, '1_PANEL_CONTROL'!$C$43/12, 0)</f>
        <v>3750</v>
      </c>
      <c r="R57" s="33">
        <f>IF(R$8&gt;='1_PANEL_CONTROL'!$D$43, '1_PANEL_CONTROL'!$C$43/12, 0)</f>
        <v>3750</v>
      </c>
      <c r="S57" s="33">
        <f>IF(S$8&gt;='1_PANEL_CONTROL'!$D$43, '1_PANEL_CONTROL'!$C$43/12, 0)</f>
        <v>3750</v>
      </c>
      <c r="T57" s="33">
        <f>IF(T$8&gt;='1_PANEL_CONTROL'!$D$43, '1_PANEL_CONTROL'!$C$43/12, 0)</f>
        <v>3750</v>
      </c>
      <c r="U57" s="33">
        <f>IF(U$8&gt;='1_PANEL_CONTROL'!$D$43, '1_PANEL_CONTROL'!$C$43/12, 0)</f>
        <v>3750</v>
      </c>
      <c r="V57" s="33">
        <f>IF(V$8&gt;='1_PANEL_CONTROL'!$D$43, '1_PANEL_CONTROL'!$C$43/12, 0)</f>
        <v>3750</v>
      </c>
      <c r="W57" s="33">
        <f>IF(W$8&gt;='1_PANEL_CONTROL'!$D$43, '1_PANEL_CONTROL'!$C$43/12, 0)</f>
        <v>3750</v>
      </c>
      <c r="X57" s="33">
        <f>IF(X$8&gt;='1_PANEL_CONTROL'!$D$43, '1_PANEL_CONTROL'!$C$43/12, 0)</f>
        <v>3750</v>
      </c>
      <c r="Y57" s="33">
        <f>IF(Y$8&gt;='1_PANEL_CONTROL'!$D$43, '1_PANEL_CONTROL'!$C$43/12, 0)</f>
        <v>3750</v>
      </c>
      <c r="Z57" s="33">
        <f>IF(Z$8&gt;='1_PANEL_CONTROL'!$D$43, '1_PANEL_CONTROL'!$C$43/12, 0)</f>
        <v>3750</v>
      </c>
      <c r="AA57" s="33">
        <f>IF(AA$8&gt;='1_PANEL_CONTROL'!$D$43, '1_PANEL_CONTROL'!$C$43/12, 0)</f>
        <v>3750</v>
      </c>
      <c r="AB57" s="33">
        <f>IF(AB$8&gt;='1_PANEL_CONTROL'!$D$43, '1_PANEL_CONTROL'!$C$43/12, 0)</f>
        <v>3750</v>
      </c>
      <c r="AC57" s="33">
        <f>IF(AC$8&gt;='1_PANEL_CONTROL'!$D$43, '1_PANEL_CONTROL'!$C$43/12, 0)</f>
        <v>3750</v>
      </c>
      <c r="AD57" s="33">
        <f>IF(AD$8&gt;='1_PANEL_CONTROL'!$D$43, '1_PANEL_CONTROL'!$C$43/12, 0)</f>
        <v>3750</v>
      </c>
      <c r="AE57" s="33">
        <f>IF(AE$8&gt;='1_PANEL_CONTROL'!$D$43, '1_PANEL_CONTROL'!$C$43/12, 0)</f>
        <v>3750</v>
      </c>
      <c r="AF57" s="33">
        <f>IF(AF$8&gt;='1_PANEL_CONTROL'!$D$43, '1_PANEL_CONTROL'!$C$43/12, 0)</f>
        <v>3750</v>
      </c>
      <c r="AG57" s="33">
        <f>IF(AG$8&gt;='1_PANEL_CONTROL'!$D$43, '1_PANEL_CONTROL'!$C$43/12, 0)</f>
        <v>3750</v>
      </c>
      <c r="AH57" s="33">
        <f>IF(AH$8&gt;='1_PANEL_CONTROL'!$D$43, '1_PANEL_CONTROL'!$C$43/12, 0)</f>
        <v>3750</v>
      </c>
      <c r="AI57" s="33">
        <f>IF(AI$8&gt;='1_PANEL_CONTROL'!$D$43, '1_PANEL_CONTROL'!$C$43/12, 0)</f>
        <v>3750</v>
      </c>
      <c r="AJ57" s="33">
        <f>IF(AJ$8&gt;='1_PANEL_CONTROL'!$D$43, '1_PANEL_CONTROL'!$C$43/12, 0)</f>
        <v>3750</v>
      </c>
      <c r="AK57" s="33">
        <f>IF(AK$8&gt;='1_PANEL_CONTROL'!$D$43, '1_PANEL_CONTROL'!$C$43/12, 0)</f>
        <v>3750</v>
      </c>
      <c r="AL57" s="33">
        <f>IF(AL$8&gt;='1_PANEL_CONTROL'!$D$43, '1_PANEL_CONTROL'!$C$43/12, 0)</f>
        <v>3750</v>
      </c>
      <c r="AM57" s="33">
        <f>IF(AM$8&gt;='1_PANEL_CONTROL'!$D$43, '1_PANEL_CONTROL'!$C$43/12, 0)</f>
        <v>3750</v>
      </c>
      <c r="AN57" s="33">
        <f>IF(AN$8&gt;='1_PANEL_CONTROL'!$D$43, '1_PANEL_CONTROL'!$C$43/12, 0)</f>
        <v>3750</v>
      </c>
      <c r="AO57" s="33">
        <f>IF(AO$8&gt;='1_PANEL_CONTROL'!$D$43, '1_PANEL_CONTROL'!$C$43/12, 0)</f>
        <v>3750</v>
      </c>
      <c r="AP57" s="33">
        <f>IF(AP$8&gt;='1_PANEL_CONTROL'!$D$43, '1_PANEL_CONTROL'!$C$43/12, 0)</f>
        <v>3750</v>
      </c>
      <c r="AQ57" s="33">
        <f>IF(AQ$8&gt;='1_PANEL_CONTROL'!$D$43, '1_PANEL_CONTROL'!$C$43/12, 0)</f>
        <v>3750</v>
      </c>
      <c r="AR57" s="33">
        <f>IF(AR$8&gt;='1_PANEL_CONTROL'!$D$43, '1_PANEL_CONTROL'!$C$43/12, 0)</f>
        <v>3750</v>
      </c>
      <c r="AS57" s="33">
        <f>IF(AS$8&gt;='1_PANEL_CONTROL'!$D$43, '1_PANEL_CONTROL'!$C$43/12, 0)</f>
        <v>3750</v>
      </c>
      <c r="AT57" s="33">
        <f>IF(AT$8&gt;='1_PANEL_CONTROL'!$D$43, '1_PANEL_CONTROL'!$C$43/12, 0)</f>
        <v>3750</v>
      </c>
      <c r="AU57" s="33">
        <f>IF(AU$8&gt;='1_PANEL_CONTROL'!$D$43, '1_PANEL_CONTROL'!$C$43/12, 0)</f>
        <v>3750</v>
      </c>
      <c r="AV57" s="33">
        <f>IF(AV$8&gt;='1_PANEL_CONTROL'!$D$43, '1_PANEL_CONTROL'!$C$43/12, 0)</f>
        <v>3750</v>
      </c>
      <c r="AW57" s="33">
        <f>IF(AW$8&gt;='1_PANEL_CONTROL'!$D$43, '1_PANEL_CONTROL'!$C$43/12, 0)</f>
        <v>3750</v>
      </c>
      <c r="AX57" s="33">
        <f>IF(AX$8&gt;='1_PANEL_CONTROL'!$D$43, '1_PANEL_CONTROL'!$C$43/12, 0)</f>
        <v>3750</v>
      </c>
      <c r="AY57" s="33">
        <f>IF(AY$8&gt;='1_PANEL_CONTROL'!$D$43, '1_PANEL_CONTROL'!$C$43/12, 0)</f>
        <v>3750</v>
      </c>
      <c r="AZ57" s="33">
        <f>IF(AZ$8&gt;='1_PANEL_CONTROL'!$D$43, '1_PANEL_CONTROL'!$C$43/12, 0)</f>
        <v>3750</v>
      </c>
      <c r="BA57" s="33">
        <f>IF(BA$8&gt;='1_PANEL_CONTROL'!$D$43, '1_PANEL_CONTROL'!$C$43/12, 0)</f>
        <v>3750</v>
      </c>
      <c r="BB57" s="33">
        <f>IF(BB$8&gt;='1_PANEL_CONTROL'!$D$43, '1_PANEL_CONTROL'!$C$43/12, 0)</f>
        <v>3750</v>
      </c>
      <c r="BC57" s="33">
        <f>IF(BC$8&gt;='1_PANEL_CONTROL'!$D$43, '1_PANEL_CONTROL'!$C$43/12, 0)</f>
        <v>3750</v>
      </c>
      <c r="BD57" s="33">
        <f>IF(BD$8&gt;='1_PANEL_CONTROL'!$D$43, '1_PANEL_CONTROL'!$C$43/12, 0)</f>
        <v>3750</v>
      </c>
      <c r="BE57" s="33">
        <f>IF(BE$8&gt;='1_PANEL_CONTROL'!$D$43, '1_PANEL_CONTROL'!$C$43/12, 0)</f>
        <v>3750</v>
      </c>
      <c r="BF57" s="33">
        <f>IF(BF$8&gt;='1_PANEL_CONTROL'!$D$43, '1_PANEL_CONTROL'!$C$43/12, 0)</f>
        <v>3750</v>
      </c>
      <c r="BG57" s="33">
        <f>IF(BG$8&gt;='1_PANEL_CONTROL'!$D$43, '1_PANEL_CONTROL'!$C$43/12, 0)</f>
        <v>3750</v>
      </c>
      <c r="BH57" s="33">
        <f>IF(BH$8&gt;='1_PANEL_CONTROL'!$D$43, '1_PANEL_CONTROL'!$C$43/12, 0)</f>
        <v>3750</v>
      </c>
      <c r="BI57" s="33">
        <f>IF(BI$8&gt;='1_PANEL_CONTROL'!$D$43, '1_PANEL_CONTROL'!$C$43/12, 0)</f>
        <v>3750</v>
      </c>
      <c r="BJ57" s="33">
        <f>IF(BJ$8&gt;='1_PANEL_CONTROL'!$D$43, '1_PANEL_CONTROL'!$C$43/12, 0)</f>
        <v>3750</v>
      </c>
      <c r="BK57" s="33">
        <f>IF(BK$8&gt;='1_PANEL_CONTROL'!$D$43, '1_PANEL_CONTROL'!$C$43/12, 0)</f>
        <v>3750</v>
      </c>
      <c r="BL57" s="33">
        <f>IF(BL$8&gt;='1_PANEL_CONTROL'!$D$43, '1_PANEL_CONTROL'!$C$43/12, 0)</f>
        <v>3750</v>
      </c>
      <c r="BM57" s="33">
        <f>IF(BM$8&gt;='1_PANEL_CONTROL'!$D$43, '1_PANEL_CONTROL'!$C$43/12, 0)</f>
        <v>3750</v>
      </c>
      <c r="BN57" s="33">
        <f>IF(BN$8&gt;='1_PANEL_CONTROL'!$D$43, '1_PANEL_CONTROL'!$C$43/12, 0)</f>
        <v>3750</v>
      </c>
      <c r="BO57" s="33">
        <f>IF(BO$8&gt;='1_PANEL_CONTROL'!$D$43, '1_PANEL_CONTROL'!$C$43/12, 0)</f>
        <v>3750</v>
      </c>
      <c r="BP57" s="33">
        <f>IF(BP$8&gt;='1_PANEL_CONTROL'!$D$43, '1_PANEL_CONTROL'!$C$43/12, 0)</f>
        <v>3750</v>
      </c>
      <c r="BQ57" s="33">
        <f>IF(BQ$8&gt;='1_PANEL_CONTROL'!$D$43, '1_PANEL_CONTROL'!$C$43/12, 0)</f>
        <v>3750</v>
      </c>
      <c r="BR57" s="33">
        <f>IF(BR$8&gt;='1_PANEL_CONTROL'!$D$43, '1_PANEL_CONTROL'!$C$43/12, 0)</f>
        <v>3750</v>
      </c>
      <c r="BS57" s="33">
        <f>IF(BS$8&gt;='1_PANEL_CONTROL'!$D$43, '1_PANEL_CONTROL'!$C$43/12, 0)</f>
        <v>3750</v>
      </c>
      <c r="BT57" s="33">
        <f>IF(BT$8&gt;='1_PANEL_CONTROL'!$D$43, '1_PANEL_CONTROL'!$C$43/12, 0)</f>
        <v>3750</v>
      </c>
      <c r="BU57" s="33">
        <f>IF(BU$8&gt;='1_PANEL_CONTROL'!$D$43, '1_PANEL_CONTROL'!$C$43/12, 0)</f>
        <v>3750</v>
      </c>
      <c r="BV57" s="33">
        <f>IF(BV$8&gt;='1_PANEL_CONTROL'!$D$43, '1_PANEL_CONTROL'!$C$43/12, 0)</f>
        <v>3750</v>
      </c>
      <c r="BW57" s="33">
        <f>IF(BW$8&gt;='1_PANEL_CONTROL'!$D$43, '1_PANEL_CONTROL'!$C$43/12, 0)</f>
        <v>3750</v>
      </c>
      <c r="BX57" s="33">
        <f>IF(BX$8&gt;='1_PANEL_CONTROL'!$D$43, '1_PANEL_CONTROL'!$C$43/12, 0)</f>
        <v>3750</v>
      </c>
      <c r="BY57" s="33">
        <f>IF(BY$8&gt;='1_PANEL_CONTROL'!$D$43, '1_PANEL_CONTROL'!$C$43/12, 0)</f>
        <v>3750</v>
      </c>
      <c r="BZ57" s="33">
        <f>IF(BZ$8&gt;='1_PANEL_CONTROL'!$D$43, '1_PANEL_CONTROL'!$C$43/12, 0)</f>
        <v>3750</v>
      </c>
      <c r="CA57" s="33">
        <f>IF(CA$8&gt;='1_PANEL_CONTROL'!$D$43, '1_PANEL_CONTROL'!$C$43/12, 0)</f>
        <v>3750</v>
      </c>
      <c r="CB57" s="33">
        <f>IF(CB$8&gt;='1_PANEL_CONTROL'!$D$43, '1_PANEL_CONTROL'!$C$43/12, 0)</f>
        <v>3750</v>
      </c>
      <c r="CC57" s="33">
        <f>IF(CC$8&gt;='1_PANEL_CONTROL'!$D$43, '1_PANEL_CONTROL'!$C$43/12, 0)</f>
        <v>3750</v>
      </c>
      <c r="CD57" s="33">
        <f>IF(CD$8&gt;='1_PANEL_CONTROL'!$D$43, '1_PANEL_CONTROL'!$C$43/12, 0)</f>
        <v>3750</v>
      </c>
      <c r="CE57" s="33">
        <f>IF(CE$8&gt;='1_PANEL_CONTROL'!$D$43, '1_PANEL_CONTROL'!$C$43/12, 0)</f>
        <v>3750</v>
      </c>
      <c r="CF57" s="33">
        <f>IF(CF$8&gt;='1_PANEL_CONTROL'!$D$43, '1_PANEL_CONTROL'!$C$43/12, 0)</f>
        <v>3750</v>
      </c>
      <c r="CG57" s="33">
        <f>IF(CG$8&gt;='1_PANEL_CONTROL'!$D$43, '1_PANEL_CONTROL'!$C$43/12, 0)</f>
        <v>3750</v>
      </c>
      <c r="CH57" s="33">
        <f>IF(CH$8&gt;='1_PANEL_CONTROL'!$D$43, '1_PANEL_CONTROL'!$C$43/12, 0)</f>
        <v>3750</v>
      </c>
      <c r="CI57" s="33">
        <f>IF(CI$8&gt;='1_PANEL_CONTROL'!$D$43, '1_PANEL_CONTROL'!$C$43/12, 0)</f>
        <v>3750</v>
      </c>
    </row>
    <row r="58" spans="1:87" ht="16">
      <c r="A58" s="6" t="s">
        <v>586</v>
      </c>
      <c r="B58" s="30" t="s">
        <v>465</v>
      </c>
      <c r="C58" s="15"/>
      <c r="D58" s="33">
        <f>IF(D$8&gt;='1_PANEL_CONTROL'!$D$43, MIN(MAX(D57, $D$6), $D$5), 0)</f>
        <v>0</v>
      </c>
      <c r="E58" s="33">
        <f>IF(E$8&gt;='1_PANEL_CONTROL'!$D$43, MIN(MAX(E57, $D$6), $D$5), 0)</f>
        <v>0</v>
      </c>
      <c r="F58" s="33">
        <f>IF(F$8&gt;='1_PANEL_CONTROL'!$D$43, MIN(MAX(F57, $D$6), $D$5), 0)</f>
        <v>0</v>
      </c>
      <c r="G58" s="33">
        <f>IF(G$8&gt;='1_PANEL_CONTROL'!$D$43, MIN(MAX(G57, $D$6), $D$5), 0)</f>
        <v>0</v>
      </c>
      <c r="H58" s="33">
        <f>IF(H$8&gt;='1_PANEL_CONTROL'!$D$43, MIN(MAX(H57, $D$6), $D$5), 0)</f>
        <v>0</v>
      </c>
      <c r="I58" s="33">
        <f>IF(I$8&gt;='1_PANEL_CONTROL'!$D$43, MIN(MAX(I57, $D$6), $D$5), 0)</f>
        <v>0</v>
      </c>
      <c r="J58" s="33">
        <f>IF(J$8&gt;='1_PANEL_CONTROL'!$D$43, MIN(MAX(J57, $D$6), $D$5), 0)</f>
        <v>0</v>
      </c>
      <c r="K58" s="33">
        <f>IF(K$8&gt;='1_PANEL_CONTROL'!$D$43, MIN(MAX(K57, $D$6), $D$5), 0)</f>
        <v>0</v>
      </c>
      <c r="L58" s="33">
        <f>IF(L$8&gt;='1_PANEL_CONTROL'!$D$43, MIN(MAX(L57, $D$6), $D$5), 0)</f>
        <v>0</v>
      </c>
      <c r="M58" s="33">
        <f>IF(M$8&gt;='1_PANEL_CONTROL'!$D$43, MIN(MAX(M57, $D$6), $D$5), 0)</f>
        <v>0</v>
      </c>
      <c r="N58" s="33">
        <f>IF(N$8&gt;='1_PANEL_CONTROL'!$D$43, MIN(MAX(N57, $D$6), $D$5), 0)</f>
        <v>0</v>
      </c>
      <c r="O58" s="33">
        <f>IF(O$8&gt;='1_PANEL_CONTROL'!$D$43, MIN(MAX(O57, $D$6), $D$5), 0)</f>
        <v>0</v>
      </c>
      <c r="P58" s="33">
        <f>IF(P$8&gt;='1_PANEL_CONTROL'!$D$43, MIN(MAX(P57, $D$6), $D$5), 0)</f>
        <v>3750</v>
      </c>
      <c r="Q58" s="33">
        <f>IF(Q$8&gt;='1_PANEL_CONTROL'!$D$43, MIN(MAX(Q57, $D$6), $D$5), 0)</f>
        <v>3750</v>
      </c>
      <c r="R58" s="33">
        <f>IF(R$8&gt;='1_PANEL_CONTROL'!$D$43, MIN(MAX(R57, $D$6), $D$5), 0)</f>
        <v>3750</v>
      </c>
      <c r="S58" s="33">
        <f>IF(S$8&gt;='1_PANEL_CONTROL'!$D$43, MIN(MAX(S57, $D$6), $D$5), 0)</f>
        <v>3750</v>
      </c>
      <c r="T58" s="33">
        <f>IF(T$8&gt;='1_PANEL_CONTROL'!$D$43, MIN(MAX(T57, $D$6), $D$5), 0)</f>
        <v>3750</v>
      </c>
      <c r="U58" s="33">
        <f>IF(U$8&gt;='1_PANEL_CONTROL'!$D$43, MIN(MAX(U57, $D$6), $D$5), 0)</f>
        <v>3750</v>
      </c>
      <c r="V58" s="33">
        <f>IF(V$8&gt;='1_PANEL_CONTROL'!$D$43, MIN(MAX(V57, $D$6), $D$5), 0)</f>
        <v>3750</v>
      </c>
      <c r="W58" s="33">
        <f>IF(W$8&gt;='1_PANEL_CONTROL'!$D$43, MIN(MAX(W57, $D$6), $D$5), 0)</f>
        <v>3750</v>
      </c>
      <c r="X58" s="33">
        <f>IF(X$8&gt;='1_PANEL_CONTROL'!$D$43, MIN(MAX(X57, $D$6), $D$5), 0)</f>
        <v>3750</v>
      </c>
      <c r="Y58" s="33">
        <f>IF(Y$8&gt;='1_PANEL_CONTROL'!$D$43, MIN(MAX(Y57, $D$6), $D$5), 0)</f>
        <v>3750</v>
      </c>
      <c r="Z58" s="33">
        <f>IF(Z$8&gt;='1_PANEL_CONTROL'!$D$43, MIN(MAX(Z57, $D$6), $D$5), 0)</f>
        <v>3750</v>
      </c>
      <c r="AA58" s="33">
        <f>IF(AA$8&gt;='1_PANEL_CONTROL'!$D$43, MIN(MAX(AA57, $D$6), $D$5), 0)</f>
        <v>3750</v>
      </c>
      <c r="AB58" s="33">
        <f>IF(AB$8&gt;='1_PANEL_CONTROL'!$D$43, MIN(MAX(AB57, $D$6), $D$5), 0)</f>
        <v>3750</v>
      </c>
      <c r="AC58" s="33">
        <f>IF(AC$8&gt;='1_PANEL_CONTROL'!$D$43, MIN(MAX(AC57, $D$6), $D$5), 0)</f>
        <v>3750</v>
      </c>
      <c r="AD58" s="33">
        <f>IF(AD$8&gt;='1_PANEL_CONTROL'!$D$43, MIN(MAX(AD57, $D$6), $D$5), 0)</f>
        <v>3750</v>
      </c>
      <c r="AE58" s="33">
        <f>IF(AE$8&gt;='1_PANEL_CONTROL'!$D$43, MIN(MAX(AE57, $D$6), $D$5), 0)</f>
        <v>3750</v>
      </c>
      <c r="AF58" s="33">
        <f>IF(AF$8&gt;='1_PANEL_CONTROL'!$D$43, MIN(MAX(AF57, $D$6), $D$5), 0)</f>
        <v>3750</v>
      </c>
      <c r="AG58" s="33">
        <f>IF(AG$8&gt;='1_PANEL_CONTROL'!$D$43, MIN(MAX(AG57, $D$6), $D$5), 0)</f>
        <v>3750</v>
      </c>
      <c r="AH58" s="33">
        <f>IF(AH$8&gt;='1_PANEL_CONTROL'!$D$43, MIN(MAX(AH57, $D$6), $D$5), 0)</f>
        <v>3750</v>
      </c>
      <c r="AI58" s="33">
        <f>IF(AI$8&gt;='1_PANEL_CONTROL'!$D$43, MIN(MAX(AI57, $D$6), $D$5), 0)</f>
        <v>3750</v>
      </c>
      <c r="AJ58" s="33">
        <f>IF(AJ$8&gt;='1_PANEL_CONTROL'!$D$43, MIN(MAX(AJ57, $D$6), $D$5), 0)</f>
        <v>3750</v>
      </c>
      <c r="AK58" s="33">
        <f>IF(AK$8&gt;='1_PANEL_CONTROL'!$D$43, MIN(MAX(AK57, $D$6), $D$5), 0)</f>
        <v>3750</v>
      </c>
      <c r="AL58" s="33">
        <f>IF(AL$8&gt;='1_PANEL_CONTROL'!$D$43, MIN(MAX(AL57, $D$6), $D$5), 0)</f>
        <v>3750</v>
      </c>
      <c r="AM58" s="33">
        <f>IF(AM$8&gt;='1_PANEL_CONTROL'!$D$43, MIN(MAX(AM57, $D$6), $D$5), 0)</f>
        <v>3750</v>
      </c>
      <c r="AN58" s="33">
        <f>IF(AN$8&gt;='1_PANEL_CONTROL'!$D$43, MIN(MAX(AN57, $D$6), $D$5), 0)</f>
        <v>3750</v>
      </c>
      <c r="AO58" s="33">
        <f>IF(AO$8&gt;='1_PANEL_CONTROL'!$D$43, MIN(MAX(AO57, $D$6), $D$5), 0)</f>
        <v>3750</v>
      </c>
      <c r="AP58" s="33">
        <f>IF(AP$8&gt;='1_PANEL_CONTROL'!$D$43, MIN(MAX(AP57, $D$6), $D$5), 0)</f>
        <v>3750</v>
      </c>
      <c r="AQ58" s="33">
        <f>IF(AQ$8&gt;='1_PANEL_CONTROL'!$D$43, MIN(MAX(AQ57, $D$6), $D$5), 0)</f>
        <v>3750</v>
      </c>
      <c r="AR58" s="33">
        <f>IF(AR$8&gt;='1_PANEL_CONTROL'!$D$43, MIN(MAX(AR57, $D$6), $D$5), 0)</f>
        <v>3750</v>
      </c>
      <c r="AS58" s="33">
        <f>IF(AS$8&gt;='1_PANEL_CONTROL'!$D$43, MIN(MAX(AS57, $D$6), $D$5), 0)</f>
        <v>3750</v>
      </c>
      <c r="AT58" s="33">
        <f>IF(AT$8&gt;='1_PANEL_CONTROL'!$D$43, MIN(MAX(AT57, $D$6), $D$5), 0)</f>
        <v>3750</v>
      </c>
      <c r="AU58" s="33">
        <f>IF(AU$8&gt;='1_PANEL_CONTROL'!$D$43, MIN(MAX(AU57, $D$6), $D$5), 0)</f>
        <v>3750</v>
      </c>
      <c r="AV58" s="33">
        <f>IF(AV$8&gt;='1_PANEL_CONTROL'!$D$43, MIN(MAX(AV57, $D$6), $D$5), 0)</f>
        <v>3750</v>
      </c>
      <c r="AW58" s="33">
        <f>IF(AW$8&gt;='1_PANEL_CONTROL'!$D$43, MIN(MAX(AW57, $D$6), $D$5), 0)</f>
        <v>3750</v>
      </c>
      <c r="AX58" s="33">
        <f>IF(AX$8&gt;='1_PANEL_CONTROL'!$D$43, MIN(MAX(AX57, $D$6), $D$5), 0)</f>
        <v>3750</v>
      </c>
      <c r="AY58" s="33">
        <f>IF(AY$8&gt;='1_PANEL_CONTROL'!$D$43, MIN(MAX(AY57, $D$6), $D$5), 0)</f>
        <v>3750</v>
      </c>
      <c r="AZ58" s="33">
        <f>IF(AZ$8&gt;='1_PANEL_CONTROL'!$D$43, MIN(MAX(AZ57, $D$6), $D$5), 0)</f>
        <v>3750</v>
      </c>
      <c r="BA58" s="33">
        <f>IF(BA$8&gt;='1_PANEL_CONTROL'!$D$43, MIN(MAX(BA57, $D$6), $D$5), 0)</f>
        <v>3750</v>
      </c>
      <c r="BB58" s="33">
        <f>IF(BB$8&gt;='1_PANEL_CONTROL'!$D$43, MIN(MAX(BB57, $D$6), $D$5), 0)</f>
        <v>3750</v>
      </c>
      <c r="BC58" s="33">
        <f>IF(BC$8&gt;='1_PANEL_CONTROL'!$D$43, MIN(MAX(BC57, $D$6), $D$5), 0)</f>
        <v>3750</v>
      </c>
      <c r="BD58" s="33">
        <f>IF(BD$8&gt;='1_PANEL_CONTROL'!$D$43, MIN(MAX(BD57, $D$6), $D$5), 0)</f>
        <v>3750</v>
      </c>
      <c r="BE58" s="33">
        <f>IF(BE$8&gt;='1_PANEL_CONTROL'!$D$43, MIN(MAX(BE57, $D$6), $D$5), 0)</f>
        <v>3750</v>
      </c>
      <c r="BF58" s="33">
        <f>IF(BF$8&gt;='1_PANEL_CONTROL'!$D$43, MIN(MAX(BF57, $D$6), $D$5), 0)</f>
        <v>3750</v>
      </c>
      <c r="BG58" s="33">
        <f>IF(BG$8&gt;='1_PANEL_CONTROL'!$D$43, MIN(MAX(BG57, $D$6), $D$5), 0)</f>
        <v>3750</v>
      </c>
      <c r="BH58" s="33">
        <f>IF(BH$8&gt;='1_PANEL_CONTROL'!$D$43, MIN(MAX(BH57, $D$6), $D$5), 0)</f>
        <v>3750</v>
      </c>
      <c r="BI58" s="33">
        <f>IF(BI$8&gt;='1_PANEL_CONTROL'!$D$43, MIN(MAX(BI57, $D$6), $D$5), 0)</f>
        <v>3750</v>
      </c>
      <c r="BJ58" s="33">
        <f>IF(BJ$8&gt;='1_PANEL_CONTROL'!$D$43, MIN(MAX(BJ57, $D$6), $D$5), 0)</f>
        <v>3750</v>
      </c>
      <c r="BK58" s="33">
        <f>IF(BK$8&gt;='1_PANEL_CONTROL'!$D$43, MIN(MAX(BK57, $D$6), $D$5), 0)</f>
        <v>3750</v>
      </c>
      <c r="BL58" s="33">
        <f>IF(BL$8&gt;='1_PANEL_CONTROL'!$D$43, MIN(MAX(BL57, $D$6), $D$5), 0)</f>
        <v>3750</v>
      </c>
      <c r="BM58" s="33">
        <f>IF(BM$8&gt;='1_PANEL_CONTROL'!$D$43, MIN(MAX(BM57, $D$6), $D$5), 0)</f>
        <v>3750</v>
      </c>
      <c r="BN58" s="33">
        <f>IF(BN$8&gt;='1_PANEL_CONTROL'!$D$43, MIN(MAX(BN57, $D$6), $D$5), 0)</f>
        <v>3750</v>
      </c>
      <c r="BO58" s="33">
        <f>IF(BO$8&gt;='1_PANEL_CONTROL'!$D$43, MIN(MAX(BO57, $D$6), $D$5), 0)</f>
        <v>3750</v>
      </c>
      <c r="BP58" s="33">
        <f>IF(BP$8&gt;='1_PANEL_CONTROL'!$D$43, MIN(MAX(BP57, $D$6), $D$5), 0)</f>
        <v>3750</v>
      </c>
      <c r="BQ58" s="33">
        <f>IF(BQ$8&gt;='1_PANEL_CONTROL'!$D$43, MIN(MAX(BQ57, $D$6), $D$5), 0)</f>
        <v>3750</v>
      </c>
      <c r="BR58" s="33">
        <f>IF(BR$8&gt;='1_PANEL_CONTROL'!$D$43, MIN(MAX(BR57, $D$6), $D$5), 0)</f>
        <v>3750</v>
      </c>
      <c r="BS58" s="33">
        <f>IF(BS$8&gt;='1_PANEL_CONTROL'!$D$43, MIN(MAX(BS57, $D$6), $D$5), 0)</f>
        <v>3750</v>
      </c>
      <c r="BT58" s="33">
        <f>IF(BT$8&gt;='1_PANEL_CONTROL'!$D$43, MIN(MAX(BT57, $D$6), $D$5), 0)</f>
        <v>3750</v>
      </c>
      <c r="BU58" s="33">
        <f>IF(BU$8&gt;='1_PANEL_CONTROL'!$D$43, MIN(MAX(BU57, $D$6), $D$5), 0)</f>
        <v>3750</v>
      </c>
      <c r="BV58" s="33">
        <f>IF(BV$8&gt;='1_PANEL_CONTROL'!$D$43, MIN(MAX(BV57, $D$6), $D$5), 0)</f>
        <v>3750</v>
      </c>
      <c r="BW58" s="33">
        <f>IF(BW$8&gt;='1_PANEL_CONTROL'!$D$43, MIN(MAX(BW57, $D$6), $D$5), 0)</f>
        <v>3750</v>
      </c>
      <c r="BX58" s="33">
        <f>IF(BX$8&gt;='1_PANEL_CONTROL'!$D$43, MIN(MAX(BX57, $D$6), $D$5), 0)</f>
        <v>3750</v>
      </c>
      <c r="BY58" s="33">
        <f>IF(BY$8&gt;='1_PANEL_CONTROL'!$D$43, MIN(MAX(BY57, $D$6), $D$5), 0)</f>
        <v>3750</v>
      </c>
      <c r="BZ58" s="33">
        <f>IF(BZ$8&gt;='1_PANEL_CONTROL'!$D$43, MIN(MAX(BZ57, $D$6), $D$5), 0)</f>
        <v>3750</v>
      </c>
      <c r="CA58" s="33">
        <f>IF(CA$8&gt;='1_PANEL_CONTROL'!$D$43, MIN(MAX(CA57, $D$6), $D$5), 0)</f>
        <v>3750</v>
      </c>
      <c r="CB58" s="33">
        <f>IF(CB$8&gt;='1_PANEL_CONTROL'!$D$43, MIN(MAX(CB57, $D$6), $D$5), 0)</f>
        <v>3750</v>
      </c>
      <c r="CC58" s="33">
        <f>IF(CC$8&gt;='1_PANEL_CONTROL'!$D$43, MIN(MAX(CC57, $D$6), $D$5), 0)</f>
        <v>3750</v>
      </c>
      <c r="CD58" s="33">
        <f>IF(CD$8&gt;='1_PANEL_CONTROL'!$D$43, MIN(MAX(CD57, $D$6), $D$5), 0)</f>
        <v>3750</v>
      </c>
      <c r="CE58" s="33">
        <f>IF(CE$8&gt;='1_PANEL_CONTROL'!$D$43, MIN(MAX(CE57, $D$6), $D$5), 0)</f>
        <v>3750</v>
      </c>
      <c r="CF58" s="33">
        <f>IF(CF$8&gt;='1_PANEL_CONTROL'!$D$43, MIN(MAX(CF57, $D$6), $D$5), 0)</f>
        <v>3750</v>
      </c>
      <c r="CG58" s="33">
        <f>IF(CG$8&gt;='1_PANEL_CONTROL'!$D$43, MIN(MAX(CG57, $D$6), $D$5), 0)</f>
        <v>3750</v>
      </c>
      <c r="CH58" s="33">
        <f>IF(CH$8&gt;='1_PANEL_CONTROL'!$D$43, MIN(MAX(CH57, $D$6), $D$5), 0)</f>
        <v>3750</v>
      </c>
      <c r="CI58" s="33">
        <f>IF(CI$8&gt;='1_PANEL_CONTROL'!$D$43, MIN(MAX(CI57, $D$6), $D$5), 0)</f>
        <v>3750</v>
      </c>
    </row>
    <row r="59" spans="1:87" ht="16">
      <c r="A59" s="6" t="s">
        <v>587</v>
      </c>
      <c r="B59" s="30" t="s">
        <v>465</v>
      </c>
      <c r="C59" s="15"/>
      <c r="D59" s="33">
        <f t="shared" ref="D59:AI59" si="39">D58*$B$5</f>
        <v>0</v>
      </c>
      <c r="E59" s="33">
        <f t="shared" si="39"/>
        <v>0</v>
      </c>
      <c r="F59" s="33">
        <f t="shared" si="39"/>
        <v>0</v>
      </c>
      <c r="G59" s="33">
        <f t="shared" si="39"/>
        <v>0</v>
      </c>
      <c r="H59" s="33">
        <f t="shared" si="39"/>
        <v>0</v>
      </c>
      <c r="I59" s="33">
        <f t="shared" si="39"/>
        <v>0</v>
      </c>
      <c r="J59" s="33">
        <f t="shared" si="39"/>
        <v>0</v>
      </c>
      <c r="K59" s="33">
        <f t="shared" si="39"/>
        <v>0</v>
      </c>
      <c r="L59" s="33">
        <f t="shared" si="39"/>
        <v>0</v>
      </c>
      <c r="M59" s="33">
        <f t="shared" si="39"/>
        <v>0</v>
      </c>
      <c r="N59" s="33">
        <f t="shared" si="39"/>
        <v>0</v>
      </c>
      <c r="O59" s="33">
        <f t="shared" si="39"/>
        <v>0</v>
      </c>
      <c r="P59" s="33">
        <f t="shared" si="39"/>
        <v>1203.75</v>
      </c>
      <c r="Q59" s="33">
        <f t="shared" si="39"/>
        <v>1203.75</v>
      </c>
      <c r="R59" s="33">
        <f t="shared" si="39"/>
        <v>1203.75</v>
      </c>
      <c r="S59" s="33">
        <f t="shared" si="39"/>
        <v>1203.75</v>
      </c>
      <c r="T59" s="33">
        <f t="shared" si="39"/>
        <v>1203.75</v>
      </c>
      <c r="U59" s="33">
        <f t="shared" si="39"/>
        <v>1203.75</v>
      </c>
      <c r="V59" s="33">
        <f t="shared" si="39"/>
        <v>1203.75</v>
      </c>
      <c r="W59" s="33">
        <f t="shared" si="39"/>
        <v>1203.75</v>
      </c>
      <c r="X59" s="33">
        <f t="shared" si="39"/>
        <v>1203.75</v>
      </c>
      <c r="Y59" s="33">
        <f t="shared" si="39"/>
        <v>1203.75</v>
      </c>
      <c r="Z59" s="33">
        <f t="shared" si="39"/>
        <v>1203.75</v>
      </c>
      <c r="AA59" s="33">
        <f t="shared" si="39"/>
        <v>1203.75</v>
      </c>
      <c r="AB59" s="33">
        <f t="shared" si="39"/>
        <v>1203.75</v>
      </c>
      <c r="AC59" s="33">
        <f t="shared" si="39"/>
        <v>1203.75</v>
      </c>
      <c r="AD59" s="33">
        <f t="shared" si="39"/>
        <v>1203.75</v>
      </c>
      <c r="AE59" s="33">
        <f t="shared" si="39"/>
        <v>1203.75</v>
      </c>
      <c r="AF59" s="33">
        <f t="shared" si="39"/>
        <v>1203.75</v>
      </c>
      <c r="AG59" s="33">
        <f t="shared" si="39"/>
        <v>1203.75</v>
      </c>
      <c r="AH59" s="33">
        <f t="shared" si="39"/>
        <v>1203.75</v>
      </c>
      <c r="AI59" s="33">
        <f t="shared" si="39"/>
        <v>1203.75</v>
      </c>
      <c r="AJ59" s="33">
        <f t="shared" ref="AJ59:BO59" si="40">AJ58*$B$5</f>
        <v>1203.75</v>
      </c>
      <c r="AK59" s="33">
        <f t="shared" si="40"/>
        <v>1203.75</v>
      </c>
      <c r="AL59" s="33">
        <f t="shared" si="40"/>
        <v>1203.75</v>
      </c>
      <c r="AM59" s="33">
        <f t="shared" si="40"/>
        <v>1203.75</v>
      </c>
      <c r="AN59" s="33">
        <f t="shared" si="40"/>
        <v>1203.75</v>
      </c>
      <c r="AO59" s="33">
        <f t="shared" si="40"/>
        <v>1203.75</v>
      </c>
      <c r="AP59" s="33">
        <f t="shared" si="40"/>
        <v>1203.75</v>
      </c>
      <c r="AQ59" s="33">
        <f t="shared" si="40"/>
        <v>1203.75</v>
      </c>
      <c r="AR59" s="33">
        <f t="shared" si="40"/>
        <v>1203.75</v>
      </c>
      <c r="AS59" s="33">
        <f t="shared" si="40"/>
        <v>1203.75</v>
      </c>
      <c r="AT59" s="33">
        <f t="shared" si="40"/>
        <v>1203.75</v>
      </c>
      <c r="AU59" s="33">
        <f t="shared" si="40"/>
        <v>1203.75</v>
      </c>
      <c r="AV59" s="33">
        <f t="shared" si="40"/>
        <v>1203.75</v>
      </c>
      <c r="AW59" s="33">
        <f t="shared" si="40"/>
        <v>1203.75</v>
      </c>
      <c r="AX59" s="33">
        <f t="shared" si="40"/>
        <v>1203.75</v>
      </c>
      <c r="AY59" s="33">
        <f t="shared" si="40"/>
        <v>1203.75</v>
      </c>
      <c r="AZ59" s="33">
        <f t="shared" si="40"/>
        <v>1203.75</v>
      </c>
      <c r="BA59" s="33">
        <f t="shared" si="40"/>
        <v>1203.75</v>
      </c>
      <c r="BB59" s="33">
        <f t="shared" si="40"/>
        <v>1203.75</v>
      </c>
      <c r="BC59" s="33">
        <f t="shared" si="40"/>
        <v>1203.75</v>
      </c>
      <c r="BD59" s="33">
        <f t="shared" si="40"/>
        <v>1203.75</v>
      </c>
      <c r="BE59" s="33">
        <f t="shared" si="40"/>
        <v>1203.75</v>
      </c>
      <c r="BF59" s="33">
        <f t="shared" si="40"/>
        <v>1203.75</v>
      </c>
      <c r="BG59" s="33">
        <f t="shared" si="40"/>
        <v>1203.75</v>
      </c>
      <c r="BH59" s="33">
        <f t="shared" si="40"/>
        <v>1203.75</v>
      </c>
      <c r="BI59" s="33">
        <f t="shared" si="40"/>
        <v>1203.75</v>
      </c>
      <c r="BJ59" s="33">
        <f t="shared" si="40"/>
        <v>1203.75</v>
      </c>
      <c r="BK59" s="33">
        <f t="shared" si="40"/>
        <v>1203.75</v>
      </c>
      <c r="BL59" s="33">
        <f t="shared" si="40"/>
        <v>1203.75</v>
      </c>
      <c r="BM59" s="33">
        <f t="shared" si="40"/>
        <v>1203.75</v>
      </c>
      <c r="BN59" s="33">
        <f t="shared" si="40"/>
        <v>1203.75</v>
      </c>
      <c r="BO59" s="33">
        <f t="shared" si="40"/>
        <v>1203.75</v>
      </c>
      <c r="BP59" s="33">
        <f t="shared" ref="BP59:CU59" si="41">BP58*$B$5</f>
        <v>1203.75</v>
      </c>
      <c r="BQ59" s="33">
        <f t="shared" si="41"/>
        <v>1203.75</v>
      </c>
      <c r="BR59" s="33">
        <f t="shared" si="41"/>
        <v>1203.75</v>
      </c>
      <c r="BS59" s="33">
        <f t="shared" si="41"/>
        <v>1203.75</v>
      </c>
      <c r="BT59" s="33">
        <f t="shared" si="41"/>
        <v>1203.75</v>
      </c>
      <c r="BU59" s="33">
        <f t="shared" si="41"/>
        <v>1203.75</v>
      </c>
      <c r="BV59" s="33">
        <f t="shared" si="41"/>
        <v>1203.75</v>
      </c>
      <c r="BW59" s="33">
        <f t="shared" si="41"/>
        <v>1203.75</v>
      </c>
      <c r="BX59" s="33">
        <f t="shared" si="41"/>
        <v>1203.75</v>
      </c>
      <c r="BY59" s="33">
        <f t="shared" si="41"/>
        <v>1203.75</v>
      </c>
      <c r="BZ59" s="33">
        <f t="shared" si="41"/>
        <v>1203.75</v>
      </c>
      <c r="CA59" s="33">
        <f t="shared" si="41"/>
        <v>1203.75</v>
      </c>
      <c r="CB59" s="33">
        <f t="shared" si="41"/>
        <v>1203.75</v>
      </c>
      <c r="CC59" s="33">
        <f t="shared" si="41"/>
        <v>1203.75</v>
      </c>
      <c r="CD59" s="33">
        <f t="shared" si="41"/>
        <v>1203.75</v>
      </c>
      <c r="CE59" s="33">
        <f t="shared" si="41"/>
        <v>1203.75</v>
      </c>
      <c r="CF59" s="33">
        <f t="shared" si="41"/>
        <v>1203.75</v>
      </c>
      <c r="CG59" s="33">
        <f t="shared" si="41"/>
        <v>1203.75</v>
      </c>
      <c r="CH59" s="33">
        <f t="shared" si="41"/>
        <v>1203.75</v>
      </c>
      <c r="CI59" s="33">
        <f t="shared" si="41"/>
        <v>1203.75</v>
      </c>
    </row>
    <row r="60" spans="1:87" ht="16">
      <c r="A60" s="6" t="s">
        <v>588</v>
      </c>
      <c r="B60" s="30" t="s">
        <v>465</v>
      </c>
      <c r="C60" s="15"/>
      <c r="D60" s="33">
        <f t="shared" ref="D60:AI60" si="42">D58*$B$6</f>
        <v>0</v>
      </c>
      <c r="E60" s="33">
        <f t="shared" si="42"/>
        <v>0</v>
      </c>
      <c r="F60" s="33">
        <f t="shared" si="42"/>
        <v>0</v>
      </c>
      <c r="G60" s="33">
        <f t="shared" si="42"/>
        <v>0</v>
      </c>
      <c r="H60" s="33">
        <f t="shared" si="42"/>
        <v>0</v>
      </c>
      <c r="I60" s="33">
        <f t="shared" si="42"/>
        <v>0</v>
      </c>
      <c r="J60" s="33">
        <f t="shared" si="42"/>
        <v>0</v>
      </c>
      <c r="K60" s="33">
        <f t="shared" si="42"/>
        <v>0</v>
      </c>
      <c r="L60" s="33">
        <f t="shared" si="42"/>
        <v>0</v>
      </c>
      <c r="M60" s="33">
        <f t="shared" si="42"/>
        <v>0</v>
      </c>
      <c r="N60" s="33">
        <f t="shared" si="42"/>
        <v>0</v>
      </c>
      <c r="O60" s="33">
        <f t="shared" si="42"/>
        <v>0</v>
      </c>
      <c r="P60" s="33">
        <f t="shared" si="42"/>
        <v>242.62499999999997</v>
      </c>
      <c r="Q60" s="33">
        <f t="shared" si="42"/>
        <v>242.62499999999997</v>
      </c>
      <c r="R60" s="33">
        <f t="shared" si="42"/>
        <v>242.62499999999997</v>
      </c>
      <c r="S60" s="33">
        <f t="shared" si="42"/>
        <v>242.62499999999997</v>
      </c>
      <c r="T60" s="33">
        <f t="shared" si="42"/>
        <v>242.62499999999997</v>
      </c>
      <c r="U60" s="33">
        <f t="shared" si="42"/>
        <v>242.62499999999997</v>
      </c>
      <c r="V60" s="33">
        <f t="shared" si="42"/>
        <v>242.62499999999997</v>
      </c>
      <c r="W60" s="33">
        <f t="shared" si="42"/>
        <v>242.62499999999997</v>
      </c>
      <c r="X60" s="33">
        <f t="shared" si="42"/>
        <v>242.62499999999997</v>
      </c>
      <c r="Y60" s="33">
        <f t="shared" si="42"/>
        <v>242.62499999999997</v>
      </c>
      <c r="Z60" s="33">
        <f t="shared" si="42"/>
        <v>242.62499999999997</v>
      </c>
      <c r="AA60" s="33">
        <f t="shared" si="42"/>
        <v>242.62499999999997</v>
      </c>
      <c r="AB60" s="33">
        <f t="shared" si="42"/>
        <v>242.62499999999997</v>
      </c>
      <c r="AC60" s="33">
        <f t="shared" si="42"/>
        <v>242.62499999999997</v>
      </c>
      <c r="AD60" s="33">
        <f t="shared" si="42"/>
        <v>242.62499999999997</v>
      </c>
      <c r="AE60" s="33">
        <f t="shared" si="42"/>
        <v>242.62499999999997</v>
      </c>
      <c r="AF60" s="33">
        <f t="shared" si="42"/>
        <v>242.62499999999997</v>
      </c>
      <c r="AG60" s="33">
        <f t="shared" si="42"/>
        <v>242.62499999999997</v>
      </c>
      <c r="AH60" s="33">
        <f t="shared" si="42"/>
        <v>242.62499999999997</v>
      </c>
      <c r="AI60" s="33">
        <f t="shared" si="42"/>
        <v>242.62499999999997</v>
      </c>
      <c r="AJ60" s="33">
        <f t="shared" ref="AJ60:BO60" si="43">AJ58*$B$6</f>
        <v>242.62499999999997</v>
      </c>
      <c r="AK60" s="33">
        <f t="shared" si="43"/>
        <v>242.62499999999997</v>
      </c>
      <c r="AL60" s="33">
        <f t="shared" si="43"/>
        <v>242.62499999999997</v>
      </c>
      <c r="AM60" s="33">
        <f t="shared" si="43"/>
        <v>242.62499999999997</v>
      </c>
      <c r="AN60" s="33">
        <f t="shared" si="43"/>
        <v>242.62499999999997</v>
      </c>
      <c r="AO60" s="33">
        <f t="shared" si="43"/>
        <v>242.62499999999997</v>
      </c>
      <c r="AP60" s="33">
        <f t="shared" si="43"/>
        <v>242.62499999999997</v>
      </c>
      <c r="AQ60" s="33">
        <f t="shared" si="43"/>
        <v>242.62499999999997</v>
      </c>
      <c r="AR60" s="33">
        <f t="shared" si="43"/>
        <v>242.62499999999997</v>
      </c>
      <c r="AS60" s="33">
        <f t="shared" si="43"/>
        <v>242.62499999999997</v>
      </c>
      <c r="AT60" s="33">
        <f t="shared" si="43"/>
        <v>242.62499999999997</v>
      </c>
      <c r="AU60" s="33">
        <f t="shared" si="43"/>
        <v>242.62499999999997</v>
      </c>
      <c r="AV60" s="33">
        <f t="shared" si="43"/>
        <v>242.62499999999997</v>
      </c>
      <c r="AW60" s="33">
        <f t="shared" si="43"/>
        <v>242.62499999999997</v>
      </c>
      <c r="AX60" s="33">
        <f t="shared" si="43"/>
        <v>242.62499999999997</v>
      </c>
      <c r="AY60" s="33">
        <f t="shared" si="43"/>
        <v>242.62499999999997</v>
      </c>
      <c r="AZ60" s="33">
        <f t="shared" si="43"/>
        <v>242.62499999999997</v>
      </c>
      <c r="BA60" s="33">
        <f t="shared" si="43"/>
        <v>242.62499999999997</v>
      </c>
      <c r="BB60" s="33">
        <f t="shared" si="43"/>
        <v>242.62499999999997</v>
      </c>
      <c r="BC60" s="33">
        <f t="shared" si="43"/>
        <v>242.62499999999997</v>
      </c>
      <c r="BD60" s="33">
        <f t="shared" si="43"/>
        <v>242.62499999999997</v>
      </c>
      <c r="BE60" s="33">
        <f t="shared" si="43"/>
        <v>242.62499999999997</v>
      </c>
      <c r="BF60" s="33">
        <f t="shared" si="43"/>
        <v>242.62499999999997</v>
      </c>
      <c r="BG60" s="33">
        <f t="shared" si="43"/>
        <v>242.62499999999997</v>
      </c>
      <c r="BH60" s="33">
        <f t="shared" si="43"/>
        <v>242.62499999999997</v>
      </c>
      <c r="BI60" s="33">
        <f t="shared" si="43"/>
        <v>242.62499999999997</v>
      </c>
      <c r="BJ60" s="33">
        <f t="shared" si="43"/>
        <v>242.62499999999997</v>
      </c>
      <c r="BK60" s="33">
        <f t="shared" si="43"/>
        <v>242.62499999999997</v>
      </c>
      <c r="BL60" s="33">
        <f t="shared" si="43"/>
        <v>242.62499999999997</v>
      </c>
      <c r="BM60" s="33">
        <f t="shared" si="43"/>
        <v>242.62499999999997</v>
      </c>
      <c r="BN60" s="33">
        <f t="shared" si="43"/>
        <v>242.62499999999997</v>
      </c>
      <c r="BO60" s="33">
        <f t="shared" si="43"/>
        <v>242.62499999999997</v>
      </c>
      <c r="BP60" s="33">
        <f t="shared" ref="BP60:CI60" si="44">BP58*$B$6</f>
        <v>242.62499999999997</v>
      </c>
      <c r="BQ60" s="33">
        <f t="shared" si="44"/>
        <v>242.62499999999997</v>
      </c>
      <c r="BR60" s="33">
        <f t="shared" si="44"/>
        <v>242.62499999999997</v>
      </c>
      <c r="BS60" s="33">
        <f t="shared" si="44"/>
        <v>242.62499999999997</v>
      </c>
      <c r="BT60" s="33">
        <f t="shared" si="44"/>
        <v>242.62499999999997</v>
      </c>
      <c r="BU60" s="33">
        <f t="shared" si="44"/>
        <v>242.62499999999997</v>
      </c>
      <c r="BV60" s="33">
        <f t="shared" si="44"/>
        <v>242.62499999999997</v>
      </c>
      <c r="BW60" s="33">
        <f t="shared" si="44"/>
        <v>242.62499999999997</v>
      </c>
      <c r="BX60" s="33">
        <f t="shared" si="44"/>
        <v>242.62499999999997</v>
      </c>
      <c r="BY60" s="33">
        <f t="shared" si="44"/>
        <v>242.62499999999997</v>
      </c>
      <c r="BZ60" s="33">
        <f t="shared" si="44"/>
        <v>242.62499999999997</v>
      </c>
      <c r="CA60" s="33">
        <f t="shared" si="44"/>
        <v>242.62499999999997</v>
      </c>
      <c r="CB60" s="33">
        <f t="shared" si="44"/>
        <v>242.62499999999997</v>
      </c>
      <c r="CC60" s="33">
        <f t="shared" si="44"/>
        <v>242.62499999999997</v>
      </c>
      <c r="CD60" s="33">
        <f t="shared" si="44"/>
        <v>242.62499999999997</v>
      </c>
      <c r="CE60" s="33">
        <f t="shared" si="44"/>
        <v>242.62499999999997</v>
      </c>
      <c r="CF60" s="33">
        <f t="shared" si="44"/>
        <v>242.62499999999997</v>
      </c>
      <c r="CG60" s="33">
        <f t="shared" si="44"/>
        <v>242.62499999999997</v>
      </c>
      <c r="CH60" s="33">
        <f t="shared" si="44"/>
        <v>242.62499999999997</v>
      </c>
      <c r="CI60" s="33">
        <f t="shared" si="44"/>
        <v>242.62499999999997</v>
      </c>
    </row>
    <row r="61" spans="1:87" ht="16">
      <c r="A61" s="6" t="s">
        <v>589</v>
      </c>
      <c r="B61" s="30" t="s">
        <v>465</v>
      </c>
      <c r="C61" s="15"/>
      <c r="D61" s="33">
        <f>D56*'1_PANEL_CONTROL'!$E$43</f>
        <v>0</v>
      </c>
      <c r="E61" s="33">
        <f>E56*'1_PANEL_CONTROL'!$E$43</f>
        <v>0</v>
      </c>
      <c r="F61" s="33">
        <f>F56*'1_PANEL_CONTROL'!$E$43</f>
        <v>0</v>
      </c>
      <c r="G61" s="33">
        <f>G56*'1_PANEL_CONTROL'!$E$43</f>
        <v>0</v>
      </c>
      <c r="H61" s="33">
        <f>H56*'1_PANEL_CONTROL'!$E$43</f>
        <v>0</v>
      </c>
      <c r="I61" s="33">
        <f>I56*'1_PANEL_CONTROL'!$E$43</f>
        <v>0</v>
      </c>
      <c r="J61" s="33">
        <f>J56*'1_PANEL_CONTROL'!$E$43</f>
        <v>0</v>
      </c>
      <c r="K61" s="33">
        <f>K56*'1_PANEL_CONTROL'!$E$43</f>
        <v>0</v>
      </c>
      <c r="L61" s="33">
        <f>L56*'1_PANEL_CONTROL'!$E$43</f>
        <v>0</v>
      </c>
      <c r="M61" s="33">
        <f>M56*'1_PANEL_CONTROL'!$E$43</f>
        <v>0</v>
      </c>
      <c r="N61" s="33">
        <f>N56*'1_PANEL_CONTROL'!$E$43</f>
        <v>0</v>
      </c>
      <c r="O61" s="33">
        <f>O56*'1_PANEL_CONTROL'!$E$43</f>
        <v>0</v>
      </c>
      <c r="P61" s="33">
        <f>P56*'1_PANEL_CONTROL'!$E$43</f>
        <v>562.5</v>
      </c>
      <c r="Q61" s="33">
        <f>Q56*'1_PANEL_CONTROL'!$E$43</f>
        <v>562.5</v>
      </c>
      <c r="R61" s="33">
        <f>R56*'1_PANEL_CONTROL'!$E$43</f>
        <v>562.5</v>
      </c>
      <c r="S61" s="33">
        <f>S56*'1_PANEL_CONTROL'!$E$43</f>
        <v>562.5</v>
      </c>
      <c r="T61" s="33">
        <f>T56*'1_PANEL_CONTROL'!$E$43</f>
        <v>562.5</v>
      </c>
      <c r="U61" s="33">
        <f>U56*'1_PANEL_CONTROL'!$E$43</f>
        <v>562.5</v>
      </c>
      <c r="V61" s="33">
        <f>V56*'1_PANEL_CONTROL'!$E$43</f>
        <v>562.5</v>
      </c>
      <c r="W61" s="33">
        <f>W56*'1_PANEL_CONTROL'!$E$43</f>
        <v>562.5</v>
      </c>
      <c r="X61" s="33">
        <f>X56*'1_PANEL_CONTROL'!$E$43</f>
        <v>562.5</v>
      </c>
      <c r="Y61" s="33">
        <f>Y56*'1_PANEL_CONTROL'!$E$43</f>
        <v>562.5</v>
      </c>
      <c r="Z61" s="33">
        <f>Z56*'1_PANEL_CONTROL'!$E$43</f>
        <v>562.5</v>
      </c>
      <c r="AA61" s="33">
        <f>AA56*'1_PANEL_CONTROL'!$E$43</f>
        <v>562.5</v>
      </c>
      <c r="AB61" s="33">
        <f>AB56*'1_PANEL_CONTROL'!$E$43</f>
        <v>562.5</v>
      </c>
      <c r="AC61" s="33">
        <f>AC56*'1_PANEL_CONTROL'!$E$43</f>
        <v>562.5</v>
      </c>
      <c r="AD61" s="33">
        <f>AD56*'1_PANEL_CONTROL'!$E$43</f>
        <v>562.5</v>
      </c>
      <c r="AE61" s="33">
        <f>AE56*'1_PANEL_CONTROL'!$E$43</f>
        <v>562.5</v>
      </c>
      <c r="AF61" s="33">
        <f>AF56*'1_PANEL_CONTROL'!$E$43</f>
        <v>562.5</v>
      </c>
      <c r="AG61" s="33">
        <f>AG56*'1_PANEL_CONTROL'!$E$43</f>
        <v>562.5</v>
      </c>
      <c r="AH61" s="33">
        <f>AH56*'1_PANEL_CONTROL'!$E$43</f>
        <v>562.5</v>
      </c>
      <c r="AI61" s="33">
        <f>AI56*'1_PANEL_CONTROL'!$E$43</f>
        <v>562.5</v>
      </c>
      <c r="AJ61" s="33">
        <f>AJ56*'1_PANEL_CONTROL'!$E$43</f>
        <v>562.5</v>
      </c>
      <c r="AK61" s="33">
        <f>AK56*'1_PANEL_CONTROL'!$E$43</f>
        <v>562.5</v>
      </c>
      <c r="AL61" s="33">
        <f>AL56*'1_PANEL_CONTROL'!$E$43</f>
        <v>562.5</v>
      </c>
      <c r="AM61" s="33">
        <f>AM56*'1_PANEL_CONTROL'!$E$43</f>
        <v>562.5</v>
      </c>
      <c r="AN61" s="33">
        <f>AN56*'1_PANEL_CONTROL'!$E$43</f>
        <v>562.5</v>
      </c>
      <c r="AO61" s="33">
        <f>AO56*'1_PANEL_CONTROL'!$E$43</f>
        <v>562.5</v>
      </c>
      <c r="AP61" s="33">
        <f>AP56*'1_PANEL_CONTROL'!$E$43</f>
        <v>562.5</v>
      </c>
      <c r="AQ61" s="33">
        <f>AQ56*'1_PANEL_CONTROL'!$E$43</f>
        <v>562.5</v>
      </c>
      <c r="AR61" s="33">
        <f>AR56*'1_PANEL_CONTROL'!$E$43</f>
        <v>562.5</v>
      </c>
      <c r="AS61" s="33">
        <f>AS56*'1_PANEL_CONTROL'!$E$43</f>
        <v>562.5</v>
      </c>
      <c r="AT61" s="33">
        <f>AT56*'1_PANEL_CONTROL'!$E$43</f>
        <v>562.5</v>
      </c>
      <c r="AU61" s="33">
        <f>AU56*'1_PANEL_CONTROL'!$E$43</f>
        <v>562.5</v>
      </c>
      <c r="AV61" s="33">
        <f>AV56*'1_PANEL_CONTROL'!$E$43</f>
        <v>562.5</v>
      </c>
      <c r="AW61" s="33">
        <f>AW56*'1_PANEL_CONTROL'!$E$43</f>
        <v>562.5</v>
      </c>
      <c r="AX61" s="33">
        <f>AX56*'1_PANEL_CONTROL'!$E$43</f>
        <v>562.5</v>
      </c>
      <c r="AY61" s="33">
        <f>AY56*'1_PANEL_CONTROL'!$E$43</f>
        <v>562.5</v>
      </c>
      <c r="AZ61" s="33">
        <f>AZ56*'1_PANEL_CONTROL'!$E$43</f>
        <v>562.5</v>
      </c>
      <c r="BA61" s="33">
        <f>BA56*'1_PANEL_CONTROL'!$E$43</f>
        <v>562.5</v>
      </c>
      <c r="BB61" s="33">
        <f>BB56*'1_PANEL_CONTROL'!$E$43</f>
        <v>562.5</v>
      </c>
      <c r="BC61" s="33">
        <f>BC56*'1_PANEL_CONTROL'!$E$43</f>
        <v>562.5</v>
      </c>
      <c r="BD61" s="33">
        <f>BD56*'1_PANEL_CONTROL'!$E$43</f>
        <v>562.5</v>
      </c>
      <c r="BE61" s="33">
        <f>BE56*'1_PANEL_CONTROL'!$E$43</f>
        <v>562.5</v>
      </c>
      <c r="BF61" s="33">
        <f>BF56*'1_PANEL_CONTROL'!$E$43</f>
        <v>562.5</v>
      </c>
      <c r="BG61" s="33">
        <f>BG56*'1_PANEL_CONTROL'!$E$43</f>
        <v>562.5</v>
      </c>
      <c r="BH61" s="33">
        <f>BH56*'1_PANEL_CONTROL'!$E$43</f>
        <v>562.5</v>
      </c>
      <c r="BI61" s="33">
        <f>BI56*'1_PANEL_CONTROL'!$E$43</f>
        <v>562.5</v>
      </c>
      <c r="BJ61" s="33">
        <f>BJ56*'1_PANEL_CONTROL'!$E$43</f>
        <v>562.5</v>
      </c>
      <c r="BK61" s="33">
        <f>BK56*'1_PANEL_CONTROL'!$E$43</f>
        <v>562.5</v>
      </c>
      <c r="BL61" s="33">
        <f>BL56*'1_PANEL_CONTROL'!$E$43</f>
        <v>562.5</v>
      </c>
      <c r="BM61" s="33">
        <f>BM56*'1_PANEL_CONTROL'!$E$43</f>
        <v>562.5</v>
      </c>
      <c r="BN61" s="33">
        <f>BN56*'1_PANEL_CONTROL'!$E$43</f>
        <v>562.5</v>
      </c>
      <c r="BO61" s="33">
        <f>BO56*'1_PANEL_CONTROL'!$E$43</f>
        <v>562.5</v>
      </c>
      <c r="BP61" s="33">
        <f>BP56*'1_PANEL_CONTROL'!$E$43</f>
        <v>562.5</v>
      </c>
      <c r="BQ61" s="33">
        <f>BQ56*'1_PANEL_CONTROL'!$E$43</f>
        <v>562.5</v>
      </c>
      <c r="BR61" s="33">
        <f>BR56*'1_PANEL_CONTROL'!$E$43</f>
        <v>562.5</v>
      </c>
      <c r="BS61" s="33">
        <f>BS56*'1_PANEL_CONTROL'!$E$43</f>
        <v>562.5</v>
      </c>
      <c r="BT61" s="33">
        <f>BT56*'1_PANEL_CONTROL'!$E$43</f>
        <v>562.5</v>
      </c>
      <c r="BU61" s="33">
        <f>BU56*'1_PANEL_CONTROL'!$E$43</f>
        <v>562.5</v>
      </c>
      <c r="BV61" s="33">
        <f>BV56*'1_PANEL_CONTROL'!$E$43</f>
        <v>562.5</v>
      </c>
      <c r="BW61" s="33">
        <f>BW56*'1_PANEL_CONTROL'!$E$43</f>
        <v>562.5</v>
      </c>
      <c r="BX61" s="33">
        <f>BX56*'1_PANEL_CONTROL'!$E$43</f>
        <v>562.5</v>
      </c>
      <c r="BY61" s="33">
        <f>BY56*'1_PANEL_CONTROL'!$E$43</f>
        <v>562.5</v>
      </c>
      <c r="BZ61" s="33">
        <f>BZ56*'1_PANEL_CONTROL'!$E$43</f>
        <v>562.5</v>
      </c>
      <c r="CA61" s="33">
        <f>CA56*'1_PANEL_CONTROL'!$E$43</f>
        <v>562.5</v>
      </c>
      <c r="CB61" s="33">
        <f>CB56*'1_PANEL_CONTROL'!$E$43</f>
        <v>562.5</v>
      </c>
      <c r="CC61" s="33">
        <f>CC56*'1_PANEL_CONTROL'!$E$43</f>
        <v>562.5</v>
      </c>
      <c r="CD61" s="33">
        <f>CD56*'1_PANEL_CONTROL'!$E$43</f>
        <v>562.5</v>
      </c>
      <c r="CE61" s="33">
        <f>CE56*'1_PANEL_CONTROL'!$E$43</f>
        <v>562.5</v>
      </c>
      <c r="CF61" s="33">
        <f>CF56*'1_PANEL_CONTROL'!$E$43</f>
        <v>562.5</v>
      </c>
      <c r="CG61" s="33">
        <f>CG56*'1_PANEL_CONTROL'!$E$43</f>
        <v>562.5</v>
      </c>
      <c r="CH61" s="33">
        <f>CH56*'1_PANEL_CONTROL'!$E$43</f>
        <v>562.5</v>
      </c>
      <c r="CI61" s="33">
        <f>CI56*'1_PANEL_CONTROL'!$E$43</f>
        <v>562.5</v>
      </c>
    </row>
    <row r="62" spans="1:87" ht="16">
      <c r="A62" s="6" t="s">
        <v>590</v>
      </c>
      <c r="B62" s="30" t="s">
        <v>465</v>
      </c>
      <c r="C62" s="15"/>
      <c r="D62" s="33">
        <f t="shared" ref="D62:AI62" si="45">D56-D60-D61</f>
        <v>0</v>
      </c>
      <c r="E62" s="33">
        <f t="shared" si="45"/>
        <v>0</v>
      </c>
      <c r="F62" s="33">
        <f t="shared" si="45"/>
        <v>0</v>
      </c>
      <c r="G62" s="33">
        <f t="shared" si="45"/>
        <v>0</v>
      </c>
      <c r="H62" s="33">
        <f t="shared" si="45"/>
        <v>0</v>
      </c>
      <c r="I62" s="33">
        <f t="shared" si="45"/>
        <v>0</v>
      </c>
      <c r="J62" s="33">
        <f t="shared" si="45"/>
        <v>0</v>
      </c>
      <c r="K62" s="33">
        <f t="shared" si="45"/>
        <v>0</v>
      </c>
      <c r="L62" s="33">
        <f t="shared" si="45"/>
        <v>0</v>
      </c>
      <c r="M62" s="33">
        <f t="shared" si="45"/>
        <v>0</v>
      </c>
      <c r="N62" s="33">
        <f t="shared" si="45"/>
        <v>0</v>
      </c>
      <c r="O62" s="33">
        <f t="shared" si="45"/>
        <v>0</v>
      </c>
      <c r="P62" s="33">
        <f t="shared" si="45"/>
        <v>2944.875</v>
      </c>
      <c r="Q62" s="33">
        <f t="shared" si="45"/>
        <v>2944.875</v>
      </c>
      <c r="R62" s="33">
        <f t="shared" si="45"/>
        <v>2944.875</v>
      </c>
      <c r="S62" s="33">
        <f t="shared" si="45"/>
        <v>2944.875</v>
      </c>
      <c r="T62" s="33">
        <f t="shared" si="45"/>
        <v>2944.875</v>
      </c>
      <c r="U62" s="33">
        <f t="shared" si="45"/>
        <v>2944.875</v>
      </c>
      <c r="V62" s="33">
        <f t="shared" si="45"/>
        <v>2944.875</v>
      </c>
      <c r="W62" s="33">
        <f t="shared" si="45"/>
        <v>2944.875</v>
      </c>
      <c r="X62" s="33">
        <f t="shared" si="45"/>
        <v>2944.875</v>
      </c>
      <c r="Y62" s="33">
        <f t="shared" si="45"/>
        <v>2944.875</v>
      </c>
      <c r="Z62" s="33">
        <f t="shared" si="45"/>
        <v>2944.875</v>
      </c>
      <c r="AA62" s="33">
        <f t="shared" si="45"/>
        <v>2944.875</v>
      </c>
      <c r="AB62" s="33">
        <f t="shared" si="45"/>
        <v>2944.875</v>
      </c>
      <c r="AC62" s="33">
        <f t="shared" si="45"/>
        <v>2944.875</v>
      </c>
      <c r="AD62" s="33">
        <f t="shared" si="45"/>
        <v>2944.875</v>
      </c>
      <c r="AE62" s="33">
        <f t="shared" si="45"/>
        <v>2944.875</v>
      </c>
      <c r="AF62" s="33">
        <f t="shared" si="45"/>
        <v>2944.875</v>
      </c>
      <c r="AG62" s="33">
        <f t="shared" si="45"/>
        <v>2944.875</v>
      </c>
      <c r="AH62" s="33">
        <f t="shared" si="45"/>
        <v>2944.875</v>
      </c>
      <c r="AI62" s="33">
        <f t="shared" si="45"/>
        <v>2944.875</v>
      </c>
      <c r="AJ62" s="33">
        <f t="shared" ref="AJ62:BO62" si="46">AJ56-AJ60-AJ61</f>
        <v>2944.875</v>
      </c>
      <c r="AK62" s="33">
        <f t="shared" si="46"/>
        <v>2944.875</v>
      </c>
      <c r="AL62" s="33">
        <f t="shared" si="46"/>
        <v>2944.875</v>
      </c>
      <c r="AM62" s="33">
        <f t="shared" si="46"/>
        <v>2944.875</v>
      </c>
      <c r="AN62" s="33">
        <f t="shared" si="46"/>
        <v>2944.875</v>
      </c>
      <c r="AO62" s="33">
        <f t="shared" si="46"/>
        <v>2944.875</v>
      </c>
      <c r="AP62" s="33">
        <f t="shared" si="46"/>
        <v>2944.875</v>
      </c>
      <c r="AQ62" s="33">
        <f t="shared" si="46"/>
        <v>2944.875</v>
      </c>
      <c r="AR62" s="33">
        <f t="shared" si="46"/>
        <v>2944.875</v>
      </c>
      <c r="AS62" s="33">
        <f t="shared" si="46"/>
        <v>2944.875</v>
      </c>
      <c r="AT62" s="33">
        <f t="shared" si="46"/>
        <v>2944.875</v>
      </c>
      <c r="AU62" s="33">
        <f t="shared" si="46"/>
        <v>2944.875</v>
      </c>
      <c r="AV62" s="33">
        <f t="shared" si="46"/>
        <v>2944.875</v>
      </c>
      <c r="AW62" s="33">
        <f t="shared" si="46"/>
        <v>2944.875</v>
      </c>
      <c r="AX62" s="33">
        <f t="shared" si="46"/>
        <v>2944.875</v>
      </c>
      <c r="AY62" s="33">
        <f t="shared" si="46"/>
        <v>2944.875</v>
      </c>
      <c r="AZ62" s="33">
        <f t="shared" si="46"/>
        <v>2944.875</v>
      </c>
      <c r="BA62" s="33">
        <f t="shared" si="46"/>
        <v>2944.875</v>
      </c>
      <c r="BB62" s="33">
        <f t="shared" si="46"/>
        <v>2944.875</v>
      </c>
      <c r="BC62" s="33">
        <f t="shared" si="46"/>
        <v>2944.875</v>
      </c>
      <c r="BD62" s="33">
        <f t="shared" si="46"/>
        <v>2944.875</v>
      </c>
      <c r="BE62" s="33">
        <f t="shared" si="46"/>
        <v>2944.875</v>
      </c>
      <c r="BF62" s="33">
        <f t="shared" si="46"/>
        <v>2944.875</v>
      </c>
      <c r="BG62" s="33">
        <f t="shared" si="46"/>
        <v>2944.875</v>
      </c>
      <c r="BH62" s="33">
        <f t="shared" si="46"/>
        <v>2944.875</v>
      </c>
      <c r="BI62" s="33">
        <f t="shared" si="46"/>
        <v>2944.875</v>
      </c>
      <c r="BJ62" s="33">
        <f t="shared" si="46"/>
        <v>2944.875</v>
      </c>
      <c r="BK62" s="33">
        <f t="shared" si="46"/>
        <v>2944.875</v>
      </c>
      <c r="BL62" s="33">
        <f t="shared" si="46"/>
        <v>2944.875</v>
      </c>
      <c r="BM62" s="33">
        <f t="shared" si="46"/>
        <v>2944.875</v>
      </c>
      <c r="BN62" s="33">
        <f t="shared" si="46"/>
        <v>2944.875</v>
      </c>
      <c r="BO62" s="33">
        <f t="shared" si="46"/>
        <v>2944.875</v>
      </c>
      <c r="BP62" s="33">
        <f t="shared" ref="BP62:CU62" si="47">BP56-BP60-BP61</f>
        <v>2944.875</v>
      </c>
      <c r="BQ62" s="33">
        <f t="shared" si="47"/>
        <v>2944.875</v>
      </c>
      <c r="BR62" s="33">
        <f t="shared" si="47"/>
        <v>2944.875</v>
      </c>
      <c r="BS62" s="33">
        <f t="shared" si="47"/>
        <v>2944.875</v>
      </c>
      <c r="BT62" s="33">
        <f t="shared" si="47"/>
        <v>2944.875</v>
      </c>
      <c r="BU62" s="33">
        <f t="shared" si="47"/>
        <v>2944.875</v>
      </c>
      <c r="BV62" s="33">
        <f t="shared" si="47"/>
        <v>2944.875</v>
      </c>
      <c r="BW62" s="33">
        <f t="shared" si="47"/>
        <v>2944.875</v>
      </c>
      <c r="BX62" s="33">
        <f t="shared" si="47"/>
        <v>2944.875</v>
      </c>
      <c r="BY62" s="33">
        <f t="shared" si="47"/>
        <v>2944.875</v>
      </c>
      <c r="BZ62" s="33">
        <f t="shared" si="47"/>
        <v>2944.875</v>
      </c>
      <c r="CA62" s="33">
        <f t="shared" si="47"/>
        <v>2944.875</v>
      </c>
      <c r="CB62" s="33">
        <f t="shared" si="47"/>
        <v>2944.875</v>
      </c>
      <c r="CC62" s="33">
        <f t="shared" si="47"/>
        <v>2944.875</v>
      </c>
      <c r="CD62" s="33">
        <f t="shared" si="47"/>
        <v>2944.875</v>
      </c>
      <c r="CE62" s="33">
        <f t="shared" si="47"/>
        <v>2944.875</v>
      </c>
      <c r="CF62" s="33">
        <f t="shared" si="47"/>
        <v>2944.875</v>
      </c>
      <c r="CG62" s="33">
        <f t="shared" si="47"/>
        <v>2944.875</v>
      </c>
      <c r="CH62" s="33">
        <f t="shared" si="47"/>
        <v>2944.875</v>
      </c>
      <c r="CI62" s="33">
        <f t="shared" si="47"/>
        <v>2944.875</v>
      </c>
    </row>
    <row r="63" spans="1:87" ht="16">
      <c r="A63" s="5" t="s">
        <v>591</v>
      </c>
      <c r="B63" s="30" t="s">
        <v>465</v>
      </c>
      <c r="C63" s="15"/>
      <c r="D63" s="36">
        <f t="shared" ref="D63:AI63" si="48">D56+D59</f>
        <v>0</v>
      </c>
      <c r="E63" s="36">
        <f t="shared" si="48"/>
        <v>0</v>
      </c>
      <c r="F63" s="36">
        <f t="shared" si="48"/>
        <v>0</v>
      </c>
      <c r="G63" s="36">
        <f t="shared" si="48"/>
        <v>0</v>
      </c>
      <c r="H63" s="36">
        <f t="shared" si="48"/>
        <v>0</v>
      </c>
      <c r="I63" s="36">
        <f t="shared" si="48"/>
        <v>0</v>
      </c>
      <c r="J63" s="36">
        <f t="shared" si="48"/>
        <v>0</v>
      </c>
      <c r="K63" s="36">
        <f t="shared" si="48"/>
        <v>0</v>
      </c>
      <c r="L63" s="36">
        <f t="shared" si="48"/>
        <v>0</v>
      </c>
      <c r="M63" s="36">
        <f t="shared" si="48"/>
        <v>0</v>
      </c>
      <c r="N63" s="36">
        <f t="shared" si="48"/>
        <v>0</v>
      </c>
      <c r="O63" s="36">
        <f t="shared" si="48"/>
        <v>0</v>
      </c>
      <c r="P63" s="36">
        <f t="shared" si="48"/>
        <v>4953.75</v>
      </c>
      <c r="Q63" s="36">
        <f t="shared" si="48"/>
        <v>4953.75</v>
      </c>
      <c r="R63" s="36">
        <f t="shared" si="48"/>
        <v>4953.75</v>
      </c>
      <c r="S63" s="36">
        <f t="shared" si="48"/>
        <v>4953.75</v>
      </c>
      <c r="T63" s="36">
        <f t="shared" si="48"/>
        <v>4953.75</v>
      </c>
      <c r="U63" s="36">
        <f t="shared" si="48"/>
        <v>4953.75</v>
      </c>
      <c r="V63" s="36">
        <f t="shared" si="48"/>
        <v>4953.75</v>
      </c>
      <c r="W63" s="36">
        <f t="shared" si="48"/>
        <v>4953.75</v>
      </c>
      <c r="X63" s="36">
        <f t="shared" si="48"/>
        <v>4953.75</v>
      </c>
      <c r="Y63" s="36">
        <f t="shared" si="48"/>
        <v>4953.75</v>
      </c>
      <c r="Z63" s="36">
        <f t="shared" si="48"/>
        <v>4953.75</v>
      </c>
      <c r="AA63" s="36">
        <f t="shared" si="48"/>
        <v>4953.75</v>
      </c>
      <c r="AB63" s="36">
        <f t="shared" si="48"/>
        <v>4953.75</v>
      </c>
      <c r="AC63" s="36">
        <f t="shared" si="48"/>
        <v>4953.75</v>
      </c>
      <c r="AD63" s="36">
        <f t="shared" si="48"/>
        <v>4953.75</v>
      </c>
      <c r="AE63" s="36">
        <f t="shared" si="48"/>
        <v>4953.75</v>
      </c>
      <c r="AF63" s="36">
        <f t="shared" si="48"/>
        <v>4953.75</v>
      </c>
      <c r="AG63" s="36">
        <f t="shared" si="48"/>
        <v>4953.75</v>
      </c>
      <c r="AH63" s="36">
        <f t="shared" si="48"/>
        <v>4953.75</v>
      </c>
      <c r="AI63" s="36">
        <f t="shared" si="48"/>
        <v>4953.75</v>
      </c>
      <c r="AJ63" s="36">
        <f t="shared" ref="AJ63:BO63" si="49">AJ56+AJ59</f>
        <v>4953.75</v>
      </c>
      <c r="AK63" s="36">
        <f t="shared" si="49"/>
        <v>4953.75</v>
      </c>
      <c r="AL63" s="36">
        <f t="shared" si="49"/>
        <v>4953.75</v>
      </c>
      <c r="AM63" s="36">
        <f t="shared" si="49"/>
        <v>4953.75</v>
      </c>
      <c r="AN63" s="36">
        <f t="shared" si="49"/>
        <v>4953.75</v>
      </c>
      <c r="AO63" s="36">
        <f t="shared" si="49"/>
        <v>4953.75</v>
      </c>
      <c r="AP63" s="36">
        <f t="shared" si="49"/>
        <v>4953.75</v>
      </c>
      <c r="AQ63" s="36">
        <f t="shared" si="49"/>
        <v>4953.75</v>
      </c>
      <c r="AR63" s="36">
        <f t="shared" si="49"/>
        <v>4953.75</v>
      </c>
      <c r="AS63" s="36">
        <f t="shared" si="49"/>
        <v>4953.75</v>
      </c>
      <c r="AT63" s="36">
        <f t="shared" si="49"/>
        <v>4953.75</v>
      </c>
      <c r="AU63" s="36">
        <f t="shared" si="49"/>
        <v>4953.75</v>
      </c>
      <c r="AV63" s="36">
        <f t="shared" si="49"/>
        <v>4953.75</v>
      </c>
      <c r="AW63" s="36">
        <f t="shared" si="49"/>
        <v>4953.75</v>
      </c>
      <c r="AX63" s="36">
        <f t="shared" si="49"/>
        <v>4953.75</v>
      </c>
      <c r="AY63" s="36">
        <f t="shared" si="49"/>
        <v>4953.75</v>
      </c>
      <c r="AZ63" s="36">
        <f t="shared" si="49"/>
        <v>4953.75</v>
      </c>
      <c r="BA63" s="36">
        <f t="shared" si="49"/>
        <v>4953.75</v>
      </c>
      <c r="BB63" s="36">
        <f t="shared" si="49"/>
        <v>4953.75</v>
      </c>
      <c r="BC63" s="36">
        <f t="shared" si="49"/>
        <v>4953.75</v>
      </c>
      <c r="BD63" s="36">
        <f t="shared" si="49"/>
        <v>4953.75</v>
      </c>
      <c r="BE63" s="36">
        <f t="shared" si="49"/>
        <v>4953.75</v>
      </c>
      <c r="BF63" s="36">
        <f t="shared" si="49"/>
        <v>4953.75</v>
      </c>
      <c r="BG63" s="36">
        <f t="shared" si="49"/>
        <v>4953.75</v>
      </c>
      <c r="BH63" s="36">
        <f t="shared" si="49"/>
        <v>4953.75</v>
      </c>
      <c r="BI63" s="36">
        <f t="shared" si="49"/>
        <v>4953.75</v>
      </c>
      <c r="BJ63" s="36">
        <f t="shared" si="49"/>
        <v>4953.75</v>
      </c>
      <c r="BK63" s="36">
        <f t="shared" si="49"/>
        <v>4953.75</v>
      </c>
      <c r="BL63" s="36">
        <f t="shared" si="49"/>
        <v>4953.75</v>
      </c>
      <c r="BM63" s="36">
        <f t="shared" si="49"/>
        <v>4953.75</v>
      </c>
      <c r="BN63" s="36">
        <f t="shared" si="49"/>
        <v>4953.75</v>
      </c>
      <c r="BO63" s="36">
        <f t="shared" si="49"/>
        <v>4953.75</v>
      </c>
      <c r="BP63" s="36">
        <f t="shared" ref="BP63:CI63" si="50">BP56+BP59</f>
        <v>4953.75</v>
      </c>
      <c r="BQ63" s="36">
        <f t="shared" si="50"/>
        <v>4953.75</v>
      </c>
      <c r="BR63" s="36">
        <f t="shared" si="50"/>
        <v>4953.75</v>
      </c>
      <c r="BS63" s="36">
        <f t="shared" si="50"/>
        <v>4953.75</v>
      </c>
      <c r="BT63" s="36">
        <f t="shared" si="50"/>
        <v>4953.75</v>
      </c>
      <c r="BU63" s="36">
        <f t="shared" si="50"/>
        <v>4953.75</v>
      </c>
      <c r="BV63" s="36">
        <f t="shared" si="50"/>
        <v>4953.75</v>
      </c>
      <c r="BW63" s="36">
        <f t="shared" si="50"/>
        <v>4953.75</v>
      </c>
      <c r="BX63" s="36">
        <f t="shared" si="50"/>
        <v>4953.75</v>
      </c>
      <c r="BY63" s="36">
        <f t="shared" si="50"/>
        <v>4953.75</v>
      </c>
      <c r="BZ63" s="36">
        <f t="shared" si="50"/>
        <v>4953.75</v>
      </c>
      <c r="CA63" s="36">
        <f t="shared" si="50"/>
        <v>4953.75</v>
      </c>
      <c r="CB63" s="36">
        <f t="shared" si="50"/>
        <v>4953.75</v>
      </c>
      <c r="CC63" s="36">
        <f t="shared" si="50"/>
        <v>4953.75</v>
      </c>
      <c r="CD63" s="36">
        <f t="shared" si="50"/>
        <v>4953.75</v>
      </c>
      <c r="CE63" s="36">
        <f t="shared" si="50"/>
        <v>4953.75</v>
      </c>
      <c r="CF63" s="36">
        <f t="shared" si="50"/>
        <v>4953.75</v>
      </c>
      <c r="CG63" s="36">
        <f t="shared" si="50"/>
        <v>4953.75</v>
      </c>
      <c r="CH63" s="36">
        <f t="shared" si="50"/>
        <v>4953.75</v>
      </c>
      <c r="CI63" s="36">
        <f t="shared" si="50"/>
        <v>4953.75</v>
      </c>
    </row>
    <row r="65" spans="1:87" ht="16.5">
      <c r="A65" s="6" t="s">
        <v>582</v>
      </c>
      <c r="B65" s="30" t="s">
        <v>465</v>
      </c>
      <c r="C65" s="44">
        <f>'1_PANEL_CONTROL'!$C$44</f>
        <v>24000</v>
      </c>
      <c r="D65" s="33">
        <f>IF(D$8&gt;='1_PANEL_CONTROL'!$D$44, '1_PANEL_CONTROL'!$C$44/'1_PANEL_CONTROL'!$C$32, 0)</f>
        <v>0</v>
      </c>
      <c r="E65" s="33">
        <f>IF(E$8&gt;='1_PANEL_CONTROL'!$D$44, '1_PANEL_CONTROL'!$C$44/'1_PANEL_CONTROL'!$C$32, 0)</f>
        <v>0</v>
      </c>
      <c r="F65" s="33">
        <f>IF(F$8&gt;='1_PANEL_CONTROL'!$D$44, '1_PANEL_CONTROL'!$C$44/'1_PANEL_CONTROL'!$C$32, 0)</f>
        <v>0</v>
      </c>
      <c r="G65" s="33">
        <f>IF(G$8&gt;='1_PANEL_CONTROL'!$D$44, '1_PANEL_CONTROL'!$C$44/'1_PANEL_CONTROL'!$C$32, 0)</f>
        <v>0</v>
      </c>
      <c r="H65" s="33">
        <f>IF(H$8&gt;='1_PANEL_CONTROL'!$D$44, '1_PANEL_CONTROL'!$C$44/'1_PANEL_CONTROL'!$C$32, 0)</f>
        <v>0</v>
      </c>
      <c r="I65" s="33">
        <f>IF(I$8&gt;='1_PANEL_CONTROL'!$D$44, '1_PANEL_CONTROL'!$C$44/'1_PANEL_CONTROL'!$C$32, 0)</f>
        <v>0</v>
      </c>
      <c r="J65" s="33">
        <f>IF(J$8&gt;='1_PANEL_CONTROL'!$D$44, '1_PANEL_CONTROL'!$C$44/'1_PANEL_CONTROL'!$C$32, 0)</f>
        <v>0</v>
      </c>
      <c r="K65" s="33">
        <f>IF(K$8&gt;='1_PANEL_CONTROL'!$D$44, '1_PANEL_CONTROL'!$C$44/'1_PANEL_CONTROL'!$C$32, 0)</f>
        <v>0</v>
      </c>
      <c r="L65" s="33">
        <f>IF(L$8&gt;='1_PANEL_CONTROL'!$D$44, '1_PANEL_CONTROL'!$C$44/'1_PANEL_CONTROL'!$C$32, 0)</f>
        <v>0</v>
      </c>
      <c r="M65" s="33">
        <f>IF(M$8&gt;='1_PANEL_CONTROL'!$D$44, '1_PANEL_CONTROL'!$C$44/'1_PANEL_CONTROL'!$C$32, 0)</f>
        <v>0</v>
      </c>
      <c r="N65" s="33">
        <f>IF(N$8&gt;='1_PANEL_CONTROL'!$D$44, '1_PANEL_CONTROL'!$C$44/'1_PANEL_CONTROL'!$C$32, 0)</f>
        <v>0</v>
      </c>
      <c r="O65" s="33">
        <f>IF(O$8&gt;='1_PANEL_CONTROL'!$D$44, '1_PANEL_CONTROL'!$C$44/'1_PANEL_CONTROL'!$C$32, 0)</f>
        <v>0</v>
      </c>
      <c r="P65" s="33">
        <f>IF(P$8&gt;='1_PANEL_CONTROL'!$D$44, '1_PANEL_CONTROL'!$C$44/'1_PANEL_CONTROL'!$C$32, 0)</f>
        <v>2000</v>
      </c>
      <c r="Q65" s="33">
        <f>IF(Q$8&gt;='1_PANEL_CONTROL'!$D$44, '1_PANEL_CONTROL'!$C$44/'1_PANEL_CONTROL'!$C$32, 0)</f>
        <v>2000</v>
      </c>
      <c r="R65" s="33">
        <f>IF(R$8&gt;='1_PANEL_CONTROL'!$D$44, '1_PANEL_CONTROL'!$C$44/'1_PANEL_CONTROL'!$C$32, 0)</f>
        <v>2000</v>
      </c>
      <c r="S65" s="33">
        <f>IF(S$8&gt;='1_PANEL_CONTROL'!$D$44, '1_PANEL_CONTROL'!$C$44/'1_PANEL_CONTROL'!$C$32, 0)</f>
        <v>2000</v>
      </c>
      <c r="T65" s="33">
        <f>IF(T$8&gt;='1_PANEL_CONTROL'!$D$44, '1_PANEL_CONTROL'!$C$44/'1_PANEL_CONTROL'!$C$32, 0)</f>
        <v>2000</v>
      </c>
      <c r="U65" s="33">
        <f>IF(U$8&gt;='1_PANEL_CONTROL'!$D$44, '1_PANEL_CONTROL'!$C$44/'1_PANEL_CONTROL'!$C$32, 0)</f>
        <v>2000</v>
      </c>
      <c r="V65" s="33">
        <f>IF(V$8&gt;='1_PANEL_CONTROL'!$D$44, '1_PANEL_CONTROL'!$C$44/'1_PANEL_CONTROL'!$C$32, 0)</f>
        <v>2000</v>
      </c>
      <c r="W65" s="33">
        <f>IF(W$8&gt;='1_PANEL_CONTROL'!$D$44, '1_PANEL_CONTROL'!$C$44/'1_PANEL_CONTROL'!$C$32, 0)</f>
        <v>2000</v>
      </c>
      <c r="X65" s="33">
        <f>IF(X$8&gt;='1_PANEL_CONTROL'!$D$44, '1_PANEL_CONTROL'!$C$44/'1_PANEL_CONTROL'!$C$32, 0)</f>
        <v>2000</v>
      </c>
      <c r="Y65" s="33">
        <f>IF(Y$8&gt;='1_PANEL_CONTROL'!$D$44, '1_PANEL_CONTROL'!$C$44/'1_PANEL_CONTROL'!$C$32, 0)</f>
        <v>2000</v>
      </c>
      <c r="Z65" s="33">
        <f>IF(Z$8&gt;='1_PANEL_CONTROL'!$D$44, '1_PANEL_CONTROL'!$C$44/'1_PANEL_CONTROL'!$C$32, 0)</f>
        <v>2000</v>
      </c>
      <c r="AA65" s="33">
        <f>IF(AA$8&gt;='1_PANEL_CONTROL'!$D$44, '1_PANEL_CONTROL'!$C$44/'1_PANEL_CONTROL'!$C$32, 0)</f>
        <v>2000</v>
      </c>
      <c r="AB65" s="33">
        <f>IF(AB$8&gt;='1_PANEL_CONTROL'!$D$44, '1_PANEL_CONTROL'!$C$44/'1_PANEL_CONTROL'!$C$32, 0)</f>
        <v>2000</v>
      </c>
      <c r="AC65" s="33">
        <f>IF(AC$8&gt;='1_PANEL_CONTROL'!$D$44, '1_PANEL_CONTROL'!$C$44/'1_PANEL_CONTROL'!$C$32, 0)</f>
        <v>2000</v>
      </c>
      <c r="AD65" s="33">
        <f>IF(AD$8&gt;='1_PANEL_CONTROL'!$D$44, '1_PANEL_CONTROL'!$C$44/'1_PANEL_CONTROL'!$C$32, 0)</f>
        <v>2000</v>
      </c>
      <c r="AE65" s="33">
        <f>IF(AE$8&gt;='1_PANEL_CONTROL'!$D$44, '1_PANEL_CONTROL'!$C$44/'1_PANEL_CONTROL'!$C$32, 0)</f>
        <v>2000</v>
      </c>
      <c r="AF65" s="33">
        <f>IF(AF$8&gt;='1_PANEL_CONTROL'!$D$44, '1_PANEL_CONTROL'!$C$44/'1_PANEL_CONTROL'!$C$32, 0)</f>
        <v>2000</v>
      </c>
      <c r="AG65" s="33">
        <f>IF(AG$8&gt;='1_PANEL_CONTROL'!$D$44, '1_PANEL_CONTROL'!$C$44/'1_PANEL_CONTROL'!$C$32, 0)</f>
        <v>2000</v>
      </c>
      <c r="AH65" s="33">
        <f>IF(AH$8&gt;='1_PANEL_CONTROL'!$D$44, '1_PANEL_CONTROL'!$C$44/'1_PANEL_CONTROL'!$C$32, 0)</f>
        <v>2000</v>
      </c>
      <c r="AI65" s="33">
        <f>IF(AI$8&gt;='1_PANEL_CONTROL'!$D$44, '1_PANEL_CONTROL'!$C$44/'1_PANEL_CONTROL'!$C$32, 0)</f>
        <v>2000</v>
      </c>
      <c r="AJ65" s="33">
        <f>IF(AJ$8&gt;='1_PANEL_CONTROL'!$D$44, '1_PANEL_CONTROL'!$C$44/'1_PANEL_CONTROL'!$C$32, 0)</f>
        <v>2000</v>
      </c>
      <c r="AK65" s="33">
        <f>IF(AK$8&gt;='1_PANEL_CONTROL'!$D$44, '1_PANEL_CONTROL'!$C$44/'1_PANEL_CONTROL'!$C$32, 0)</f>
        <v>2000</v>
      </c>
      <c r="AL65" s="33">
        <f>IF(AL$8&gt;='1_PANEL_CONTROL'!$D$44, '1_PANEL_CONTROL'!$C$44/'1_PANEL_CONTROL'!$C$32, 0)</f>
        <v>2000</v>
      </c>
      <c r="AM65" s="33">
        <f>IF(AM$8&gt;='1_PANEL_CONTROL'!$D$44, '1_PANEL_CONTROL'!$C$44/'1_PANEL_CONTROL'!$C$32, 0)</f>
        <v>2000</v>
      </c>
      <c r="AN65" s="33">
        <f>IF(AN$8&gt;='1_PANEL_CONTROL'!$D$44, '1_PANEL_CONTROL'!$C$44/'1_PANEL_CONTROL'!$C$32, 0)</f>
        <v>2000</v>
      </c>
      <c r="AO65" s="33">
        <f>IF(AO$8&gt;='1_PANEL_CONTROL'!$D$44, '1_PANEL_CONTROL'!$C$44/'1_PANEL_CONTROL'!$C$32, 0)</f>
        <v>2000</v>
      </c>
      <c r="AP65" s="33">
        <f>IF(AP$8&gt;='1_PANEL_CONTROL'!$D$44, '1_PANEL_CONTROL'!$C$44/'1_PANEL_CONTROL'!$C$32, 0)</f>
        <v>2000</v>
      </c>
      <c r="AQ65" s="33">
        <f>IF(AQ$8&gt;='1_PANEL_CONTROL'!$D$44, '1_PANEL_CONTROL'!$C$44/'1_PANEL_CONTROL'!$C$32, 0)</f>
        <v>2000</v>
      </c>
      <c r="AR65" s="33">
        <f>IF(AR$8&gt;='1_PANEL_CONTROL'!$D$44, '1_PANEL_CONTROL'!$C$44/'1_PANEL_CONTROL'!$C$32, 0)</f>
        <v>2000</v>
      </c>
      <c r="AS65" s="33">
        <f>IF(AS$8&gt;='1_PANEL_CONTROL'!$D$44, '1_PANEL_CONTROL'!$C$44/'1_PANEL_CONTROL'!$C$32, 0)</f>
        <v>2000</v>
      </c>
      <c r="AT65" s="33">
        <f>IF(AT$8&gt;='1_PANEL_CONTROL'!$D$44, '1_PANEL_CONTROL'!$C$44/'1_PANEL_CONTROL'!$C$32, 0)</f>
        <v>2000</v>
      </c>
      <c r="AU65" s="33">
        <f>IF(AU$8&gt;='1_PANEL_CONTROL'!$D$44, '1_PANEL_CONTROL'!$C$44/'1_PANEL_CONTROL'!$C$32, 0)</f>
        <v>2000</v>
      </c>
      <c r="AV65" s="33">
        <f>IF(AV$8&gt;='1_PANEL_CONTROL'!$D$44, '1_PANEL_CONTROL'!$C$44/'1_PANEL_CONTROL'!$C$32, 0)</f>
        <v>2000</v>
      </c>
      <c r="AW65" s="33">
        <f>IF(AW$8&gt;='1_PANEL_CONTROL'!$D$44, '1_PANEL_CONTROL'!$C$44/'1_PANEL_CONTROL'!$C$32, 0)</f>
        <v>2000</v>
      </c>
      <c r="AX65" s="33">
        <f>IF(AX$8&gt;='1_PANEL_CONTROL'!$D$44, '1_PANEL_CONTROL'!$C$44/'1_PANEL_CONTROL'!$C$32, 0)</f>
        <v>2000</v>
      </c>
      <c r="AY65" s="33">
        <f>IF(AY$8&gt;='1_PANEL_CONTROL'!$D$44, '1_PANEL_CONTROL'!$C$44/'1_PANEL_CONTROL'!$C$32, 0)</f>
        <v>2000</v>
      </c>
      <c r="AZ65" s="33">
        <f>IF(AZ$8&gt;='1_PANEL_CONTROL'!$D$44, '1_PANEL_CONTROL'!$C$44/'1_PANEL_CONTROL'!$C$32, 0)</f>
        <v>2000</v>
      </c>
      <c r="BA65" s="33">
        <f>IF(BA$8&gt;='1_PANEL_CONTROL'!$D$44, '1_PANEL_CONTROL'!$C$44/'1_PANEL_CONTROL'!$C$32, 0)</f>
        <v>2000</v>
      </c>
      <c r="BB65" s="33">
        <f>IF(BB$8&gt;='1_PANEL_CONTROL'!$D$44, '1_PANEL_CONTROL'!$C$44/'1_PANEL_CONTROL'!$C$32, 0)</f>
        <v>2000</v>
      </c>
      <c r="BC65" s="33">
        <f>IF(BC$8&gt;='1_PANEL_CONTROL'!$D$44, '1_PANEL_CONTROL'!$C$44/'1_PANEL_CONTROL'!$C$32, 0)</f>
        <v>2000</v>
      </c>
      <c r="BD65" s="33">
        <f>IF(BD$8&gt;='1_PANEL_CONTROL'!$D$44, '1_PANEL_CONTROL'!$C$44/'1_PANEL_CONTROL'!$C$32, 0)</f>
        <v>2000</v>
      </c>
      <c r="BE65" s="33">
        <f>IF(BE$8&gt;='1_PANEL_CONTROL'!$D$44, '1_PANEL_CONTROL'!$C$44/'1_PANEL_CONTROL'!$C$32, 0)</f>
        <v>2000</v>
      </c>
      <c r="BF65" s="33">
        <f>IF(BF$8&gt;='1_PANEL_CONTROL'!$D$44, '1_PANEL_CONTROL'!$C$44/'1_PANEL_CONTROL'!$C$32, 0)</f>
        <v>2000</v>
      </c>
      <c r="BG65" s="33">
        <f>IF(BG$8&gt;='1_PANEL_CONTROL'!$D$44, '1_PANEL_CONTROL'!$C$44/'1_PANEL_CONTROL'!$C$32, 0)</f>
        <v>2000</v>
      </c>
      <c r="BH65" s="33">
        <f>IF(BH$8&gt;='1_PANEL_CONTROL'!$D$44, '1_PANEL_CONTROL'!$C$44/'1_PANEL_CONTROL'!$C$32, 0)</f>
        <v>2000</v>
      </c>
      <c r="BI65" s="33">
        <f>IF(BI$8&gt;='1_PANEL_CONTROL'!$D$44, '1_PANEL_CONTROL'!$C$44/'1_PANEL_CONTROL'!$C$32, 0)</f>
        <v>2000</v>
      </c>
      <c r="BJ65" s="33">
        <f>IF(BJ$8&gt;='1_PANEL_CONTROL'!$D$44, '1_PANEL_CONTROL'!$C$44/'1_PANEL_CONTROL'!$C$32, 0)</f>
        <v>2000</v>
      </c>
      <c r="BK65" s="33">
        <f>IF(BK$8&gt;='1_PANEL_CONTROL'!$D$44, '1_PANEL_CONTROL'!$C$44/'1_PANEL_CONTROL'!$C$32, 0)</f>
        <v>2000</v>
      </c>
      <c r="BL65" s="33">
        <f>IF(BL$8&gt;='1_PANEL_CONTROL'!$D$44, '1_PANEL_CONTROL'!$C$44/'1_PANEL_CONTROL'!$C$32, 0)</f>
        <v>2000</v>
      </c>
      <c r="BM65" s="33">
        <f>IF(BM$8&gt;='1_PANEL_CONTROL'!$D$44, '1_PANEL_CONTROL'!$C$44/'1_PANEL_CONTROL'!$C$32, 0)</f>
        <v>2000</v>
      </c>
      <c r="BN65" s="33">
        <f>IF(BN$8&gt;='1_PANEL_CONTROL'!$D$44, '1_PANEL_CONTROL'!$C$44/'1_PANEL_CONTROL'!$C$32, 0)</f>
        <v>2000</v>
      </c>
      <c r="BO65" s="33">
        <f>IF(BO$8&gt;='1_PANEL_CONTROL'!$D$44, '1_PANEL_CONTROL'!$C$44/'1_PANEL_CONTROL'!$C$32, 0)</f>
        <v>2000</v>
      </c>
      <c r="BP65" s="33">
        <f>IF(BP$8&gt;='1_PANEL_CONTROL'!$D$44, '1_PANEL_CONTROL'!$C$44/'1_PANEL_CONTROL'!$C$32, 0)</f>
        <v>2000</v>
      </c>
      <c r="BQ65" s="33">
        <f>IF(BQ$8&gt;='1_PANEL_CONTROL'!$D$44, '1_PANEL_CONTROL'!$C$44/'1_PANEL_CONTROL'!$C$32, 0)</f>
        <v>2000</v>
      </c>
      <c r="BR65" s="33">
        <f>IF(BR$8&gt;='1_PANEL_CONTROL'!$D$44, '1_PANEL_CONTROL'!$C$44/'1_PANEL_CONTROL'!$C$32, 0)</f>
        <v>2000</v>
      </c>
      <c r="BS65" s="33">
        <f>IF(BS$8&gt;='1_PANEL_CONTROL'!$D$44, '1_PANEL_CONTROL'!$C$44/'1_PANEL_CONTROL'!$C$32, 0)</f>
        <v>2000</v>
      </c>
      <c r="BT65" s="33">
        <f>IF(BT$8&gt;='1_PANEL_CONTROL'!$D$44, '1_PANEL_CONTROL'!$C$44/'1_PANEL_CONTROL'!$C$32, 0)</f>
        <v>2000</v>
      </c>
      <c r="BU65" s="33">
        <f>IF(BU$8&gt;='1_PANEL_CONTROL'!$D$44, '1_PANEL_CONTROL'!$C$44/'1_PANEL_CONTROL'!$C$32, 0)</f>
        <v>2000</v>
      </c>
      <c r="BV65" s="33">
        <f>IF(BV$8&gt;='1_PANEL_CONTROL'!$D$44, '1_PANEL_CONTROL'!$C$44/'1_PANEL_CONTROL'!$C$32, 0)</f>
        <v>2000</v>
      </c>
      <c r="BW65" s="33">
        <f>IF(BW$8&gt;='1_PANEL_CONTROL'!$D$44, '1_PANEL_CONTROL'!$C$44/'1_PANEL_CONTROL'!$C$32, 0)</f>
        <v>2000</v>
      </c>
      <c r="BX65" s="33">
        <f>IF(BX$8&gt;='1_PANEL_CONTROL'!$D$44, '1_PANEL_CONTROL'!$C$44/'1_PANEL_CONTROL'!$C$32, 0)</f>
        <v>2000</v>
      </c>
      <c r="BY65" s="33">
        <f>IF(BY$8&gt;='1_PANEL_CONTROL'!$D$44, '1_PANEL_CONTROL'!$C$44/'1_PANEL_CONTROL'!$C$32, 0)</f>
        <v>2000</v>
      </c>
      <c r="BZ65" s="33">
        <f>IF(BZ$8&gt;='1_PANEL_CONTROL'!$D$44, '1_PANEL_CONTROL'!$C$44/'1_PANEL_CONTROL'!$C$32, 0)</f>
        <v>2000</v>
      </c>
      <c r="CA65" s="33">
        <f>IF(CA$8&gt;='1_PANEL_CONTROL'!$D$44, '1_PANEL_CONTROL'!$C$44/'1_PANEL_CONTROL'!$C$32, 0)</f>
        <v>2000</v>
      </c>
      <c r="CB65" s="33">
        <f>IF(CB$8&gt;='1_PANEL_CONTROL'!$D$44, '1_PANEL_CONTROL'!$C$44/'1_PANEL_CONTROL'!$C$32, 0)</f>
        <v>2000</v>
      </c>
      <c r="CC65" s="33">
        <f>IF(CC$8&gt;='1_PANEL_CONTROL'!$D$44, '1_PANEL_CONTROL'!$C$44/'1_PANEL_CONTROL'!$C$32, 0)</f>
        <v>2000</v>
      </c>
      <c r="CD65" s="33">
        <f>IF(CD$8&gt;='1_PANEL_CONTROL'!$D$44, '1_PANEL_CONTROL'!$C$44/'1_PANEL_CONTROL'!$C$32, 0)</f>
        <v>2000</v>
      </c>
      <c r="CE65" s="33">
        <f>IF(CE$8&gt;='1_PANEL_CONTROL'!$D$44, '1_PANEL_CONTROL'!$C$44/'1_PANEL_CONTROL'!$C$32, 0)</f>
        <v>2000</v>
      </c>
      <c r="CF65" s="33">
        <f>IF(CF$8&gt;='1_PANEL_CONTROL'!$D$44, '1_PANEL_CONTROL'!$C$44/'1_PANEL_CONTROL'!$C$32, 0)</f>
        <v>2000</v>
      </c>
      <c r="CG65" s="33">
        <f>IF(CG$8&gt;='1_PANEL_CONTROL'!$D$44, '1_PANEL_CONTROL'!$C$44/'1_PANEL_CONTROL'!$C$32, 0)</f>
        <v>2000</v>
      </c>
      <c r="CH65" s="33">
        <f>IF(CH$8&gt;='1_PANEL_CONTROL'!$D$44, '1_PANEL_CONTROL'!$C$44/'1_PANEL_CONTROL'!$C$32, 0)</f>
        <v>2000</v>
      </c>
      <c r="CI65" s="33">
        <f>IF(CI$8&gt;='1_PANEL_CONTROL'!$D$44, '1_PANEL_CONTROL'!$C$44/'1_PANEL_CONTROL'!$C$32, 0)</f>
        <v>2000</v>
      </c>
    </row>
    <row r="66" spans="1:87" ht="16">
      <c r="A66" s="6" t="s">
        <v>583</v>
      </c>
      <c r="B66" s="30" t="s">
        <v>465</v>
      </c>
      <c r="C66" s="15"/>
      <c r="D66" s="33">
        <f>IF(D$8&gt;='1_PANEL_CONTROL'!$D$44, IF('1_PANEL_CONTROL'!$C$32=14, IF(OR(MOD(D$8,12)=6, MOD(D$8,12)=0), '1_PANEL_CONTROL'!$C$44/14, 0), 0), 0)</f>
        <v>0</v>
      </c>
      <c r="E66" s="33">
        <f>IF(E$8&gt;='1_PANEL_CONTROL'!$D$44, IF('1_PANEL_CONTROL'!$C$32=14, IF(OR(MOD(E$8,12)=6, MOD(E$8,12)=0), '1_PANEL_CONTROL'!$C$44/14, 0), 0), 0)</f>
        <v>0</v>
      </c>
      <c r="F66" s="33">
        <f>IF(F$8&gt;='1_PANEL_CONTROL'!$D$44, IF('1_PANEL_CONTROL'!$C$32=14, IF(OR(MOD(F$8,12)=6, MOD(F$8,12)=0), '1_PANEL_CONTROL'!$C$44/14, 0), 0), 0)</f>
        <v>0</v>
      </c>
      <c r="G66" s="33">
        <f>IF(G$8&gt;='1_PANEL_CONTROL'!$D$44, IF('1_PANEL_CONTROL'!$C$32=14, IF(OR(MOD(G$8,12)=6, MOD(G$8,12)=0), '1_PANEL_CONTROL'!$C$44/14, 0), 0), 0)</f>
        <v>0</v>
      </c>
      <c r="H66" s="33">
        <f>IF(H$8&gt;='1_PANEL_CONTROL'!$D$44, IF('1_PANEL_CONTROL'!$C$32=14, IF(OR(MOD(H$8,12)=6, MOD(H$8,12)=0), '1_PANEL_CONTROL'!$C$44/14, 0), 0), 0)</f>
        <v>0</v>
      </c>
      <c r="I66" s="33">
        <f>IF(I$8&gt;='1_PANEL_CONTROL'!$D$44, IF('1_PANEL_CONTROL'!$C$32=14, IF(OR(MOD(I$8,12)=6, MOD(I$8,12)=0), '1_PANEL_CONTROL'!$C$44/14, 0), 0), 0)</f>
        <v>0</v>
      </c>
      <c r="J66" s="33">
        <f>IF(J$8&gt;='1_PANEL_CONTROL'!$D$44, IF('1_PANEL_CONTROL'!$C$32=14, IF(OR(MOD(J$8,12)=6, MOD(J$8,12)=0), '1_PANEL_CONTROL'!$C$44/14, 0), 0), 0)</f>
        <v>0</v>
      </c>
      <c r="K66" s="33">
        <f>IF(K$8&gt;='1_PANEL_CONTROL'!$D$44, IF('1_PANEL_CONTROL'!$C$32=14, IF(OR(MOD(K$8,12)=6, MOD(K$8,12)=0), '1_PANEL_CONTROL'!$C$44/14, 0), 0), 0)</f>
        <v>0</v>
      </c>
      <c r="L66" s="33">
        <f>IF(L$8&gt;='1_PANEL_CONTROL'!$D$44, IF('1_PANEL_CONTROL'!$C$32=14, IF(OR(MOD(L$8,12)=6, MOD(L$8,12)=0), '1_PANEL_CONTROL'!$C$44/14, 0), 0), 0)</f>
        <v>0</v>
      </c>
      <c r="M66" s="33">
        <f>IF(M$8&gt;='1_PANEL_CONTROL'!$D$44, IF('1_PANEL_CONTROL'!$C$32=14, IF(OR(MOD(M$8,12)=6, MOD(M$8,12)=0), '1_PANEL_CONTROL'!$C$44/14, 0), 0), 0)</f>
        <v>0</v>
      </c>
      <c r="N66" s="33">
        <f>IF(N$8&gt;='1_PANEL_CONTROL'!$D$44, IF('1_PANEL_CONTROL'!$C$32=14, IF(OR(MOD(N$8,12)=6, MOD(N$8,12)=0), '1_PANEL_CONTROL'!$C$44/14, 0), 0), 0)</f>
        <v>0</v>
      </c>
      <c r="O66" s="33">
        <f>IF(O$8&gt;='1_PANEL_CONTROL'!$D$44, IF('1_PANEL_CONTROL'!$C$32=14, IF(OR(MOD(O$8,12)=6, MOD(O$8,12)=0), '1_PANEL_CONTROL'!$C$44/14, 0), 0), 0)</f>
        <v>0</v>
      </c>
      <c r="P66" s="33">
        <f>IF(P$8&gt;='1_PANEL_CONTROL'!$D$44, IF('1_PANEL_CONTROL'!$C$32=14, IF(OR(MOD(P$8,12)=6, MOD(P$8,12)=0), '1_PANEL_CONTROL'!$C$44/14, 0), 0), 0)</f>
        <v>0</v>
      </c>
      <c r="Q66" s="33">
        <f>IF(Q$8&gt;='1_PANEL_CONTROL'!$D$44, IF('1_PANEL_CONTROL'!$C$32=14, IF(OR(MOD(Q$8,12)=6, MOD(Q$8,12)=0), '1_PANEL_CONTROL'!$C$44/14, 0), 0), 0)</f>
        <v>0</v>
      </c>
      <c r="R66" s="33">
        <f>IF(R$8&gt;='1_PANEL_CONTROL'!$D$44, IF('1_PANEL_CONTROL'!$C$32=14, IF(OR(MOD(R$8,12)=6, MOD(R$8,12)=0), '1_PANEL_CONTROL'!$C$44/14, 0), 0), 0)</f>
        <v>0</v>
      </c>
      <c r="S66" s="33">
        <f>IF(S$8&gt;='1_PANEL_CONTROL'!$D$44, IF('1_PANEL_CONTROL'!$C$32=14, IF(OR(MOD(S$8,12)=6, MOD(S$8,12)=0), '1_PANEL_CONTROL'!$C$44/14, 0), 0), 0)</f>
        <v>0</v>
      </c>
      <c r="T66" s="33">
        <f>IF(T$8&gt;='1_PANEL_CONTROL'!$D$44, IF('1_PANEL_CONTROL'!$C$32=14, IF(OR(MOD(T$8,12)=6, MOD(T$8,12)=0), '1_PANEL_CONTROL'!$C$44/14, 0), 0), 0)</f>
        <v>0</v>
      </c>
      <c r="U66" s="33">
        <f>IF(U$8&gt;='1_PANEL_CONTROL'!$D$44, IF('1_PANEL_CONTROL'!$C$32=14, IF(OR(MOD(U$8,12)=6, MOD(U$8,12)=0), '1_PANEL_CONTROL'!$C$44/14, 0), 0), 0)</f>
        <v>0</v>
      </c>
      <c r="V66" s="33">
        <f>IF(V$8&gt;='1_PANEL_CONTROL'!$D$44, IF('1_PANEL_CONTROL'!$C$32=14, IF(OR(MOD(V$8,12)=6, MOD(V$8,12)=0), '1_PANEL_CONTROL'!$C$44/14, 0), 0), 0)</f>
        <v>0</v>
      </c>
      <c r="W66" s="33">
        <f>IF(W$8&gt;='1_PANEL_CONTROL'!$D$44, IF('1_PANEL_CONTROL'!$C$32=14, IF(OR(MOD(W$8,12)=6, MOD(W$8,12)=0), '1_PANEL_CONTROL'!$C$44/14, 0), 0), 0)</f>
        <v>0</v>
      </c>
      <c r="X66" s="33">
        <f>IF(X$8&gt;='1_PANEL_CONTROL'!$D$44, IF('1_PANEL_CONTROL'!$C$32=14, IF(OR(MOD(X$8,12)=6, MOD(X$8,12)=0), '1_PANEL_CONTROL'!$C$44/14, 0), 0), 0)</f>
        <v>0</v>
      </c>
      <c r="Y66" s="33">
        <f>IF(Y$8&gt;='1_PANEL_CONTROL'!$D$44, IF('1_PANEL_CONTROL'!$C$32=14, IF(OR(MOD(Y$8,12)=6, MOD(Y$8,12)=0), '1_PANEL_CONTROL'!$C$44/14, 0), 0), 0)</f>
        <v>0</v>
      </c>
      <c r="Z66" s="33">
        <f>IF(Z$8&gt;='1_PANEL_CONTROL'!$D$44, IF('1_PANEL_CONTROL'!$C$32=14, IF(OR(MOD(Z$8,12)=6, MOD(Z$8,12)=0), '1_PANEL_CONTROL'!$C$44/14, 0), 0), 0)</f>
        <v>0</v>
      </c>
      <c r="AA66" s="33">
        <f>IF(AA$8&gt;='1_PANEL_CONTROL'!$D$44, IF('1_PANEL_CONTROL'!$C$32=14, IF(OR(MOD(AA$8,12)=6, MOD(AA$8,12)=0), '1_PANEL_CONTROL'!$C$44/14, 0), 0), 0)</f>
        <v>0</v>
      </c>
      <c r="AB66" s="33">
        <f>IF(AB$8&gt;='1_PANEL_CONTROL'!$D$44, IF('1_PANEL_CONTROL'!$C$32=14, IF(OR(MOD(AB$8,12)=6, MOD(AB$8,12)=0), '1_PANEL_CONTROL'!$C$44/14, 0), 0), 0)</f>
        <v>0</v>
      </c>
      <c r="AC66" s="33">
        <f>IF(AC$8&gt;='1_PANEL_CONTROL'!$D$44, IF('1_PANEL_CONTROL'!$C$32=14, IF(OR(MOD(AC$8,12)=6, MOD(AC$8,12)=0), '1_PANEL_CONTROL'!$C$44/14, 0), 0), 0)</f>
        <v>0</v>
      </c>
      <c r="AD66" s="33">
        <f>IF(AD$8&gt;='1_PANEL_CONTROL'!$D$44, IF('1_PANEL_CONTROL'!$C$32=14, IF(OR(MOD(AD$8,12)=6, MOD(AD$8,12)=0), '1_PANEL_CONTROL'!$C$44/14, 0), 0), 0)</f>
        <v>0</v>
      </c>
      <c r="AE66" s="33">
        <f>IF(AE$8&gt;='1_PANEL_CONTROL'!$D$44, IF('1_PANEL_CONTROL'!$C$32=14, IF(OR(MOD(AE$8,12)=6, MOD(AE$8,12)=0), '1_PANEL_CONTROL'!$C$44/14, 0), 0), 0)</f>
        <v>0</v>
      </c>
      <c r="AF66" s="33">
        <f>IF(AF$8&gt;='1_PANEL_CONTROL'!$D$44, IF('1_PANEL_CONTROL'!$C$32=14, IF(OR(MOD(AF$8,12)=6, MOD(AF$8,12)=0), '1_PANEL_CONTROL'!$C$44/14, 0), 0), 0)</f>
        <v>0</v>
      </c>
      <c r="AG66" s="33">
        <f>IF(AG$8&gt;='1_PANEL_CONTROL'!$D$44, IF('1_PANEL_CONTROL'!$C$32=14, IF(OR(MOD(AG$8,12)=6, MOD(AG$8,12)=0), '1_PANEL_CONTROL'!$C$44/14, 0), 0), 0)</f>
        <v>0</v>
      </c>
      <c r="AH66" s="33">
        <f>IF(AH$8&gt;='1_PANEL_CONTROL'!$D$44, IF('1_PANEL_CONTROL'!$C$32=14, IF(OR(MOD(AH$8,12)=6, MOD(AH$8,12)=0), '1_PANEL_CONTROL'!$C$44/14, 0), 0), 0)</f>
        <v>0</v>
      </c>
      <c r="AI66" s="33">
        <f>IF(AI$8&gt;='1_PANEL_CONTROL'!$D$44, IF('1_PANEL_CONTROL'!$C$32=14, IF(OR(MOD(AI$8,12)=6, MOD(AI$8,12)=0), '1_PANEL_CONTROL'!$C$44/14, 0), 0), 0)</f>
        <v>0</v>
      </c>
      <c r="AJ66" s="33">
        <f>IF(AJ$8&gt;='1_PANEL_CONTROL'!$D$44, IF('1_PANEL_CONTROL'!$C$32=14, IF(OR(MOD(AJ$8,12)=6, MOD(AJ$8,12)=0), '1_PANEL_CONTROL'!$C$44/14, 0), 0), 0)</f>
        <v>0</v>
      </c>
      <c r="AK66" s="33">
        <f>IF(AK$8&gt;='1_PANEL_CONTROL'!$D$44, IF('1_PANEL_CONTROL'!$C$32=14, IF(OR(MOD(AK$8,12)=6, MOD(AK$8,12)=0), '1_PANEL_CONTROL'!$C$44/14, 0), 0), 0)</f>
        <v>0</v>
      </c>
      <c r="AL66" s="33">
        <f>IF(AL$8&gt;='1_PANEL_CONTROL'!$D$44, IF('1_PANEL_CONTROL'!$C$32=14, IF(OR(MOD(AL$8,12)=6, MOD(AL$8,12)=0), '1_PANEL_CONTROL'!$C$44/14, 0), 0), 0)</f>
        <v>0</v>
      </c>
      <c r="AM66" s="33">
        <f>IF(AM$8&gt;='1_PANEL_CONTROL'!$D$44, IF('1_PANEL_CONTROL'!$C$32=14, IF(OR(MOD(AM$8,12)=6, MOD(AM$8,12)=0), '1_PANEL_CONTROL'!$C$44/14, 0), 0), 0)</f>
        <v>0</v>
      </c>
      <c r="AN66" s="33">
        <f>IF(AN$8&gt;='1_PANEL_CONTROL'!$D$44, IF('1_PANEL_CONTROL'!$C$32=14, IF(OR(MOD(AN$8,12)=6, MOD(AN$8,12)=0), '1_PANEL_CONTROL'!$C$44/14, 0), 0), 0)</f>
        <v>0</v>
      </c>
      <c r="AO66" s="33">
        <f>IF(AO$8&gt;='1_PANEL_CONTROL'!$D$44, IF('1_PANEL_CONTROL'!$C$32=14, IF(OR(MOD(AO$8,12)=6, MOD(AO$8,12)=0), '1_PANEL_CONTROL'!$C$44/14, 0), 0), 0)</f>
        <v>0</v>
      </c>
      <c r="AP66" s="33">
        <f>IF(AP$8&gt;='1_PANEL_CONTROL'!$D$44, IF('1_PANEL_CONTROL'!$C$32=14, IF(OR(MOD(AP$8,12)=6, MOD(AP$8,12)=0), '1_PANEL_CONTROL'!$C$44/14, 0), 0), 0)</f>
        <v>0</v>
      </c>
      <c r="AQ66" s="33">
        <f>IF(AQ$8&gt;='1_PANEL_CONTROL'!$D$44, IF('1_PANEL_CONTROL'!$C$32=14, IF(OR(MOD(AQ$8,12)=6, MOD(AQ$8,12)=0), '1_PANEL_CONTROL'!$C$44/14, 0), 0), 0)</f>
        <v>0</v>
      </c>
      <c r="AR66" s="33">
        <f>IF(AR$8&gt;='1_PANEL_CONTROL'!$D$44, IF('1_PANEL_CONTROL'!$C$32=14, IF(OR(MOD(AR$8,12)=6, MOD(AR$8,12)=0), '1_PANEL_CONTROL'!$C$44/14, 0), 0), 0)</f>
        <v>0</v>
      </c>
      <c r="AS66" s="33">
        <f>IF(AS$8&gt;='1_PANEL_CONTROL'!$D$44, IF('1_PANEL_CONTROL'!$C$32=14, IF(OR(MOD(AS$8,12)=6, MOD(AS$8,12)=0), '1_PANEL_CONTROL'!$C$44/14, 0), 0), 0)</f>
        <v>0</v>
      </c>
      <c r="AT66" s="33">
        <f>IF(AT$8&gt;='1_PANEL_CONTROL'!$D$44, IF('1_PANEL_CONTROL'!$C$32=14, IF(OR(MOD(AT$8,12)=6, MOD(AT$8,12)=0), '1_PANEL_CONTROL'!$C$44/14, 0), 0), 0)</f>
        <v>0</v>
      </c>
      <c r="AU66" s="33">
        <f>IF(AU$8&gt;='1_PANEL_CONTROL'!$D$44, IF('1_PANEL_CONTROL'!$C$32=14, IF(OR(MOD(AU$8,12)=6, MOD(AU$8,12)=0), '1_PANEL_CONTROL'!$C$44/14, 0), 0), 0)</f>
        <v>0</v>
      </c>
      <c r="AV66" s="33">
        <f>IF(AV$8&gt;='1_PANEL_CONTROL'!$D$44, IF('1_PANEL_CONTROL'!$C$32=14, IF(OR(MOD(AV$8,12)=6, MOD(AV$8,12)=0), '1_PANEL_CONTROL'!$C$44/14, 0), 0), 0)</f>
        <v>0</v>
      </c>
      <c r="AW66" s="33">
        <f>IF(AW$8&gt;='1_PANEL_CONTROL'!$D$44, IF('1_PANEL_CONTROL'!$C$32=14, IF(OR(MOD(AW$8,12)=6, MOD(AW$8,12)=0), '1_PANEL_CONTROL'!$C$44/14, 0), 0), 0)</f>
        <v>0</v>
      </c>
      <c r="AX66" s="33">
        <f>IF(AX$8&gt;='1_PANEL_CONTROL'!$D$44, IF('1_PANEL_CONTROL'!$C$32=14, IF(OR(MOD(AX$8,12)=6, MOD(AX$8,12)=0), '1_PANEL_CONTROL'!$C$44/14, 0), 0), 0)</f>
        <v>0</v>
      </c>
      <c r="AY66" s="33">
        <f>IF(AY$8&gt;='1_PANEL_CONTROL'!$D$44, IF('1_PANEL_CONTROL'!$C$32=14, IF(OR(MOD(AY$8,12)=6, MOD(AY$8,12)=0), '1_PANEL_CONTROL'!$C$44/14, 0), 0), 0)</f>
        <v>0</v>
      </c>
      <c r="AZ66" s="33">
        <f>IF(AZ$8&gt;='1_PANEL_CONTROL'!$D$44, IF('1_PANEL_CONTROL'!$C$32=14, IF(OR(MOD(AZ$8,12)=6, MOD(AZ$8,12)=0), '1_PANEL_CONTROL'!$C$44/14, 0), 0), 0)</f>
        <v>0</v>
      </c>
      <c r="BA66" s="33">
        <f>IF(BA$8&gt;='1_PANEL_CONTROL'!$D$44, IF('1_PANEL_CONTROL'!$C$32=14, IF(OR(MOD(BA$8,12)=6, MOD(BA$8,12)=0), '1_PANEL_CONTROL'!$C$44/14, 0), 0), 0)</f>
        <v>0</v>
      </c>
      <c r="BB66" s="33">
        <f>IF(BB$8&gt;='1_PANEL_CONTROL'!$D$44, IF('1_PANEL_CONTROL'!$C$32=14, IF(OR(MOD(BB$8,12)=6, MOD(BB$8,12)=0), '1_PANEL_CONTROL'!$C$44/14, 0), 0), 0)</f>
        <v>0</v>
      </c>
      <c r="BC66" s="33">
        <f>IF(BC$8&gt;='1_PANEL_CONTROL'!$D$44, IF('1_PANEL_CONTROL'!$C$32=14, IF(OR(MOD(BC$8,12)=6, MOD(BC$8,12)=0), '1_PANEL_CONTROL'!$C$44/14, 0), 0), 0)</f>
        <v>0</v>
      </c>
      <c r="BD66" s="33">
        <f>IF(BD$8&gt;='1_PANEL_CONTROL'!$D$44, IF('1_PANEL_CONTROL'!$C$32=14, IF(OR(MOD(BD$8,12)=6, MOD(BD$8,12)=0), '1_PANEL_CONTROL'!$C$44/14, 0), 0), 0)</f>
        <v>0</v>
      </c>
      <c r="BE66" s="33">
        <f>IF(BE$8&gt;='1_PANEL_CONTROL'!$D$44, IF('1_PANEL_CONTROL'!$C$32=14, IF(OR(MOD(BE$8,12)=6, MOD(BE$8,12)=0), '1_PANEL_CONTROL'!$C$44/14, 0), 0), 0)</f>
        <v>0</v>
      </c>
      <c r="BF66" s="33">
        <f>IF(BF$8&gt;='1_PANEL_CONTROL'!$D$44, IF('1_PANEL_CONTROL'!$C$32=14, IF(OR(MOD(BF$8,12)=6, MOD(BF$8,12)=0), '1_PANEL_CONTROL'!$C$44/14, 0), 0), 0)</f>
        <v>0</v>
      </c>
      <c r="BG66" s="33">
        <f>IF(BG$8&gt;='1_PANEL_CONTROL'!$D$44, IF('1_PANEL_CONTROL'!$C$32=14, IF(OR(MOD(BG$8,12)=6, MOD(BG$8,12)=0), '1_PANEL_CONTROL'!$C$44/14, 0), 0), 0)</f>
        <v>0</v>
      </c>
      <c r="BH66" s="33">
        <f>IF(BH$8&gt;='1_PANEL_CONTROL'!$D$44, IF('1_PANEL_CONTROL'!$C$32=14, IF(OR(MOD(BH$8,12)=6, MOD(BH$8,12)=0), '1_PANEL_CONTROL'!$C$44/14, 0), 0), 0)</f>
        <v>0</v>
      </c>
      <c r="BI66" s="33">
        <f>IF(BI$8&gt;='1_PANEL_CONTROL'!$D$44, IF('1_PANEL_CONTROL'!$C$32=14, IF(OR(MOD(BI$8,12)=6, MOD(BI$8,12)=0), '1_PANEL_CONTROL'!$C$44/14, 0), 0), 0)</f>
        <v>0</v>
      </c>
      <c r="BJ66" s="33">
        <f>IF(BJ$8&gt;='1_PANEL_CONTROL'!$D$44, IF('1_PANEL_CONTROL'!$C$32=14, IF(OR(MOD(BJ$8,12)=6, MOD(BJ$8,12)=0), '1_PANEL_CONTROL'!$C$44/14, 0), 0), 0)</f>
        <v>0</v>
      </c>
      <c r="BK66" s="33">
        <f>IF(BK$8&gt;='1_PANEL_CONTROL'!$D$44, IF('1_PANEL_CONTROL'!$C$32=14, IF(OR(MOD(BK$8,12)=6, MOD(BK$8,12)=0), '1_PANEL_CONTROL'!$C$44/14, 0), 0), 0)</f>
        <v>0</v>
      </c>
      <c r="BL66" s="33">
        <f>IF(BL$8&gt;='1_PANEL_CONTROL'!$D$44, IF('1_PANEL_CONTROL'!$C$32=14, IF(OR(MOD(BL$8,12)=6, MOD(BL$8,12)=0), '1_PANEL_CONTROL'!$C$44/14, 0), 0), 0)</f>
        <v>0</v>
      </c>
      <c r="BM66" s="33">
        <f>IF(BM$8&gt;='1_PANEL_CONTROL'!$D$44, IF('1_PANEL_CONTROL'!$C$32=14, IF(OR(MOD(BM$8,12)=6, MOD(BM$8,12)=0), '1_PANEL_CONTROL'!$C$44/14, 0), 0), 0)</f>
        <v>0</v>
      </c>
      <c r="BN66" s="33">
        <f>IF(BN$8&gt;='1_PANEL_CONTROL'!$D$44, IF('1_PANEL_CONTROL'!$C$32=14, IF(OR(MOD(BN$8,12)=6, MOD(BN$8,12)=0), '1_PANEL_CONTROL'!$C$44/14, 0), 0), 0)</f>
        <v>0</v>
      </c>
      <c r="BO66" s="33">
        <f>IF(BO$8&gt;='1_PANEL_CONTROL'!$D$44, IF('1_PANEL_CONTROL'!$C$32=14, IF(OR(MOD(BO$8,12)=6, MOD(BO$8,12)=0), '1_PANEL_CONTROL'!$C$44/14, 0), 0), 0)</f>
        <v>0</v>
      </c>
      <c r="BP66" s="33">
        <f>IF(BP$8&gt;='1_PANEL_CONTROL'!$D$44, IF('1_PANEL_CONTROL'!$C$32=14, IF(OR(MOD(BP$8,12)=6, MOD(BP$8,12)=0), '1_PANEL_CONTROL'!$C$44/14, 0), 0), 0)</f>
        <v>0</v>
      </c>
      <c r="BQ66" s="33">
        <f>IF(BQ$8&gt;='1_PANEL_CONTROL'!$D$44, IF('1_PANEL_CONTROL'!$C$32=14, IF(OR(MOD(BQ$8,12)=6, MOD(BQ$8,12)=0), '1_PANEL_CONTROL'!$C$44/14, 0), 0), 0)</f>
        <v>0</v>
      </c>
      <c r="BR66" s="33">
        <f>IF(BR$8&gt;='1_PANEL_CONTROL'!$D$44, IF('1_PANEL_CONTROL'!$C$32=14, IF(OR(MOD(BR$8,12)=6, MOD(BR$8,12)=0), '1_PANEL_CONTROL'!$C$44/14, 0), 0), 0)</f>
        <v>0</v>
      </c>
      <c r="BS66" s="33">
        <f>IF(BS$8&gt;='1_PANEL_CONTROL'!$D$44, IF('1_PANEL_CONTROL'!$C$32=14, IF(OR(MOD(BS$8,12)=6, MOD(BS$8,12)=0), '1_PANEL_CONTROL'!$C$44/14, 0), 0), 0)</f>
        <v>0</v>
      </c>
      <c r="BT66" s="33">
        <f>IF(BT$8&gt;='1_PANEL_CONTROL'!$D$44, IF('1_PANEL_CONTROL'!$C$32=14, IF(OR(MOD(BT$8,12)=6, MOD(BT$8,12)=0), '1_PANEL_CONTROL'!$C$44/14, 0), 0), 0)</f>
        <v>0</v>
      </c>
      <c r="BU66" s="33">
        <f>IF(BU$8&gt;='1_PANEL_CONTROL'!$D$44, IF('1_PANEL_CONTROL'!$C$32=14, IF(OR(MOD(BU$8,12)=6, MOD(BU$8,12)=0), '1_PANEL_CONTROL'!$C$44/14, 0), 0), 0)</f>
        <v>0</v>
      </c>
      <c r="BV66" s="33">
        <f>IF(BV$8&gt;='1_PANEL_CONTROL'!$D$44, IF('1_PANEL_CONTROL'!$C$32=14, IF(OR(MOD(BV$8,12)=6, MOD(BV$8,12)=0), '1_PANEL_CONTROL'!$C$44/14, 0), 0), 0)</f>
        <v>0</v>
      </c>
      <c r="BW66" s="33">
        <f>IF(BW$8&gt;='1_PANEL_CONTROL'!$D$44, IF('1_PANEL_CONTROL'!$C$32=14, IF(OR(MOD(BW$8,12)=6, MOD(BW$8,12)=0), '1_PANEL_CONTROL'!$C$44/14, 0), 0), 0)</f>
        <v>0</v>
      </c>
      <c r="BX66" s="33">
        <f>IF(BX$8&gt;='1_PANEL_CONTROL'!$D$44, IF('1_PANEL_CONTROL'!$C$32=14, IF(OR(MOD(BX$8,12)=6, MOD(BX$8,12)=0), '1_PANEL_CONTROL'!$C$44/14, 0), 0), 0)</f>
        <v>0</v>
      </c>
      <c r="BY66" s="33">
        <f>IF(BY$8&gt;='1_PANEL_CONTROL'!$D$44, IF('1_PANEL_CONTROL'!$C$32=14, IF(OR(MOD(BY$8,12)=6, MOD(BY$8,12)=0), '1_PANEL_CONTROL'!$C$44/14, 0), 0), 0)</f>
        <v>0</v>
      </c>
      <c r="BZ66" s="33">
        <f>IF(BZ$8&gt;='1_PANEL_CONTROL'!$D$44, IF('1_PANEL_CONTROL'!$C$32=14, IF(OR(MOD(BZ$8,12)=6, MOD(BZ$8,12)=0), '1_PANEL_CONTROL'!$C$44/14, 0), 0), 0)</f>
        <v>0</v>
      </c>
      <c r="CA66" s="33">
        <f>IF(CA$8&gt;='1_PANEL_CONTROL'!$D$44, IF('1_PANEL_CONTROL'!$C$32=14, IF(OR(MOD(CA$8,12)=6, MOD(CA$8,12)=0), '1_PANEL_CONTROL'!$C$44/14, 0), 0), 0)</f>
        <v>0</v>
      </c>
      <c r="CB66" s="33">
        <f>IF(CB$8&gt;='1_PANEL_CONTROL'!$D$44, IF('1_PANEL_CONTROL'!$C$32=14, IF(OR(MOD(CB$8,12)=6, MOD(CB$8,12)=0), '1_PANEL_CONTROL'!$C$44/14, 0), 0), 0)</f>
        <v>0</v>
      </c>
      <c r="CC66" s="33">
        <f>IF(CC$8&gt;='1_PANEL_CONTROL'!$D$44, IF('1_PANEL_CONTROL'!$C$32=14, IF(OR(MOD(CC$8,12)=6, MOD(CC$8,12)=0), '1_PANEL_CONTROL'!$C$44/14, 0), 0), 0)</f>
        <v>0</v>
      </c>
      <c r="CD66" s="33">
        <f>IF(CD$8&gt;='1_PANEL_CONTROL'!$D$44, IF('1_PANEL_CONTROL'!$C$32=14, IF(OR(MOD(CD$8,12)=6, MOD(CD$8,12)=0), '1_PANEL_CONTROL'!$C$44/14, 0), 0), 0)</f>
        <v>0</v>
      </c>
      <c r="CE66" s="33">
        <f>IF(CE$8&gt;='1_PANEL_CONTROL'!$D$44, IF('1_PANEL_CONTROL'!$C$32=14, IF(OR(MOD(CE$8,12)=6, MOD(CE$8,12)=0), '1_PANEL_CONTROL'!$C$44/14, 0), 0), 0)</f>
        <v>0</v>
      </c>
      <c r="CF66" s="33">
        <f>IF(CF$8&gt;='1_PANEL_CONTROL'!$D$44, IF('1_PANEL_CONTROL'!$C$32=14, IF(OR(MOD(CF$8,12)=6, MOD(CF$8,12)=0), '1_PANEL_CONTROL'!$C$44/14, 0), 0), 0)</f>
        <v>0</v>
      </c>
      <c r="CG66" s="33">
        <f>IF(CG$8&gt;='1_PANEL_CONTROL'!$D$44, IF('1_PANEL_CONTROL'!$C$32=14, IF(OR(MOD(CG$8,12)=6, MOD(CG$8,12)=0), '1_PANEL_CONTROL'!$C$44/14, 0), 0), 0)</f>
        <v>0</v>
      </c>
      <c r="CH66" s="33">
        <f>IF(CH$8&gt;='1_PANEL_CONTROL'!$D$44, IF('1_PANEL_CONTROL'!$C$32=14, IF(OR(MOD(CH$8,12)=6, MOD(CH$8,12)=0), '1_PANEL_CONTROL'!$C$44/14, 0), 0), 0)</f>
        <v>0</v>
      </c>
      <c r="CI66" s="33">
        <f>IF(CI$8&gt;='1_PANEL_CONTROL'!$D$44, IF('1_PANEL_CONTROL'!$C$32=14, IF(OR(MOD(CI$8,12)=6, MOD(CI$8,12)=0), '1_PANEL_CONTROL'!$C$44/14, 0), 0), 0)</f>
        <v>0</v>
      </c>
    </row>
    <row r="67" spans="1:87" ht="16">
      <c r="A67" s="6" t="s">
        <v>584</v>
      </c>
      <c r="B67" s="30" t="s">
        <v>465</v>
      </c>
      <c r="C67" s="15"/>
      <c r="D67" s="33">
        <f t="shared" ref="D67:AI67" si="51">D65+D66</f>
        <v>0</v>
      </c>
      <c r="E67" s="33">
        <f t="shared" si="51"/>
        <v>0</v>
      </c>
      <c r="F67" s="33">
        <f t="shared" si="51"/>
        <v>0</v>
      </c>
      <c r="G67" s="33">
        <f t="shared" si="51"/>
        <v>0</v>
      </c>
      <c r="H67" s="33">
        <f t="shared" si="51"/>
        <v>0</v>
      </c>
      <c r="I67" s="33">
        <f t="shared" si="51"/>
        <v>0</v>
      </c>
      <c r="J67" s="33">
        <f t="shared" si="51"/>
        <v>0</v>
      </c>
      <c r="K67" s="33">
        <f t="shared" si="51"/>
        <v>0</v>
      </c>
      <c r="L67" s="33">
        <f t="shared" si="51"/>
        <v>0</v>
      </c>
      <c r="M67" s="33">
        <f t="shared" si="51"/>
        <v>0</v>
      </c>
      <c r="N67" s="33">
        <f t="shared" si="51"/>
        <v>0</v>
      </c>
      <c r="O67" s="33">
        <f t="shared" si="51"/>
        <v>0</v>
      </c>
      <c r="P67" s="33">
        <f t="shared" si="51"/>
        <v>2000</v>
      </c>
      <c r="Q67" s="33">
        <f t="shared" si="51"/>
        <v>2000</v>
      </c>
      <c r="R67" s="33">
        <f t="shared" si="51"/>
        <v>2000</v>
      </c>
      <c r="S67" s="33">
        <f t="shared" si="51"/>
        <v>2000</v>
      </c>
      <c r="T67" s="33">
        <f t="shared" si="51"/>
        <v>2000</v>
      </c>
      <c r="U67" s="33">
        <f t="shared" si="51"/>
        <v>2000</v>
      </c>
      <c r="V67" s="33">
        <f t="shared" si="51"/>
        <v>2000</v>
      </c>
      <c r="W67" s="33">
        <f t="shared" si="51"/>
        <v>2000</v>
      </c>
      <c r="X67" s="33">
        <f t="shared" si="51"/>
        <v>2000</v>
      </c>
      <c r="Y67" s="33">
        <f t="shared" si="51"/>
        <v>2000</v>
      </c>
      <c r="Z67" s="33">
        <f t="shared" si="51"/>
        <v>2000</v>
      </c>
      <c r="AA67" s="33">
        <f t="shared" si="51"/>
        <v>2000</v>
      </c>
      <c r="AB67" s="33">
        <f t="shared" si="51"/>
        <v>2000</v>
      </c>
      <c r="AC67" s="33">
        <f t="shared" si="51"/>
        <v>2000</v>
      </c>
      <c r="AD67" s="33">
        <f t="shared" si="51"/>
        <v>2000</v>
      </c>
      <c r="AE67" s="33">
        <f t="shared" si="51"/>
        <v>2000</v>
      </c>
      <c r="AF67" s="33">
        <f t="shared" si="51"/>
        <v>2000</v>
      </c>
      <c r="AG67" s="33">
        <f t="shared" si="51"/>
        <v>2000</v>
      </c>
      <c r="AH67" s="33">
        <f t="shared" si="51"/>
        <v>2000</v>
      </c>
      <c r="AI67" s="33">
        <f t="shared" si="51"/>
        <v>2000</v>
      </c>
      <c r="AJ67" s="33">
        <f t="shared" ref="AJ67:BO67" si="52">AJ65+AJ66</f>
        <v>2000</v>
      </c>
      <c r="AK67" s="33">
        <f t="shared" si="52"/>
        <v>2000</v>
      </c>
      <c r="AL67" s="33">
        <f t="shared" si="52"/>
        <v>2000</v>
      </c>
      <c r="AM67" s="33">
        <f t="shared" si="52"/>
        <v>2000</v>
      </c>
      <c r="AN67" s="33">
        <f t="shared" si="52"/>
        <v>2000</v>
      </c>
      <c r="AO67" s="33">
        <f t="shared" si="52"/>
        <v>2000</v>
      </c>
      <c r="AP67" s="33">
        <f t="shared" si="52"/>
        <v>2000</v>
      </c>
      <c r="AQ67" s="33">
        <f t="shared" si="52"/>
        <v>2000</v>
      </c>
      <c r="AR67" s="33">
        <f t="shared" si="52"/>
        <v>2000</v>
      </c>
      <c r="AS67" s="33">
        <f t="shared" si="52"/>
        <v>2000</v>
      </c>
      <c r="AT67" s="33">
        <f t="shared" si="52"/>
        <v>2000</v>
      </c>
      <c r="AU67" s="33">
        <f t="shared" si="52"/>
        <v>2000</v>
      </c>
      <c r="AV67" s="33">
        <f t="shared" si="52"/>
        <v>2000</v>
      </c>
      <c r="AW67" s="33">
        <f t="shared" si="52"/>
        <v>2000</v>
      </c>
      <c r="AX67" s="33">
        <f t="shared" si="52"/>
        <v>2000</v>
      </c>
      <c r="AY67" s="33">
        <f t="shared" si="52"/>
        <v>2000</v>
      </c>
      <c r="AZ67" s="33">
        <f t="shared" si="52"/>
        <v>2000</v>
      </c>
      <c r="BA67" s="33">
        <f t="shared" si="52"/>
        <v>2000</v>
      </c>
      <c r="BB67" s="33">
        <f t="shared" si="52"/>
        <v>2000</v>
      </c>
      <c r="BC67" s="33">
        <f t="shared" si="52"/>
        <v>2000</v>
      </c>
      <c r="BD67" s="33">
        <f t="shared" si="52"/>
        <v>2000</v>
      </c>
      <c r="BE67" s="33">
        <f t="shared" si="52"/>
        <v>2000</v>
      </c>
      <c r="BF67" s="33">
        <f t="shared" si="52"/>
        <v>2000</v>
      </c>
      <c r="BG67" s="33">
        <f t="shared" si="52"/>
        <v>2000</v>
      </c>
      <c r="BH67" s="33">
        <f t="shared" si="52"/>
        <v>2000</v>
      </c>
      <c r="BI67" s="33">
        <f t="shared" si="52"/>
        <v>2000</v>
      </c>
      <c r="BJ67" s="33">
        <f t="shared" si="52"/>
        <v>2000</v>
      </c>
      <c r="BK67" s="33">
        <f t="shared" si="52"/>
        <v>2000</v>
      </c>
      <c r="BL67" s="33">
        <f t="shared" si="52"/>
        <v>2000</v>
      </c>
      <c r="BM67" s="33">
        <f t="shared" si="52"/>
        <v>2000</v>
      </c>
      <c r="BN67" s="33">
        <f t="shared" si="52"/>
        <v>2000</v>
      </c>
      <c r="BO67" s="33">
        <f t="shared" si="52"/>
        <v>2000</v>
      </c>
      <c r="BP67" s="33">
        <f t="shared" ref="BP67:CU67" si="53">BP65+BP66</f>
        <v>2000</v>
      </c>
      <c r="BQ67" s="33">
        <f t="shared" si="53"/>
        <v>2000</v>
      </c>
      <c r="BR67" s="33">
        <f t="shared" si="53"/>
        <v>2000</v>
      </c>
      <c r="BS67" s="33">
        <f t="shared" si="53"/>
        <v>2000</v>
      </c>
      <c r="BT67" s="33">
        <f t="shared" si="53"/>
        <v>2000</v>
      </c>
      <c r="BU67" s="33">
        <f t="shared" si="53"/>
        <v>2000</v>
      </c>
      <c r="BV67" s="33">
        <f t="shared" si="53"/>
        <v>2000</v>
      </c>
      <c r="BW67" s="33">
        <f t="shared" si="53"/>
        <v>2000</v>
      </c>
      <c r="BX67" s="33">
        <f t="shared" si="53"/>
        <v>2000</v>
      </c>
      <c r="BY67" s="33">
        <f t="shared" si="53"/>
        <v>2000</v>
      </c>
      <c r="BZ67" s="33">
        <f t="shared" si="53"/>
        <v>2000</v>
      </c>
      <c r="CA67" s="33">
        <f t="shared" si="53"/>
        <v>2000</v>
      </c>
      <c r="CB67" s="33">
        <f t="shared" si="53"/>
        <v>2000</v>
      </c>
      <c r="CC67" s="33">
        <f t="shared" si="53"/>
        <v>2000</v>
      </c>
      <c r="CD67" s="33">
        <f t="shared" si="53"/>
        <v>2000</v>
      </c>
      <c r="CE67" s="33">
        <f t="shared" si="53"/>
        <v>2000</v>
      </c>
      <c r="CF67" s="33">
        <f t="shared" si="53"/>
        <v>2000</v>
      </c>
      <c r="CG67" s="33">
        <f t="shared" si="53"/>
        <v>2000</v>
      </c>
      <c r="CH67" s="33">
        <f t="shared" si="53"/>
        <v>2000</v>
      </c>
      <c r="CI67" s="33">
        <f t="shared" si="53"/>
        <v>2000</v>
      </c>
    </row>
    <row r="68" spans="1:87" ht="16">
      <c r="A68" s="6" t="s">
        <v>585</v>
      </c>
      <c r="B68" s="30" t="s">
        <v>465</v>
      </c>
      <c r="C68" s="15"/>
      <c r="D68" s="33">
        <f>IF(D$8&gt;='1_PANEL_CONTROL'!$D$44, '1_PANEL_CONTROL'!$C$44/12, 0)</f>
        <v>0</v>
      </c>
      <c r="E68" s="33">
        <f>IF(E$8&gt;='1_PANEL_CONTROL'!$D$44, '1_PANEL_CONTROL'!$C$44/12, 0)</f>
        <v>0</v>
      </c>
      <c r="F68" s="33">
        <f>IF(F$8&gt;='1_PANEL_CONTROL'!$D$44, '1_PANEL_CONTROL'!$C$44/12, 0)</f>
        <v>0</v>
      </c>
      <c r="G68" s="33">
        <f>IF(G$8&gt;='1_PANEL_CONTROL'!$D$44, '1_PANEL_CONTROL'!$C$44/12, 0)</f>
        <v>0</v>
      </c>
      <c r="H68" s="33">
        <f>IF(H$8&gt;='1_PANEL_CONTROL'!$D$44, '1_PANEL_CONTROL'!$C$44/12, 0)</f>
        <v>0</v>
      </c>
      <c r="I68" s="33">
        <f>IF(I$8&gt;='1_PANEL_CONTROL'!$D$44, '1_PANEL_CONTROL'!$C$44/12, 0)</f>
        <v>0</v>
      </c>
      <c r="J68" s="33">
        <f>IF(J$8&gt;='1_PANEL_CONTROL'!$D$44, '1_PANEL_CONTROL'!$C$44/12, 0)</f>
        <v>0</v>
      </c>
      <c r="K68" s="33">
        <f>IF(K$8&gt;='1_PANEL_CONTROL'!$D$44, '1_PANEL_CONTROL'!$C$44/12, 0)</f>
        <v>0</v>
      </c>
      <c r="L68" s="33">
        <f>IF(L$8&gt;='1_PANEL_CONTROL'!$D$44, '1_PANEL_CONTROL'!$C$44/12, 0)</f>
        <v>0</v>
      </c>
      <c r="M68" s="33">
        <f>IF(M$8&gt;='1_PANEL_CONTROL'!$D$44, '1_PANEL_CONTROL'!$C$44/12, 0)</f>
        <v>0</v>
      </c>
      <c r="N68" s="33">
        <f>IF(N$8&gt;='1_PANEL_CONTROL'!$D$44, '1_PANEL_CONTROL'!$C$44/12, 0)</f>
        <v>0</v>
      </c>
      <c r="O68" s="33">
        <f>IF(O$8&gt;='1_PANEL_CONTROL'!$D$44, '1_PANEL_CONTROL'!$C$44/12, 0)</f>
        <v>0</v>
      </c>
      <c r="P68" s="33">
        <f>IF(P$8&gt;='1_PANEL_CONTROL'!$D$44, '1_PANEL_CONTROL'!$C$44/12, 0)</f>
        <v>2000</v>
      </c>
      <c r="Q68" s="33">
        <f>IF(Q$8&gt;='1_PANEL_CONTROL'!$D$44, '1_PANEL_CONTROL'!$C$44/12, 0)</f>
        <v>2000</v>
      </c>
      <c r="R68" s="33">
        <f>IF(R$8&gt;='1_PANEL_CONTROL'!$D$44, '1_PANEL_CONTROL'!$C$44/12, 0)</f>
        <v>2000</v>
      </c>
      <c r="S68" s="33">
        <f>IF(S$8&gt;='1_PANEL_CONTROL'!$D$44, '1_PANEL_CONTROL'!$C$44/12, 0)</f>
        <v>2000</v>
      </c>
      <c r="T68" s="33">
        <f>IF(T$8&gt;='1_PANEL_CONTROL'!$D$44, '1_PANEL_CONTROL'!$C$44/12, 0)</f>
        <v>2000</v>
      </c>
      <c r="U68" s="33">
        <f>IF(U$8&gt;='1_PANEL_CONTROL'!$D$44, '1_PANEL_CONTROL'!$C$44/12, 0)</f>
        <v>2000</v>
      </c>
      <c r="V68" s="33">
        <f>IF(V$8&gt;='1_PANEL_CONTROL'!$D$44, '1_PANEL_CONTROL'!$C$44/12, 0)</f>
        <v>2000</v>
      </c>
      <c r="W68" s="33">
        <f>IF(W$8&gt;='1_PANEL_CONTROL'!$D$44, '1_PANEL_CONTROL'!$C$44/12, 0)</f>
        <v>2000</v>
      </c>
      <c r="X68" s="33">
        <f>IF(X$8&gt;='1_PANEL_CONTROL'!$D$44, '1_PANEL_CONTROL'!$C$44/12, 0)</f>
        <v>2000</v>
      </c>
      <c r="Y68" s="33">
        <f>IF(Y$8&gt;='1_PANEL_CONTROL'!$D$44, '1_PANEL_CONTROL'!$C$44/12, 0)</f>
        <v>2000</v>
      </c>
      <c r="Z68" s="33">
        <f>IF(Z$8&gt;='1_PANEL_CONTROL'!$D$44, '1_PANEL_CONTROL'!$C$44/12, 0)</f>
        <v>2000</v>
      </c>
      <c r="AA68" s="33">
        <f>IF(AA$8&gt;='1_PANEL_CONTROL'!$D$44, '1_PANEL_CONTROL'!$C$44/12, 0)</f>
        <v>2000</v>
      </c>
      <c r="AB68" s="33">
        <f>IF(AB$8&gt;='1_PANEL_CONTROL'!$D$44, '1_PANEL_CONTROL'!$C$44/12, 0)</f>
        <v>2000</v>
      </c>
      <c r="AC68" s="33">
        <f>IF(AC$8&gt;='1_PANEL_CONTROL'!$D$44, '1_PANEL_CONTROL'!$C$44/12, 0)</f>
        <v>2000</v>
      </c>
      <c r="AD68" s="33">
        <f>IF(AD$8&gt;='1_PANEL_CONTROL'!$D$44, '1_PANEL_CONTROL'!$C$44/12, 0)</f>
        <v>2000</v>
      </c>
      <c r="AE68" s="33">
        <f>IF(AE$8&gt;='1_PANEL_CONTROL'!$D$44, '1_PANEL_CONTROL'!$C$44/12, 0)</f>
        <v>2000</v>
      </c>
      <c r="AF68" s="33">
        <f>IF(AF$8&gt;='1_PANEL_CONTROL'!$D$44, '1_PANEL_CONTROL'!$C$44/12, 0)</f>
        <v>2000</v>
      </c>
      <c r="AG68" s="33">
        <f>IF(AG$8&gt;='1_PANEL_CONTROL'!$D$44, '1_PANEL_CONTROL'!$C$44/12, 0)</f>
        <v>2000</v>
      </c>
      <c r="AH68" s="33">
        <f>IF(AH$8&gt;='1_PANEL_CONTROL'!$D$44, '1_PANEL_CONTROL'!$C$44/12, 0)</f>
        <v>2000</v>
      </c>
      <c r="AI68" s="33">
        <f>IF(AI$8&gt;='1_PANEL_CONTROL'!$D$44, '1_PANEL_CONTROL'!$C$44/12, 0)</f>
        <v>2000</v>
      </c>
      <c r="AJ68" s="33">
        <f>IF(AJ$8&gt;='1_PANEL_CONTROL'!$D$44, '1_PANEL_CONTROL'!$C$44/12, 0)</f>
        <v>2000</v>
      </c>
      <c r="AK68" s="33">
        <f>IF(AK$8&gt;='1_PANEL_CONTROL'!$D$44, '1_PANEL_CONTROL'!$C$44/12, 0)</f>
        <v>2000</v>
      </c>
      <c r="AL68" s="33">
        <f>IF(AL$8&gt;='1_PANEL_CONTROL'!$D$44, '1_PANEL_CONTROL'!$C$44/12, 0)</f>
        <v>2000</v>
      </c>
      <c r="AM68" s="33">
        <f>IF(AM$8&gt;='1_PANEL_CONTROL'!$D$44, '1_PANEL_CONTROL'!$C$44/12, 0)</f>
        <v>2000</v>
      </c>
      <c r="AN68" s="33">
        <f>IF(AN$8&gt;='1_PANEL_CONTROL'!$D$44, '1_PANEL_CONTROL'!$C$44/12, 0)</f>
        <v>2000</v>
      </c>
      <c r="AO68" s="33">
        <f>IF(AO$8&gt;='1_PANEL_CONTROL'!$D$44, '1_PANEL_CONTROL'!$C$44/12, 0)</f>
        <v>2000</v>
      </c>
      <c r="AP68" s="33">
        <f>IF(AP$8&gt;='1_PANEL_CONTROL'!$D$44, '1_PANEL_CONTROL'!$C$44/12, 0)</f>
        <v>2000</v>
      </c>
      <c r="AQ68" s="33">
        <f>IF(AQ$8&gt;='1_PANEL_CONTROL'!$D$44, '1_PANEL_CONTROL'!$C$44/12, 0)</f>
        <v>2000</v>
      </c>
      <c r="AR68" s="33">
        <f>IF(AR$8&gt;='1_PANEL_CONTROL'!$D$44, '1_PANEL_CONTROL'!$C$44/12, 0)</f>
        <v>2000</v>
      </c>
      <c r="AS68" s="33">
        <f>IF(AS$8&gt;='1_PANEL_CONTROL'!$D$44, '1_PANEL_CONTROL'!$C$44/12, 0)</f>
        <v>2000</v>
      </c>
      <c r="AT68" s="33">
        <f>IF(AT$8&gt;='1_PANEL_CONTROL'!$D$44, '1_PANEL_CONTROL'!$C$44/12, 0)</f>
        <v>2000</v>
      </c>
      <c r="AU68" s="33">
        <f>IF(AU$8&gt;='1_PANEL_CONTROL'!$D$44, '1_PANEL_CONTROL'!$C$44/12, 0)</f>
        <v>2000</v>
      </c>
      <c r="AV68" s="33">
        <f>IF(AV$8&gt;='1_PANEL_CONTROL'!$D$44, '1_PANEL_CONTROL'!$C$44/12, 0)</f>
        <v>2000</v>
      </c>
      <c r="AW68" s="33">
        <f>IF(AW$8&gt;='1_PANEL_CONTROL'!$D$44, '1_PANEL_CONTROL'!$C$44/12, 0)</f>
        <v>2000</v>
      </c>
      <c r="AX68" s="33">
        <f>IF(AX$8&gt;='1_PANEL_CONTROL'!$D$44, '1_PANEL_CONTROL'!$C$44/12, 0)</f>
        <v>2000</v>
      </c>
      <c r="AY68" s="33">
        <f>IF(AY$8&gt;='1_PANEL_CONTROL'!$D$44, '1_PANEL_CONTROL'!$C$44/12, 0)</f>
        <v>2000</v>
      </c>
      <c r="AZ68" s="33">
        <f>IF(AZ$8&gt;='1_PANEL_CONTROL'!$D$44, '1_PANEL_CONTROL'!$C$44/12, 0)</f>
        <v>2000</v>
      </c>
      <c r="BA68" s="33">
        <f>IF(BA$8&gt;='1_PANEL_CONTROL'!$D$44, '1_PANEL_CONTROL'!$C$44/12, 0)</f>
        <v>2000</v>
      </c>
      <c r="BB68" s="33">
        <f>IF(BB$8&gt;='1_PANEL_CONTROL'!$D$44, '1_PANEL_CONTROL'!$C$44/12, 0)</f>
        <v>2000</v>
      </c>
      <c r="BC68" s="33">
        <f>IF(BC$8&gt;='1_PANEL_CONTROL'!$D$44, '1_PANEL_CONTROL'!$C$44/12, 0)</f>
        <v>2000</v>
      </c>
      <c r="BD68" s="33">
        <f>IF(BD$8&gt;='1_PANEL_CONTROL'!$D$44, '1_PANEL_CONTROL'!$C$44/12, 0)</f>
        <v>2000</v>
      </c>
      <c r="BE68" s="33">
        <f>IF(BE$8&gt;='1_PANEL_CONTROL'!$D$44, '1_PANEL_CONTROL'!$C$44/12, 0)</f>
        <v>2000</v>
      </c>
      <c r="BF68" s="33">
        <f>IF(BF$8&gt;='1_PANEL_CONTROL'!$D$44, '1_PANEL_CONTROL'!$C$44/12, 0)</f>
        <v>2000</v>
      </c>
      <c r="BG68" s="33">
        <f>IF(BG$8&gt;='1_PANEL_CONTROL'!$D$44, '1_PANEL_CONTROL'!$C$44/12, 0)</f>
        <v>2000</v>
      </c>
      <c r="BH68" s="33">
        <f>IF(BH$8&gt;='1_PANEL_CONTROL'!$D$44, '1_PANEL_CONTROL'!$C$44/12, 0)</f>
        <v>2000</v>
      </c>
      <c r="BI68" s="33">
        <f>IF(BI$8&gt;='1_PANEL_CONTROL'!$D$44, '1_PANEL_CONTROL'!$C$44/12, 0)</f>
        <v>2000</v>
      </c>
      <c r="BJ68" s="33">
        <f>IF(BJ$8&gt;='1_PANEL_CONTROL'!$D$44, '1_PANEL_CONTROL'!$C$44/12, 0)</f>
        <v>2000</v>
      </c>
      <c r="BK68" s="33">
        <f>IF(BK$8&gt;='1_PANEL_CONTROL'!$D$44, '1_PANEL_CONTROL'!$C$44/12, 0)</f>
        <v>2000</v>
      </c>
      <c r="BL68" s="33">
        <f>IF(BL$8&gt;='1_PANEL_CONTROL'!$D$44, '1_PANEL_CONTROL'!$C$44/12, 0)</f>
        <v>2000</v>
      </c>
      <c r="BM68" s="33">
        <f>IF(BM$8&gt;='1_PANEL_CONTROL'!$D$44, '1_PANEL_CONTROL'!$C$44/12, 0)</f>
        <v>2000</v>
      </c>
      <c r="BN68" s="33">
        <f>IF(BN$8&gt;='1_PANEL_CONTROL'!$D$44, '1_PANEL_CONTROL'!$C$44/12, 0)</f>
        <v>2000</v>
      </c>
      <c r="BO68" s="33">
        <f>IF(BO$8&gt;='1_PANEL_CONTROL'!$D$44, '1_PANEL_CONTROL'!$C$44/12, 0)</f>
        <v>2000</v>
      </c>
      <c r="BP68" s="33">
        <f>IF(BP$8&gt;='1_PANEL_CONTROL'!$D$44, '1_PANEL_CONTROL'!$C$44/12, 0)</f>
        <v>2000</v>
      </c>
      <c r="BQ68" s="33">
        <f>IF(BQ$8&gt;='1_PANEL_CONTROL'!$D$44, '1_PANEL_CONTROL'!$C$44/12, 0)</f>
        <v>2000</v>
      </c>
      <c r="BR68" s="33">
        <f>IF(BR$8&gt;='1_PANEL_CONTROL'!$D$44, '1_PANEL_CONTROL'!$C$44/12, 0)</f>
        <v>2000</v>
      </c>
      <c r="BS68" s="33">
        <f>IF(BS$8&gt;='1_PANEL_CONTROL'!$D$44, '1_PANEL_CONTROL'!$C$44/12, 0)</f>
        <v>2000</v>
      </c>
      <c r="BT68" s="33">
        <f>IF(BT$8&gt;='1_PANEL_CONTROL'!$D$44, '1_PANEL_CONTROL'!$C$44/12, 0)</f>
        <v>2000</v>
      </c>
      <c r="BU68" s="33">
        <f>IF(BU$8&gt;='1_PANEL_CONTROL'!$D$44, '1_PANEL_CONTROL'!$C$44/12, 0)</f>
        <v>2000</v>
      </c>
      <c r="BV68" s="33">
        <f>IF(BV$8&gt;='1_PANEL_CONTROL'!$D$44, '1_PANEL_CONTROL'!$C$44/12, 0)</f>
        <v>2000</v>
      </c>
      <c r="BW68" s="33">
        <f>IF(BW$8&gt;='1_PANEL_CONTROL'!$D$44, '1_PANEL_CONTROL'!$C$44/12, 0)</f>
        <v>2000</v>
      </c>
      <c r="BX68" s="33">
        <f>IF(BX$8&gt;='1_PANEL_CONTROL'!$D$44, '1_PANEL_CONTROL'!$C$44/12, 0)</f>
        <v>2000</v>
      </c>
      <c r="BY68" s="33">
        <f>IF(BY$8&gt;='1_PANEL_CONTROL'!$D$44, '1_PANEL_CONTROL'!$C$44/12, 0)</f>
        <v>2000</v>
      </c>
      <c r="BZ68" s="33">
        <f>IF(BZ$8&gt;='1_PANEL_CONTROL'!$D$44, '1_PANEL_CONTROL'!$C$44/12, 0)</f>
        <v>2000</v>
      </c>
      <c r="CA68" s="33">
        <f>IF(CA$8&gt;='1_PANEL_CONTROL'!$D$44, '1_PANEL_CONTROL'!$C$44/12, 0)</f>
        <v>2000</v>
      </c>
      <c r="CB68" s="33">
        <f>IF(CB$8&gt;='1_PANEL_CONTROL'!$D$44, '1_PANEL_CONTROL'!$C$44/12, 0)</f>
        <v>2000</v>
      </c>
      <c r="CC68" s="33">
        <f>IF(CC$8&gt;='1_PANEL_CONTROL'!$D$44, '1_PANEL_CONTROL'!$C$44/12, 0)</f>
        <v>2000</v>
      </c>
      <c r="CD68" s="33">
        <f>IF(CD$8&gt;='1_PANEL_CONTROL'!$D$44, '1_PANEL_CONTROL'!$C$44/12, 0)</f>
        <v>2000</v>
      </c>
      <c r="CE68" s="33">
        <f>IF(CE$8&gt;='1_PANEL_CONTROL'!$D$44, '1_PANEL_CONTROL'!$C$44/12, 0)</f>
        <v>2000</v>
      </c>
      <c r="CF68" s="33">
        <f>IF(CF$8&gt;='1_PANEL_CONTROL'!$D$44, '1_PANEL_CONTROL'!$C$44/12, 0)</f>
        <v>2000</v>
      </c>
      <c r="CG68" s="33">
        <f>IF(CG$8&gt;='1_PANEL_CONTROL'!$D$44, '1_PANEL_CONTROL'!$C$44/12, 0)</f>
        <v>2000</v>
      </c>
      <c r="CH68" s="33">
        <f>IF(CH$8&gt;='1_PANEL_CONTROL'!$D$44, '1_PANEL_CONTROL'!$C$44/12, 0)</f>
        <v>2000</v>
      </c>
      <c r="CI68" s="33">
        <f>IF(CI$8&gt;='1_PANEL_CONTROL'!$D$44, '1_PANEL_CONTROL'!$C$44/12, 0)</f>
        <v>2000</v>
      </c>
    </row>
    <row r="69" spans="1:87" ht="16">
      <c r="A69" s="6" t="s">
        <v>586</v>
      </c>
      <c r="B69" s="30" t="s">
        <v>465</v>
      </c>
      <c r="C69" s="15"/>
      <c r="D69" s="33">
        <f>IF(D$8&gt;='1_PANEL_CONTROL'!$D$44, MIN(MAX(D68, $D$6), $D$5), 0)</f>
        <v>0</v>
      </c>
      <c r="E69" s="33">
        <f>IF(E$8&gt;='1_PANEL_CONTROL'!$D$44, MIN(MAX(E68, $D$6), $D$5), 0)</f>
        <v>0</v>
      </c>
      <c r="F69" s="33">
        <f>IF(F$8&gt;='1_PANEL_CONTROL'!$D$44, MIN(MAX(F68, $D$6), $D$5), 0)</f>
        <v>0</v>
      </c>
      <c r="G69" s="33">
        <f>IF(G$8&gt;='1_PANEL_CONTROL'!$D$44, MIN(MAX(G68, $D$6), $D$5), 0)</f>
        <v>0</v>
      </c>
      <c r="H69" s="33">
        <f>IF(H$8&gt;='1_PANEL_CONTROL'!$D$44, MIN(MAX(H68, $D$6), $D$5), 0)</f>
        <v>0</v>
      </c>
      <c r="I69" s="33">
        <f>IF(I$8&gt;='1_PANEL_CONTROL'!$D$44, MIN(MAX(I68, $D$6), $D$5), 0)</f>
        <v>0</v>
      </c>
      <c r="J69" s="33">
        <f>IF(J$8&gt;='1_PANEL_CONTROL'!$D$44, MIN(MAX(J68, $D$6), $D$5), 0)</f>
        <v>0</v>
      </c>
      <c r="K69" s="33">
        <f>IF(K$8&gt;='1_PANEL_CONTROL'!$D$44, MIN(MAX(K68, $D$6), $D$5), 0)</f>
        <v>0</v>
      </c>
      <c r="L69" s="33">
        <f>IF(L$8&gt;='1_PANEL_CONTROL'!$D$44, MIN(MAX(L68, $D$6), $D$5), 0)</f>
        <v>0</v>
      </c>
      <c r="M69" s="33">
        <f>IF(M$8&gt;='1_PANEL_CONTROL'!$D$44, MIN(MAX(M68, $D$6), $D$5), 0)</f>
        <v>0</v>
      </c>
      <c r="N69" s="33">
        <f>IF(N$8&gt;='1_PANEL_CONTROL'!$D$44, MIN(MAX(N68, $D$6), $D$5), 0)</f>
        <v>0</v>
      </c>
      <c r="O69" s="33">
        <f>IF(O$8&gt;='1_PANEL_CONTROL'!$D$44, MIN(MAX(O68, $D$6), $D$5), 0)</f>
        <v>0</v>
      </c>
      <c r="P69" s="33">
        <f>IF(P$8&gt;='1_PANEL_CONTROL'!$D$44, MIN(MAX(P68, $D$6), $D$5), 0)</f>
        <v>2000</v>
      </c>
      <c r="Q69" s="33">
        <f>IF(Q$8&gt;='1_PANEL_CONTROL'!$D$44, MIN(MAX(Q68, $D$6), $D$5), 0)</f>
        <v>2000</v>
      </c>
      <c r="R69" s="33">
        <f>IF(R$8&gt;='1_PANEL_CONTROL'!$D$44, MIN(MAX(R68, $D$6), $D$5), 0)</f>
        <v>2000</v>
      </c>
      <c r="S69" s="33">
        <f>IF(S$8&gt;='1_PANEL_CONTROL'!$D$44, MIN(MAX(S68, $D$6), $D$5), 0)</f>
        <v>2000</v>
      </c>
      <c r="T69" s="33">
        <f>IF(T$8&gt;='1_PANEL_CONTROL'!$D$44, MIN(MAX(T68, $D$6), $D$5), 0)</f>
        <v>2000</v>
      </c>
      <c r="U69" s="33">
        <f>IF(U$8&gt;='1_PANEL_CONTROL'!$D$44, MIN(MAX(U68, $D$6), $D$5), 0)</f>
        <v>2000</v>
      </c>
      <c r="V69" s="33">
        <f>IF(V$8&gt;='1_PANEL_CONTROL'!$D$44, MIN(MAX(V68, $D$6), $D$5), 0)</f>
        <v>2000</v>
      </c>
      <c r="W69" s="33">
        <f>IF(W$8&gt;='1_PANEL_CONTROL'!$D$44, MIN(MAX(W68, $D$6), $D$5), 0)</f>
        <v>2000</v>
      </c>
      <c r="X69" s="33">
        <f>IF(X$8&gt;='1_PANEL_CONTROL'!$D$44, MIN(MAX(X68, $D$6), $D$5), 0)</f>
        <v>2000</v>
      </c>
      <c r="Y69" s="33">
        <f>IF(Y$8&gt;='1_PANEL_CONTROL'!$D$44, MIN(MAX(Y68, $D$6), $D$5), 0)</f>
        <v>2000</v>
      </c>
      <c r="Z69" s="33">
        <f>IF(Z$8&gt;='1_PANEL_CONTROL'!$D$44, MIN(MAX(Z68, $D$6), $D$5), 0)</f>
        <v>2000</v>
      </c>
      <c r="AA69" s="33">
        <f>IF(AA$8&gt;='1_PANEL_CONTROL'!$D$44, MIN(MAX(AA68, $D$6), $D$5), 0)</f>
        <v>2000</v>
      </c>
      <c r="AB69" s="33">
        <f>IF(AB$8&gt;='1_PANEL_CONTROL'!$D$44, MIN(MAX(AB68, $D$6), $D$5), 0)</f>
        <v>2000</v>
      </c>
      <c r="AC69" s="33">
        <f>IF(AC$8&gt;='1_PANEL_CONTROL'!$D$44, MIN(MAX(AC68, $D$6), $D$5), 0)</f>
        <v>2000</v>
      </c>
      <c r="AD69" s="33">
        <f>IF(AD$8&gt;='1_PANEL_CONTROL'!$D$44, MIN(MAX(AD68, $D$6), $D$5), 0)</f>
        <v>2000</v>
      </c>
      <c r="AE69" s="33">
        <f>IF(AE$8&gt;='1_PANEL_CONTROL'!$D$44, MIN(MAX(AE68, $D$6), $D$5), 0)</f>
        <v>2000</v>
      </c>
      <c r="AF69" s="33">
        <f>IF(AF$8&gt;='1_PANEL_CONTROL'!$D$44, MIN(MAX(AF68, $D$6), $D$5), 0)</f>
        <v>2000</v>
      </c>
      <c r="AG69" s="33">
        <f>IF(AG$8&gt;='1_PANEL_CONTROL'!$D$44, MIN(MAX(AG68, $D$6), $D$5), 0)</f>
        <v>2000</v>
      </c>
      <c r="AH69" s="33">
        <f>IF(AH$8&gt;='1_PANEL_CONTROL'!$D$44, MIN(MAX(AH68, $D$6), $D$5), 0)</f>
        <v>2000</v>
      </c>
      <c r="AI69" s="33">
        <f>IF(AI$8&gt;='1_PANEL_CONTROL'!$D$44, MIN(MAX(AI68, $D$6), $D$5), 0)</f>
        <v>2000</v>
      </c>
      <c r="AJ69" s="33">
        <f>IF(AJ$8&gt;='1_PANEL_CONTROL'!$D$44, MIN(MAX(AJ68, $D$6), $D$5), 0)</f>
        <v>2000</v>
      </c>
      <c r="AK69" s="33">
        <f>IF(AK$8&gt;='1_PANEL_CONTROL'!$D$44, MIN(MAX(AK68, $D$6), $D$5), 0)</f>
        <v>2000</v>
      </c>
      <c r="AL69" s="33">
        <f>IF(AL$8&gt;='1_PANEL_CONTROL'!$D$44, MIN(MAX(AL68, $D$6), $D$5), 0)</f>
        <v>2000</v>
      </c>
      <c r="AM69" s="33">
        <f>IF(AM$8&gt;='1_PANEL_CONTROL'!$D$44, MIN(MAX(AM68, $D$6), $D$5), 0)</f>
        <v>2000</v>
      </c>
      <c r="AN69" s="33">
        <f>IF(AN$8&gt;='1_PANEL_CONTROL'!$D$44, MIN(MAX(AN68, $D$6), $D$5), 0)</f>
        <v>2000</v>
      </c>
      <c r="AO69" s="33">
        <f>IF(AO$8&gt;='1_PANEL_CONTROL'!$D$44, MIN(MAX(AO68, $D$6), $D$5), 0)</f>
        <v>2000</v>
      </c>
      <c r="AP69" s="33">
        <f>IF(AP$8&gt;='1_PANEL_CONTROL'!$D$44, MIN(MAX(AP68, $D$6), $D$5), 0)</f>
        <v>2000</v>
      </c>
      <c r="AQ69" s="33">
        <f>IF(AQ$8&gt;='1_PANEL_CONTROL'!$D$44, MIN(MAX(AQ68, $D$6), $D$5), 0)</f>
        <v>2000</v>
      </c>
      <c r="AR69" s="33">
        <f>IF(AR$8&gt;='1_PANEL_CONTROL'!$D$44, MIN(MAX(AR68, $D$6), $D$5), 0)</f>
        <v>2000</v>
      </c>
      <c r="AS69" s="33">
        <f>IF(AS$8&gt;='1_PANEL_CONTROL'!$D$44, MIN(MAX(AS68, $D$6), $D$5), 0)</f>
        <v>2000</v>
      </c>
      <c r="AT69" s="33">
        <f>IF(AT$8&gt;='1_PANEL_CONTROL'!$D$44, MIN(MAX(AT68, $D$6), $D$5), 0)</f>
        <v>2000</v>
      </c>
      <c r="AU69" s="33">
        <f>IF(AU$8&gt;='1_PANEL_CONTROL'!$D$44, MIN(MAX(AU68, $D$6), $D$5), 0)</f>
        <v>2000</v>
      </c>
      <c r="AV69" s="33">
        <f>IF(AV$8&gt;='1_PANEL_CONTROL'!$D$44, MIN(MAX(AV68, $D$6), $D$5), 0)</f>
        <v>2000</v>
      </c>
      <c r="AW69" s="33">
        <f>IF(AW$8&gt;='1_PANEL_CONTROL'!$D$44, MIN(MAX(AW68, $D$6), $D$5), 0)</f>
        <v>2000</v>
      </c>
      <c r="AX69" s="33">
        <f>IF(AX$8&gt;='1_PANEL_CONTROL'!$D$44, MIN(MAX(AX68, $D$6), $D$5), 0)</f>
        <v>2000</v>
      </c>
      <c r="AY69" s="33">
        <f>IF(AY$8&gt;='1_PANEL_CONTROL'!$D$44, MIN(MAX(AY68, $D$6), $D$5), 0)</f>
        <v>2000</v>
      </c>
      <c r="AZ69" s="33">
        <f>IF(AZ$8&gt;='1_PANEL_CONTROL'!$D$44, MIN(MAX(AZ68, $D$6), $D$5), 0)</f>
        <v>2000</v>
      </c>
      <c r="BA69" s="33">
        <f>IF(BA$8&gt;='1_PANEL_CONTROL'!$D$44, MIN(MAX(BA68, $D$6), $D$5), 0)</f>
        <v>2000</v>
      </c>
      <c r="BB69" s="33">
        <f>IF(BB$8&gt;='1_PANEL_CONTROL'!$D$44, MIN(MAX(BB68, $D$6), $D$5), 0)</f>
        <v>2000</v>
      </c>
      <c r="BC69" s="33">
        <f>IF(BC$8&gt;='1_PANEL_CONTROL'!$D$44, MIN(MAX(BC68, $D$6), $D$5), 0)</f>
        <v>2000</v>
      </c>
      <c r="BD69" s="33">
        <f>IF(BD$8&gt;='1_PANEL_CONTROL'!$D$44, MIN(MAX(BD68, $D$6), $D$5), 0)</f>
        <v>2000</v>
      </c>
      <c r="BE69" s="33">
        <f>IF(BE$8&gt;='1_PANEL_CONTROL'!$D$44, MIN(MAX(BE68, $D$6), $D$5), 0)</f>
        <v>2000</v>
      </c>
      <c r="BF69" s="33">
        <f>IF(BF$8&gt;='1_PANEL_CONTROL'!$D$44, MIN(MAX(BF68, $D$6), $D$5), 0)</f>
        <v>2000</v>
      </c>
      <c r="BG69" s="33">
        <f>IF(BG$8&gt;='1_PANEL_CONTROL'!$D$44, MIN(MAX(BG68, $D$6), $D$5), 0)</f>
        <v>2000</v>
      </c>
      <c r="BH69" s="33">
        <f>IF(BH$8&gt;='1_PANEL_CONTROL'!$D$44, MIN(MAX(BH68, $D$6), $D$5), 0)</f>
        <v>2000</v>
      </c>
      <c r="BI69" s="33">
        <f>IF(BI$8&gt;='1_PANEL_CONTROL'!$D$44, MIN(MAX(BI68, $D$6), $D$5), 0)</f>
        <v>2000</v>
      </c>
      <c r="BJ69" s="33">
        <f>IF(BJ$8&gt;='1_PANEL_CONTROL'!$D$44, MIN(MAX(BJ68, $D$6), $D$5), 0)</f>
        <v>2000</v>
      </c>
      <c r="BK69" s="33">
        <f>IF(BK$8&gt;='1_PANEL_CONTROL'!$D$44, MIN(MAX(BK68, $D$6), $D$5), 0)</f>
        <v>2000</v>
      </c>
      <c r="BL69" s="33">
        <f>IF(BL$8&gt;='1_PANEL_CONTROL'!$D$44, MIN(MAX(BL68, $D$6), $D$5), 0)</f>
        <v>2000</v>
      </c>
      <c r="BM69" s="33">
        <f>IF(BM$8&gt;='1_PANEL_CONTROL'!$D$44, MIN(MAX(BM68, $D$6), $D$5), 0)</f>
        <v>2000</v>
      </c>
      <c r="BN69" s="33">
        <f>IF(BN$8&gt;='1_PANEL_CONTROL'!$D$44, MIN(MAX(BN68, $D$6), $D$5), 0)</f>
        <v>2000</v>
      </c>
      <c r="BO69" s="33">
        <f>IF(BO$8&gt;='1_PANEL_CONTROL'!$D$44, MIN(MAX(BO68, $D$6), $D$5), 0)</f>
        <v>2000</v>
      </c>
      <c r="BP69" s="33">
        <f>IF(BP$8&gt;='1_PANEL_CONTROL'!$D$44, MIN(MAX(BP68, $D$6), $D$5), 0)</f>
        <v>2000</v>
      </c>
      <c r="BQ69" s="33">
        <f>IF(BQ$8&gt;='1_PANEL_CONTROL'!$D$44, MIN(MAX(BQ68, $D$6), $D$5), 0)</f>
        <v>2000</v>
      </c>
      <c r="BR69" s="33">
        <f>IF(BR$8&gt;='1_PANEL_CONTROL'!$D$44, MIN(MAX(BR68, $D$6), $D$5), 0)</f>
        <v>2000</v>
      </c>
      <c r="BS69" s="33">
        <f>IF(BS$8&gt;='1_PANEL_CONTROL'!$D$44, MIN(MAX(BS68, $D$6), $D$5), 0)</f>
        <v>2000</v>
      </c>
      <c r="BT69" s="33">
        <f>IF(BT$8&gt;='1_PANEL_CONTROL'!$D$44, MIN(MAX(BT68, $D$6), $D$5), 0)</f>
        <v>2000</v>
      </c>
      <c r="BU69" s="33">
        <f>IF(BU$8&gt;='1_PANEL_CONTROL'!$D$44, MIN(MAX(BU68, $D$6), $D$5), 0)</f>
        <v>2000</v>
      </c>
      <c r="BV69" s="33">
        <f>IF(BV$8&gt;='1_PANEL_CONTROL'!$D$44, MIN(MAX(BV68, $D$6), $D$5), 0)</f>
        <v>2000</v>
      </c>
      <c r="BW69" s="33">
        <f>IF(BW$8&gt;='1_PANEL_CONTROL'!$D$44, MIN(MAX(BW68, $D$6), $D$5), 0)</f>
        <v>2000</v>
      </c>
      <c r="BX69" s="33">
        <f>IF(BX$8&gt;='1_PANEL_CONTROL'!$D$44, MIN(MAX(BX68, $D$6), $D$5), 0)</f>
        <v>2000</v>
      </c>
      <c r="BY69" s="33">
        <f>IF(BY$8&gt;='1_PANEL_CONTROL'!$D$44, MIN(MAX(BY68, $D$6), $D$5), 0)</f>
        <v>2000</v>
      </c>
      <c r="BZ69" s="33">
        <f>IF(BZ$8&gt;='1_PANEL_CONTROL'!$D$44, MIN(MAX(BZ68, $D$6), $D$5), 0)</f>
        <v>2000</v>
      </c>
      <c r="CA69" s="33">
        <f>IF(CA$8&gt;='1_PANEL_CONTROL'!$D$44, MIN(MAX(CA68, $D$6), $D$5), 0)</f>
        <v>2000</v>
      </c>
      <c r="CB69" s="33">
        <f>IF(CB$8&gt;='1_PANEL_CONTROL'!$D$44, MIN(MAX(CB68, $D$6), $D$5), 0)</f>
        <v>2000</v>
      </c>
      <c r="CC69" s="33">
        <f>IF(CC$8&gt;='1_PANEL_CONTROL'!$D$44, MIN(MAX(CC68, $D$6), $D$5), 0)</f>
        <v>2000</v>
      </c>
      <c r="CD69" s="33">
        <f>IF(CD$8&gt;='1_PANEL_CONTROL'!$D$44, MIN(MAX(CD68, $D$6), $D$5), 0)</f>
        <v>2000</v>
      </c>
      <c r="CE69" s="33">
        <f>IF(CE$8&gt;='1_PANEL_CONTROL'!$D$44, MIN(MAX(CE68, $D$6), $D$5), 0)</f>
        <v>2000</v>
      </c>
      <c r="CF69" s="33">
        <f>IF(CF$8&gt;='1_PANEL_CONTROL'!$D$44, MIN(MAX(CF68, $D$6), $D$5), 0)</f>
        <v>2000</v>
      </c>
      <c r="CG69" s="33">
        <f>IF(CG$8&gt;='1_PANEL_CONTROL'!$D$44, MIN(MAX(CG68, $D$6), $D$5), 0)</f>
        <v>2000</v>
      </c>
      <c r="CH69" s="33">
        <f>IF(CH$8&gt;='1_PANEL_CONTROL'!$D$44, MIN(MAX(CH68, $D$6), $D$5), 0)</f>
        <v>2000</v>
      </c>
      <c r="CI69" s="33">
        <f>IF(CI$8&gt;='1_PANEL_CONTROL'!$D$44, MIN(MAX(CI68, $D$6), $D$5), 0)</f>
        <v>2000</v>
      </c>
    </row>
    <row r="70" spans="1:87" ht="16">
      <c r="A70" s="6" t="s">
        <v>587</v>
      </c>
      <c r="B70" s="30" t="s">
        <v>465</v>
      </c>
      <c r="C70" s="15"/>
      <c r="D70" s="33">
        <f t="shared" ref="D70:AI70" si="54">D69*$B$5</f>
        <v>0</v>
      </c>
      <c r="E70" s="33">
        <f t="shared" si="54"/>
        <v>0</v>
      </c>
      <c r="F70" s="33">
        <f t="shared" si="54"/>
        <v>0</v>
      </c>
      <c r="G70" s="33">
        <f t="shared" si="54"/>
        <v>0</v>
      </c>
      <c r="H70" s="33">
        <f t="shared" si="54"/>
        <v>0</v>
      </c>
      <c r="I70" s="33">
        <f t="shared" si="54"/>
        <v>0</v>
      </c>
      <c r="J70" s="33">
        <f t="shared" si="54"/>
        <v>0</v>
      </c>
      <c r="K70" s="33">
        <f t="shared" si="54"/>
        <v>0</v>
      </c>
      <c r="L70" s="33">
        <f t="shared" si="54"/>
        <v>0</v>
      </c>
      <c r="M70" s="33">
        <f t="shared" si="54"/>
        <v>0</v>
      </c>
      <c r="N70" s="33">
        <f t="shared" si="54"/>
        <v>0</v>
      </c>
      <c r="O70" s="33">
        <f t="shared" si="54"/>
        <v>0</v>
      </c>
      <c r="P70" s="33">
        <f t="shared" si="54"/>
        <v>642</v>
      </c>
      <c r="Q70" s="33">
        <f t="shared" si="54"/>
        <v>642</v>
      </c>
      <c r="R70" s="33">
        <f t="shared" si="54"/>
        <v>642</v>
      </c>
      <c r="S70" s="33">
        <f t="shared" si="54"/>
        <v>642</v>
      </c>
      <c r="T70" s="33">
        <f t="shared" si="54"/>
        <v>642</v>
      </c>
      <c r="U70" s="33">
        <f t="shared" si="54"/>
        <v>642</v>
      </c>
      <c r="V70" s="33">
        <f t="shared" si="54"/>
        <v>642</v>
      </c>
      <c r="W70" s="33">
        <f t="shared" si="54"/>
        <v>642</v>
      </c>
      <c r="X70" s="33">
        <f t="shared" si="54"/>
        <v>642</v>
      </c>
      <c r="Y70" s="33">
        <f t="shared" si="54"/>
        <v>642</v>
      </c>
      <c r="Z70" s="33">
        <f t="shared" si="54"/>
        <v>642</v>
      </c>
      <c r="AA70" s="33">
        <f t="shared" si="54"/>
        <v>642</v>
      </c>
      <c r="AB70" s="33">
        <f t="shared" si="54"/>
        <v>642</v>
      </c>
      <c r="AC70" s="33">
        <f t="shared" si="54"/>
        <v>642</v>
      </c>
      <c r="AD70" s="33">
        <f t="shared" si="54"/>
        <v>642</v>
      </c>
      <c r="AE70" s="33">
        <f t="shared" si="54"/>
        <v>642</v>
      </c>
      <c r="AF70" s="33">
        <f t="shared" si="54"/>
        <v>642</v>
      </c>
      <c r="AG70" s="33">
        <f t="shared" si="54"/>
        <v>642</v>
      </c>
      <c r="AH70" s="33">
        <f t="shared" si="54"/>
        <v>642</v>
      </c>
      <c r="AI70" s="33">
        <f t="shared" si="54"/>
        <v>642</v>
      </c>
      <c r="AJ70" s="33">
        <f t="shared" ref="AJ70:BO70" si="55">AJ69*$B$5</f>
        <v>642</v>
      </c>
      <c r="AK70" s="33">
        <f t="shared" si="55"/>
        <v>642</v>
      </c>
      <c r="AL70" s="33">
        <f t="shared" si="55"/>
        <v>642</v>
      </c>
      <c r="AM70" s="33">
        <f t="shared" si="55"/>
        <v>642</v>
      </c>
      <c r="AN70" s="33">
        <f t="shared" si="55"/>
        <v>642</v>
      </c>
      <c r="AO70" s="33">
        <f t="shared" si="55"/>
        <v>642</v>
      </c>
      <c r="AP70" s="33">
        <f t="shared" si="55"/>
        <v>642</v>
      </c>
      <c r="AQ70" s="33">
        <f t="shared" si="55"/>
        <v>642</v>
      </c>
      <c r="AR70" s="33">
        <f t="shared" si="55"/>
        <v>642</v>
      </c>
      <c r="AS70" s="33">
        <f t="shared" si="55"/>
        <v>642</v>
      </c>
      <c r="AT70" s="33">
        <f t="shared" si="55"/>
        <v>642</v>
      </c>
      <c r="AU70" s="33">
        <f t="shared" si="55"/>
        <v>642</v>
      </c>
      <c r="AV70" s="33">
        <f t="shared" si="55"/>
        <v>642</v>
      </c>
      <c r="AW70" s="33">
        <f t="shared" si="55"/>
        <v>642</v>
      </c>
      <c r="AX70" s="33">
        <f t="shared" si="55"/>
        <v>642</v>
      </c>
      <c r="AY70" s="33">
        <f t="shared" si="55"/>
        <v>642</v>
      </c>
      <c r="AZ70" s="33">
        <f t="shared" si="55"/>
        <v>642</v>
      </c>
      <c r="BA70" s="33">
        <f t="shared" si="55"/>
        <v>642</v>
      </c>
      <c r="BB70" s="33">
        <f t="shared" si="55"/>
        <v>642</v>
      </c>
      <c r="BC70" s="33">
        <f t="shared" si="55"/>
        <v>642</v>
      </c>
      <c r="BD70" s="33">
        <f t="shared" si="55"/>
        <v>642</v>
      </c>
      <c r="BE70" s="33">
        <f t="shared" si="55"/>
        <v>642</v>
      </c>
      <c r="BF70" s="33">
        <f t="shared" si="55"/>
        <v>642</v>
      </c>
      <c r="BG70" s="33">
        <f t="shared" si="55"/>
        <v>642</v>
      </c>
      <c r="BH70" s="33">
        <f t="shared" si="55"/>
        <v>642</v>
      </c>
      <c r="BI70" s="33">
        <f t="shared" si="55"/>
        <v>642</v>
      </c>
      <c r="BJ70" s="33">
        <f t="shared" si="55"/>
        <v>642</v>
      </c>
      <c r="BK70" s="33">
        <f t="shared" si="55"/>
        <v>642</v>
      </c>
      <c r="BL70" s="33">
        <f t="shared" si="55"/>
        <v>642</v>
      </c>
      <c r="BM70" s="33">
        <f t="shared" si="55"/>
        <v>642</v>
      </c>
      <c r="BN70" s="33">
        <f t="shared" si="55"/>
        <v>642</v>
      </c>
      <c r="BO70" s="33">
        <f t="shared" si="55"/>
        <v>642</v>
      </c>
      <c r="BP70" s="33">
        <f t="shared" ref="BP70:CU70" si="56">BP69*$B$5</f>
        <v>642</v>
      </c>
      <c r="BQ70" s="33">
        <f t="shared" si="56"/>
        <v>642</v>
      </c>
      <c r="BR70" s="33">
        <f t="shared" si="56"/>
        <v>642</v>
      </c>
      <c r="BS70" s="33">
        <f t="shared" si="56"/>
        <v>642</v>
      </c>
      <c r="BT70" s="33">
        <f t="shared" si="56"/>
        <v>642</v>
      </c>
      <c r="BU70" s="33">
        <f t="shared" si="56"/>
        <v>642</v>
      </c>
      <c r="BV70" s="33">
        <f t="shared" si="56"/>
        <v>642</v>
      </c>
      <c r="BW70" s="33">
        <f t="shared" si="56"/>
        <v>642</v>
      </c>
      <c r="BX70" s="33">
        <f t="shared" si="56"/>
        <v>642</v>
      </c>
      <c r="BY70" s="33">
        <f t="shared" si="56"/>
        <v>642</v>
      </c>
      <c r="BZ70" s="33">
        <f t="shared" si="56"/>
        <v>642</v>
      </c>
      <c r="CA70" s="33">
        <f t="shared" si="56"/>
        <v>642</v>
      </c>
      <c r="CB70" s="33">
        <f t="shared" si="56"/>
        <v>642</v>
      </c>
      <c r="CC70" s="33">
        <f t="shared" si="56"/>
        <v>642</v>
      </c>
      <c r="CD70" s="33">
        <f t="shared" si="56"/>
        <v>642</v>
      </c>
      <c r="CE70" s="33">
        <f t="shared" si="56"/>
        <v>642</v>
      </c>
      <c r="CF70" s="33">
        <f t="shared" si="56"/>
        <v>642</v>
      </c>
      <c r="CG70" s="33">
        <f t="shared" si="56"/>
        <v>642</v>
      </c>
      <c r="CH70" s="33">
        <f t="shared" si="56"/>
        <v>642</v>
      </c>
      <c r="CI70" s="33">
        <f t="shared" si="56"/>
        <v>642</v>
      </c>
    </row>
    <row r="71" spans="1:87" ht="16">
      <c r="A71" s="6" t="s">
        <v>588</v>
      </c>
      <c r="B71" s="30" t="s">
        <v>465</v>
      </c>
      <c r="C71" s="15"/>
      <c r="D71" s="33">
        <f t="shared" ref="D71:AI71" si="57">D69*$B$6</f>
        <v>0</v>
      </c>
      <c r="E71" s="33">
        <f t="shared" si="57"/>
        <v>0</v>
      </c>
      <c r="F71" s="33">
        <f t="shared" si="57"/>
        <v>0</v>
      </c>
      <c r="G71" s="33">
        <f t="shared" si="57"/>
        <v>0</v>
      </c>
      <c r="H71" s="33">
        <f t="shared" si="57"/>
        <v>0</v>
      </c>
      <c r="I71" s="33">
        <f t="shared" si="57"/>
        <v>0</v>
      </c>
      <c r="J71" s="33">
        <f t="shared" si="57"/>
        <v>0</v>
      </c>
      <c r="K71" s="33">
        <f t="shared" si="57"/>
        <v>0</v>
      </c>
      <c r="L71" s="33">
        <f t="shared" si="57"/>
        <v>0</v>
      </c>
      <c r="M71" s="33">
        <f t="shared" si="57"/>
        <v>0</v>
      </c>
      <c r="N71" s="33">
        <f t="shared" si="57"/>
        <v>0</v>
      </c>
      <c r="O71" s="33">
        <f t="shared" si="57"/>
        <v>0</v>
      </c>
      <c r="P71" s="33">
        <f t="shared" si="57"/>
        <v>129.39999999999998</v>
      </c>
      <c r="Q71" s="33">
        <f t="shared" si="57"/>
        <v>129.39999999999998</v>
      </c>
      <c r="R71" s="33">
        <f t="shared" si="57"/>
        <v>129.39999999999998</v>
      </c>
      <c r="S71" s="33">
        <f t="shared" si="57"/>
        <v>129.39999999999998</v>
      </c>
      <c r="T71" s="33">
        <f t="shared" si="57"/>
        <v>129.39999999999998</v>
      </c>
      <c r="U71" s="33">
        <f t="shared" si="57"/>
        <v>129.39999999999998</v>
      </c>
      <c r="V71" s="33">
        <f t="shared" si="57"/>
        <v>129.39999999999998</v>
      </c>
      <c r="W71" s="33">
        <f t="shared" si="57"/>
        <v>129.39999999999998</v>
      </c>
      <c r="X71" s="33">
        <f t="shared" si="57"/>
        <v>129.39999999999998</v>
      </c>
      <c r="Y71" s="33">
        <f t="shared" si="57"/>
        <v>129.39999999999998</v>
      </c>
      <c r="Z71" s="33">
        <f t="shared" si="57"/>
        <v>129.39999999999998</v>
      </c>
      <c r="AA71" s="33">
        <f t="shared" si="57"/>
        <v>129.39999999999998</v>
      </c>
      <c r="AB71" s="33">
        <f t="shared" si="57"/>
        <v>129.39999999999998</v>
      </c>
      <c r="AC71" s="33">
        <f t="shared" si="57"/>
        <v>129.39999999999998</v>
      </c>
      <c r="AD71" s="33">
        <f t="shared" si="57"/>
        <v>129.39999999999998</v>
      </c>
      <c r="AE71" s="33">
        <f t="shared" si="57"/>
        <v>129.39999999999998</v>
      </c>
      <c r="AF71" s="33">
        <f t="shared" si="57"/>
        <v>129.39999999999998</v>
      </c>
      <c r="AG71" s="33">
        <f t="shared" si="57"/>
        <v>129.39999999999998</v>
      </c>
      <c r="AH71" s="33">
        <f t="shared" si="57"/>
        <v>129.39999999999998</v>
      </c>
      <c r="AI71" s="33">
        <f t="shared" si="57"/>
        <v>129.39999999999998</v>
      </c>
      <c r="AJ71" s="33">
        <f t="shared" ref="AJ71:BO71" si="58">AJ69*$B$6</f>
        <v>129.39999999999998</v>
      </c>
      <c r="AK71" s="33">
        <f t="shared" si="58"/>
        <v>129.39999999999998</v>
      </c>
      <c r="AL71" s="33">
        <f t="shared" si="58"/>
        <v>129.39999999999998</v>
      </c>
      <c r="AM71" s="33">
        <f t="shared" si="58"/>
        <v>129.39999999999998</v>
      </c>
      <c r="AN71" s="33">
        <f t="shared" si="58"/>
        <v>129.39999999999998</v>
      </c>
      <c r="AO71" s="33">
        <f t="shared" si="58"/>
        <v>129.39999999999998</v>
      </c>
      <c r="AP71" s="33">
        <f t="shared" si="58"/>
        <v>129.39999999999998</v>
      </c>
      <c r="AQ71" s="33">
        <f t="shared" si="58"/>
        <v>129.39999999999998</v>
      </c>
      <c r="AR71" s="33">
        <f t="shared" si="58"/>
        <v>129.39999999999998</v>
      </c>
      <c r="AS71" s="33">
        <f t="shared" si="58"/>
        <v>129.39999999999998</v>
      </c>
      <c r="AT71" s="33">
        <f t="shared" si="58"/>
        <v>129.39999999999998</v>
      </c>
      <c r="AU71" s="33">
        <f t="shared" si="58"/>
        <v>129.39999999999998</v>
      </c>
      <c r="AV71" s="33">
        <f t="shared" si="58"/>
        <v>129.39999999999998</v>
      </c>
      <c r="AW71" s="33">
        <f t="shared" si="58"/>
        <v>129.39999999999998</v>
      </c>
      <c r="AX71" s="33">
        <f t="shared" si="58"/>
        <v>129.39999999999998</v>
      </c>
      <c r="AY71" s="33">
        <f t="shared" si="58"/>
        <v>129.39999999999998</v>
      </c>
      <c r="AZ71" s="33">
        <f t="shared" si="58"/>
        <v>129.39999999999998</v>
      </c>
      <c r="BA71" s="33">
        <f t="shared" si="58"/>
        <v>129.39999999999998</v>
      </c>
      <c r="BB71" s="33">
        <f t="shared" si="58"/>
        <v>129.39999999999998</v>
      </c>
      <c r="BC71" s="33">
        <f t="shared" si="58"/>
        <v>129.39999999999998</v>
      </c>
      <c r="BD71" s="33">
        <f t="shared" si="58"/>
        <v>129.39999999999998</v>
      </c>
      <c r="BE71" s="33">
        <f t="shared" si="58"/>
        <v>129.39999999999998</v>
      </c>
      <c r="BF71" s="33">
        <f t="shared" si="58"/>
        <v>129.39999999999998</v>
      </c>
      <c r="BG71" s="33">
        <f t="shared" si="58"/>
        <v>129.39999999999998</v>
      </c>
      <c r="BH71" s="33">
        <f t="shared" si="58"/>
        <v>129.39999999999998</v>
      </c>
      <c r="BI71" s="33">
        <f t="shared" si="58"/>
        <v>129.39999999999998</v>
      </c>
      <c r="BJ71" s="33">
        <f t="shared" si="58"/>
        <v>129.39999999999998</v>
      </c>
      <c r="BK71" s="33">
        <f t="shared" si="58"/>
        <v>129.39999999999998</v>
      </c>
      <c r="BL71" s="33">
        <f t="shared" si="58"/>
        <v>129.39999999999998</v>
      </c>
      <c r="BM71" s="33">
        <f t="shared" si="58"/>
        <v>129.39999999999998</v>
      </c>
      <c r="BN71" s="33">
        <f t="shared" si="58"/>
        <v>129.39999999999998</v>
      </c>
      <c r="BO71" s="33">
        <f t="shared" si="58"/>
        <v>129.39999999999998</v>
      </c>
      <c r="BP71" s="33">
        <f t="shared" ref="BP71:CI71" si="59">BP69*$B$6</f>
        <v>129.39999999999998</v>
      </c>
      <c r="BQ71" s="33">
        <f t="shared" si="59"/>
        <v>129.39999999999998</v>
      </c>
      <c r="BR71" s="33">
        <f t="shared" si="59"/>
        <v>129.39999999999998</v>
      </c>
      <c r="BS71" s="33">
        <f t="shared" si="59"/>
        <v>129.39999999999998</v>
      </c>
      <c r="BT71" s="33">
        <f t="shared" si="59"/>
        <v>129.39999999999998</v>
      </c>
      <c r="BU71" s="33">
        <f t="shared" si="59"/>
        <v>129.39999999999998</v>
      </c>
      <c r="BV71" s="33">
        <f t="shared" si="59"/>
        <v>129.39999999999998</v>
      </c>
      <c r="BW71" s="33">
        <f t="shared" si="59"/>
        <v>129.39999999999998</v>
      </c>
      <c r="BX71" s="33">
        <f t="shared" si="59"/>
        <v>129.39999999999998</v>
      </c>
      <c r="BY71" s="33">
        <f t="shared" si="59"/>
        <v>129.39999999999998</v>
      </c>
      <c r="BZ71" s="33">
        <f t="shared" si="59"/>
        <v>129.39999999999998</v>
      </c>
      <c r="CA71" s="33">
        <f t="shared" si="59"/>
        <v>129.39999999999998</v>
      </c>
      <c r="CB71" s="33">
        <f t="shared" si="59"/>
        <v>129.39999999999998</v>
      </c>
      <c r="CC71" s="33">
        <f t="shared" si="59"/>
        <v>129.39999999999998</v>
      </c>
      <c r="CD71" s="33">
        <f t="shared" si="59"/>
        <v>129.39999999999998</v>
      </c>
      <c r="CE71" s="33">
        <f t="shared" si="59"/>
        <v>129.39999999999998</v>
      </c>
      <c r="CF71" s="33">
        <f t="shared" si="59"/>
        <v>129.39999999999998</v>
      </c>
      <c r="CG71" s="33">
        <f t="shared" si="59"/>
        <v>129.39999999999998</v>
      </c>
      <c r="CH71" s="33">
        <f t="shared" si="59"/>
        <v>129.39999999999998</v>
      </c>
      <c r="CI71" s="33">
        <f t="shared" si="59"/>
        <v>129.39999999999998</v>
      </c>
    </row>
    <row r="72" spans="1:87" ht="16">
      <c r="A72" s="6" t="s">
        <v>589</v>
      </c>
      <c r="B72" s="30" t="s">
        <v>465</v>
      </c>
      <c r="C72" s="15"/>
      <c r="D72" s="33">
        <f>D67*'1_PANEL_CONTROL'!$E$44</f>
        <v>0</v>
      </c>
      <c r="E72" s="33">
        <f>E67*'1_PANEL_CONTROL'!$E$44</f>
        <v>0</v>
      </c>
      <c r="F72" s="33">
        <f>F67*'1_PANEL_CONTROL'!$E$44</f>
        <v>0</v>
      </c>
      <c r="G72" s="33">
        <f>G67*'1_PANEL_CONTROL'!$E$44</f>
        <v>0</v>
      </c>
      <c r="H72" s="33">
        <f>H67*'1_PANEL_CONTROL'!$E$44</f>
        <v>0</v>
      </c>
      <c r="I72" s="33">
        <f>I67*'1_PANEL_CONTROL'!$E$44</f>
        <v>0</v>
      </c>
      <c r="J72" s="33">
        <f>J67*'1_PANEL_CONTROL'!$E$44</f>
        <v>0</v>
      </c>
      <c r="K72" s="33">
        <f>K67*'1_PANEL_CONTROL'!$E$44</f>
        <v>0</v>
      </c>
      <c r="L72" s="33">
        <f>L67*'1_PANEL_CONTROL'!$E$44</f>
        <v>0</v>
      </c>
      <c r="M72" s="33">
        <f>M67*'1_PANEL_CONTROL'!$E$44</f>
        <v>0</v>
      </c>
      <c r="N72" s="33">
        <f>N67*'1_PANEL_CONTROL'!$E$44</f>
        <v>0</v>
      </c>
      <c r="O72" s="33">
        <f>O67*'1_PANEL_CONTROL'!$E$44</f>
        <v>0</v>
      </c>
      <c r="P72" s="33">
        <f>P67*'1_PANEL_CONTROL'!$E$44</f>
        <v>280</v>
      </c>
      <c r="Q72" s="33">
        <f>Q67*'1_PANEL_CONTROL'!$E$44</f>
        <v>280</v>
      </c>
      <c r="R72" s="33">
        <f>R67*'1_PANEL_CONTROL'!$E$44</f>
        <v>280</v>
      </c>
      <c r="S72" s="33">
        <f>S67*'1_PANEL_CONTROL'!$E$44</f>
        <v>280</v>
      </c>
      <c r="T72" s="33">
        <f>T67*'1_PANEL_CONTROL'!$E$44</f>
        <v>280</v>
      </c>
      <c r="U72" s="33">
        <f>U67*'1_PANEL_CONTROL'!$E$44</f>
        <v>280</v>
      </c>
      <c r="V72" s="33">
        <f>V67*'1_PANEL_CONTROL'!$E$44</f>
        <v>280</v>
      </c>
      <c r="W72" s="33">
        <f>W67*'1_PANEL_CONTROL'!$E$44</f>
        <v>280</v>
      </c>
      <c r="X72" s="33">
        <f>X67*'1_PANEL_CONTROL'!$E$44</f>
        <v>280</v>
      </c>
      <c r="Y72" s="33">
        <f>Y67*'1_PANEL_CONTROL'!$E$44</f>
        <v>280</v>
      </c>
      <c r="Z72" s="33">
        <f>Z67*'1_PANEL_CONTROL'!$E$44</f>
        <v>280</v>
      </c>
      <c r="AA72" s="33">
        <f>AA67*'1_PANEL_CONTROL'!$E$44</f>
        <v>280</v>
      </c>
      <c r="AB72" s="33">
        <f>AB67*'1_PANEL_CONTROL'!$E$44</f>
        <v>280</v>
      </c>
      <c r="AC72" s="33">
        <f>AC67*'1_PANEL_CONTROL'!$E$44</f>
        <v>280</v>
      </c>
      <c r="AD72" s="33">
        <f>AD67*'1_PANEL_CONTROL'!$E$44</f>
        <v>280</v>
      </c>
      <c r="AE72" s="33">
        <f>AE67*'1_PANEL_CONTROL'!$E$44</f>
        <v>280</v>
      </c>
      <c r="AF72" s="33">
        <f>AF67*'1_PANEL_CONTROL'!$E$44</f>
        <v>280</v>
      </c>
      <c r="AG72" s="33">
        <f>AG67*'1_PANEL_CONTROL'!$E$44</f>
        <v>280</v>
      </c>
      <c r="AH72" s="33">
        <f>AH67*'1_PANEL_CONTROL'!$E$44</f>
        <v>280</v>
      </c>
      <c r="AI72" s="33">
        <f>AI67*'1_PANEL_CONTROL'!$E$44</f>
        <v>280</v>
      </c>
      <c r="AJ72" s="33">
        <f>AJ67*'1_PANEL_CONTROL'!$E$44</f>
        <v>280</v>
      </c>
      <c r="AK72" s="33">
        <f>AK67*'1_PANEL_CONTROL'!$E$44</f>
        <v>280</v>
      </c>
      <c r="AL72" s="33">
        <f>AL67*'1_PANEL_CONTROL'!$E$44</f>
        <v>280</v>
      </c>
      <c r="AM72" s="33">
        <f>AM67*'1_PANEL_CONTROL'!$E$44</f>
        <v>280</v>
      </c>
      <c r="AN72" s="33">
        <f>AN67*'1_PANEL_CONTROL'!$E$44</f>
        <v>280</v>
      </c>
      <c r="AO72" s="33">
        <f>AO67*'1_PANEL_CONTROL'!$E$44</f>
        <v>280</v>
      </c>
      <c r="AP72" s="33">
        <f>AP67*'1_PANEL_CONTROL'!$E$44</f>
        <v>280</v>
      </c>
      <c r="AQ72" s="33">
        <f>AQ67*'1_PANEL_CONTROL'!$E$44</f>
        <v>280</v>
      </c>
      <c r="AR72" s="33">
        <f>AR67*'1_PANEL_CONTROL'!$E$44</f>
        <v>280</v>
      </c>
      <c r="AS72" s="33">
        <f>AS67*'1_PANEL_CONTROL'!$E$44</f>
        <v>280</v>
      </c>
      <c r="AT72" s="33">
        <f>AT67*'1_PANEL_CONTROL'!$E$44</f>
        <v>280</v>
      </c>
      <c r="AU72" s="33">
        <f>AU67*'1_PANEL_CONTROL'!$E$44</f>
        <v>280</v>
      </c>
      <c r="AV72" s="33">
        <f>AV67*'1_PANEL_CONTROL'!$E$44</f>
        <v>280</v>
      </c>
      <c r="AW72" s="33">
        <f>AW67*'1_PANEL_CONTROL'!$E$44</f>
        <v>280</v>
      </c>
      <c r="AX72" s="33">
        <f>AX67*'1_PANEL_CONTROL'!$E$44</f>
        <v>280</v>
      </c>
      <c r="AY72" s="33">
        <f>AY67*'1_PANEL_CONTROL'!$E$44</f>
        <v>280</v>
      </c>
      <c r="AZ72" s="33">
        <f>AZ67*'1_PANEL_CONTROL'!$E$44</f>
        <v>280</v>
      </c>
      <c r="BA72" s="33">
        <f>BA67*'1_PANEL_CONTROL'!$E$44</f>
        <v>280</v>
      </c>
      <c r="BB72" s="33">
        <f>BB67*'1_PANEL_CONTROL'!$E$44</f>
        <v>280</v>
      </c>
      <c r="BC72" s="33">
        <f>BC67*'1_PANEL_CONTROL'!$E$44</f>
        <v>280</v>
      </c>
      <c r="BD72" s="33">
        <f>BD67*'1_PANEL_CONTROL'!$E$44</f>
        <v>280</v>
      </c>
      <c r="BE72" s="33">
        <f>BE67*'1_PANEL_CONTROL'!$E$44</f>
        <v>280</v>
      </c>
      <c r="BF72" s="33">
        <f>BF67*'1_PANEL_CONTROL'!$E$44</f>
        <v>280</v>
      </c>
      <c r="BG72" s="33">
        <f>BG67*'1_PANEL_CONTROL'!$E$44</f>
        <v>280</v>
      </c>
      <c r="BH72" s="33">
        <f>BH67*'1_PANEL_CONTROL'!$E$44</f>
        <v>280</v>
      </c>
      <c r="BI72" s="33">
        <f>BI67*'1_PANEL_CONTROL'!$E$44</f>
        <v>280</v>
      </c>
      <c r="BJ72" s="33">
        <f>BJ67*'1_PANEL_CONTROL'!$E$44</f>
        <v>280</v>
      </c>
      <c r="BK72" s="33">
        <f>BK67*'1_PANEL_CONTROL'!$E$44</f>
        <v>280</v>
      </c>
      <c r="BL72" s="33">
        <f>BL67*'1_PANEL_CONTROL'!$E$44</f>
        <v>280</v>
      </c>
      <c r="BM72" s="33">
        <f>BM67*'1_PANEL_CONTROL'!$E$44</f>
        <v>280</v>
      </c>
      <c r="BN72" s="33">
        <f>BN67*'1_PANEL_CONTROL'!$E$44</f>
        <v>280</v>
      </c>
      <c r="BO72" s="33">
        <f>BO67*'1_PANEL_CONTROL'!$E$44</f>
        <v>280</v>
      </c>
      <c r="BP72" s="33">
        <f>BP67*'1_PANEL_CONTROL'!$E$44</f>
        <v>280</v>
      </c>
      <c r="BQ72" s="33">
        <f>BQ67*'1_PANEL_CONTROL'!$E$44</f>
        <v>280</v>
      </c>
      <c r="BR72" s="33">
        <f>BR67*'1_PANEL_CONTROL'!$E$44</f>
        <v>280</v>
      </c>
      <c r="BS72" s="33">
        <f>BS67*'1_PANEL_CONTROL'!$E$44</f>
        <v>280</v>
      </c>
      <c r="BT72" s="33">
        <f>BT67*'1_PANEL_CONTROL'!$E$44</f>
        <v>280</v>
      </c>
      <c r="BU72" s="33">
        <f>BU67*'1_PANEL_CONTROL'!$E$44</f>
        <v>280</v>
      </c>
      <c r="BV72" s="33">
        <f>BV67*'1_PANEL_CONTROL'!$E$44</f>
        <v>280</v>
      </c>
      <c r="BW72" s="33">
        <f>BW67*'1_PANEL_CONTROL'!$E$44</f>
        <v>280</v>
      </c>
      <c r="BX72" s="33">
        <f>BX67*'1_PANEL_CONTROL'!$E$44</f>
        <v>280</v>
      </c>
      <c r="BY72" s="33">
        <f>BY67*'1_PANEL_CONTROL'!$E$44</f>
        <v>280</v>
      </c>
      <c r="BZ72" s="33">
        <f>BZ67*'1_PANEL_CONTROL'!$E$44</f>
        <v>280</v>
      </c>
      <c r="CA72" s="33">
        <f>CA67*'1_PANEL_CONTROL'!$E$44</f>
        <v>280</v>
      </c>
      <c r="CB72" s="33">
        <f>CB67*'1_PANEL_CONTROL'!$E$44</f>
        <v>280</v>
      </c>
      <c r="CC72" s="33">
        <f>CC67*'1_PANEL_CONTROL'!$E$44</f>
        <v>280</v>
      </c>
      <c r="CD72" s="33">
        <f>CD67*'1_PANEL_CONTROL'!$E$44</f>
        <v>280</v>
      </c>
      <c r="CE72" s="33">
        <f>CE67*'1_PANEL_CONTROL'!$E$44</f>
        <v>280</v>
      </c>
      <c r="CF72" s="33">
        <f>CF67*'1_PANEL_CONTROL'!$E$44</f>
        <v>280</v>
      </c>
      <c r="CG72" s="33">
        <f>CG67*'1_PANEL_CONTROL'!$E$44</f>
        <v>280</v>
      </c>
      <c r="CH72" s="33">
        <f>CH67*'1_PANEL_CONTROL'!$E$44</f>
        <v>280</v>
      </c>
      <c r="CI72" s="33">
        <f>CI67*'1_PANEL_CONTROL'!$E$44</f>
        <v>280</v>
      </c>
    </row>
    <row r="73" spans="1:87" ht="16">
      <c r="A73" s="6" t="s">
        <v>590</v>
      </c>
      <c r="B73" s="30" t="s">
        <v>465</v>
      </c>
      <c r="C73" s="15"/>
      <c r="D73" s="33">
        <f t="shared" ref="D73:AI73" si="60">D67-D71-D72</f>
        <v>0</v>
      </c>
      <c r="E73" s="33">
        <f t="shared" si="60"/>
        <v>0</v>
      </c>
      <c r="F73" s="33">
        <f t="shared" si="60"/>
        <v>0</v>
      </c>
      <c r="G73" s="33">
        <f t="shared" si="60"/>
        <v>0</v>
      </c>
      <c r="H73" s="33">
        <f t="shared" si="60"/>
        <v>0</v>
      </c>
      <c r="I73" s="33">
        <f t="shared" si="60"/>
        <v>0</v>
      </c>
      <c r="J73" s="33">
        <f t="shared" si="60"/>
        <v>0</v>
      </c>
      <c r="K73" s="33">
        <f t="shared" si="60"/>
        <v>0</v>
      </c>
      <c r="L73" s="33">
        <f t="shared" si="60"/>
        <v>0</v>
      </c>
      <c r="M73" s="33">
        <f t="shared" si="60"/>
        <v>0</v>
      </c>
      <c r="N73" s="33">
        <f t="shared" si="60"/>
        <v>0</v>
      </c>
      <c r="O73" s="33">
        <f t="shared" si="60"/>
        <v>0</v>
      </c>
      <c r="P73" s="33">
        <f t="shared" si="60"/>
        <v>1590.6</v>
      </c>
      <c r="Q73" s="33">
        <f t="shared" si="60"/>
        <v>1590.6</v>
      </c>
      <c r="R73" s="33">
        <f t="shared" si="60"/>
        <v>1590.6</v>
      </c>
      <c r="S73" s="33">
        <f t="shared" si="60"/>
        <v>1590.6</v>
      </c>
      <c r="T73" s="33">
        <f t="shared" si="60"/>
        <v>1590.6</v>
      </c>
      <c r="U73" s="33">
        <f t="shared" si="60"/>
        <v>1590.6</v>
      </c>
      <c r="V73" s="33">
        <f t="shared" si="60"/>
        <v>1590.6</v>
      </c>
      <c r="W73" s="33">
        <f t="shared" si="60"/>
        <v>1590.6</v>
      </c>
      <c r="X73" s="33">
        <f t="shared" si="60"/>
        <v>1590.6</v>
      </c>
      <c r="Y73" s="33">
        <f t="shared" si="60"/>
        <v>1590.6</v>
      </c>
      <c r="Z73" s="33">
        <f t="shared" si="60"/>
        <v>1590.6</v>
      </c>
      <c r="AA73" s="33">
        <f t="shared" si="60"/>
        <v>1590.6</v>
      </c>
      <c r="AB73" s="33">
        <f t="shared" si="60"/>
        <v>1590.6</v>
      </c>
      <c r="AC73" s="33">
        <f t="shared" si="60"/>
        <v>1590.6</v>
      </c>
      <c r="AD73" s="33">
        <f t="shared" si="60"/>
        <v>1590.6</v>
      </c>
      <c r="AE73" s="33">
        <f t="shared" si="60"/>
        <v>1590.6</v>
      </c>
      <c r="AF73" s="33">
        <f t="shared" si="60"/>
        <v>1590.6</v>
      </c>
      <c r="AG73" s="33">
        <f t="shared" si="60"/>
        <v>1590.6</v>
      </c>
      <c r="AH73" s="33">
        <f t="shared" si="60"/>
        <v>1590.6</v>
      </c>
      <c r="AI73" s="33">
        <f t="shared" si="60"/>
        <v>1590.6</v>
      </c>
      <c r="AJ73" s="33">
        <f t="shared" ref="AJ73:BO73" si="61">AJ67-AJ71-AJ72</f>
        <v>1590.6</v>
      </c>
      <c r="AK73" s="33">
        <f t="shared" si="61"/>
        <v>1590.6</v>
      </c>
      <c r="AL73" s="33">
        <f t="shared" si="61"/>
        <v>1590.6</v>
      </c>
      <c r="AM73" s="33">
        <f t="shared" si="61"/>
        <v>1590.6</v>
      </c>
      <c r="AN73" s="33">
        <f t="shared" si="61"/>
        <v>1590.6</v>
      </c>
      <c r="AO73" s="33">
        <f t="shared" si="61"/>
        <v>1590.6</v>
      </c>
      <c r="AP73" s="33">
        <f t="shared" si="61"/>
        <v>1590.6</v>
      </c>
      <c r="AQ73" s="33">
        <f t="shared" si="61"/>
        <v>1590.6</v>
      </c>
      <c r="AR73" s="33">
        <f t="shared" si="61"/>
        <v>1590.6</v>
      </c>
      <c r="AS73" s="33">
        <f t="shared" si="61"/>
        <v>1590.6</v>
      </c>
      <c r="AT73" s="33">
        <f t="shared" si="61"/>
        <v>1590.6</v>
      </c>
      <c r="AU73" s="33">
        <f t="shared" si="61"/>
        <v>1590.6</v>
      </c>
      <c r="AV73" s="33">
        <f t="shared" si="61"/>
        <v>1590.6</v>
      </c>
      <c r="AW73" s="33">
        <f t="shared" si="61"/>
        <v>1590.6</v>
      </c>
      <c r="AX73" s="33">
        <f t="shared" si="61"/>
        <v>1590.6</v>
      </c>
      <c r="AY73" s="33">
        <f t="shared" si="61"/>
        <v>1590.6</v>
      </c>
      <c r="AZ73" s="33">
        <f t="shared" si="61"/>
        <v>1590.6</v>
      </c>
      <c r="BA73" s="33">
        <f t="shared" si="61"/>
        <v>1590.6</v>
      </c>
      <c r="BB73" s="33">
        <f t="shared" si="61"/>
        <v>1590.6</v>
      </c>
      <c r="BC73" s="33">
        <f t="shared" si="61"/>
        <v>1590.6</v>
      </c>
      <c r="BD73" s="33">
        <f t="shared" si="61"/>
        <v>1590.6</v>
      </c>
      <c r="BE73" s="33">
        <f t="shared" si="61"/>
        <v>1590.6</v>
      </c>
      <c r="BF73" s="33">
        <f t="shared" si="61"/>
        <v>1590.6</v>
      </c>
      <c r="BG73" s="33">
        <f t="shared" si="61"/>
        <v>1590.6</v>
      </c>
      <c r="BH73" s="33">
        <f t="shared" si="61"/>
        <v>1590.6</v>
      </c>
      <c r="BI73" s="33">
        <f t="shared" si="61"/>
        <v>1590.6</v>
      </c>
      <c r="BJ73" s="33">
        <f t="shared" si="61"/>
        <v>1590.6</v>
      </c>
      <c r="BK73" s="33">
        <f t="shared" si="61"/>
        <v>1590.6</v>
      </c>
      <c r="BL73" s="33">
        <f t="shared" si="61"/>
        <v>1590.6</v>
      </c>
      <c r="BM73" s="33">
        <f t="shared" si="61"/>
        <v>1590.6</v>
      </c>
      <c r="BN73" s="33">
        <f t="shared" si="61"/>
        <v>1590.6</v>
      </c>
      <c r="BO73" s="33">
        <f t="shared" si="61"/>
        <v>1590.6</v>
      </c>
      <c r="BP73" s="33">
        <f t="shared" ref="BP73:CU73" si="62">BP67-BP71-BP72</f>
        <v>1590.6</v>
      </c>
      <c r="BQ73" s="33">
        <f t="shared" si="62"/>
        <v>1590.6</v>
      </c>
      <c r="BR73" s="33">
        <f t="shared" si="62"/>
        <v>1590.6</v>
      </c>
      <c r="BS73" s="33">
        <f t="shared" si="62"/>
        <v>1590.6</v>
      </c>
      <c r="BT73" s="33">
        <f t="shared" si="62"/>
        <v>1590.6</v>
      </c>
      <c r="BU73" s="33">
        <f t="shared" si="62"/>
        <v>1590.6</v>
      </c>
      <c r="BV73" s="33">
        <f t="shared" si="62"/>
        <v>1590.6</v>
      </c>
      <c r="BW73" s="33">
        <f t="shared" si="62"/>
        <v>1590.6</v>
      </c>
      <c r="BX73" s="33">
        <f t="shared" si="62"/>
        <v>1590.6</v>
      </c>
      <c r="BY73" s="33">
        <f t="shared" si="62"/>
        <v>1590.6</v>
      </c>
      <c r="BZ73" s="33">
        <f t="shared" si="62"/>
        <v>1590.6</v>
      </c>
      <c r="CA73" s="33">
        <f t="shared" si="62"/>
        <v>1590.6</v>
      </c>
      <c r="CB73" s="33">
        <f t="shared" si="62"/>
        <v>1590.6</v>
      </c>
      <c r="CC73" s="33">
        <f t="shared" si="62"/>
        <v>1590.6</v>
      </c>
      <c r="CD73" s="33">
        <f t="shared" si="62"/>
        <v>1590.6</v>
      </c>
      <c r="CE73" s="33">
        <f t="shared" si="62"/>
        <v>1590.6</v>
      </c>
      <c r="CF73" s="33">
        <f t="shared" si="62"/>
        <v>1590.6</v>
      </c>
      <c r="CG73" s="33">
        <f t="shared" si="62"/>
        <v>1590.6</v>
      </c>
      <c r="CH73" s="33">
        <f t="shared" si="62"/>
        <v>1590.6</v>
      </c>
      <c r="CI73" s="33">
        <f t="shared" si="62"/>
        <v>1590.6</v>
      </c>
    </row>
    <row r="74" spans="1:87" ht="16">
      <c r="A74" s="5" t="s">
        <v>591</v>
      </c>
      <c r="B74" s="30" t="s">
        <v>465</v>
      </c>
      <c r="C74" s="15"/>
      <c r="D74" s="36">
        <f t="shared" ref="D74:AI74" si="63">D67+D70</f>
        <v>0</v>
      </c>
      <c r="E74" s="36">
        <f t="shared" si="63"/>
        <v>0</v>
      </c>
      <c r="F74" s="36">
        <f t="shared" si="63"/>
        <v>0</v>
      </c>
      <c r="G74" s="36">
        <f t="shared" si="63"/>
        <v>0</v>
      </c>
      <c r="H74" s="36">
        <f t="shared" si="63"/>
        <v>0</v>
      </c>
      <c r="I74" s="36">
        <f t="shared" si="63"/>
        <v>0</v>
      </c>
      <c r="J74" s="36">
        <f t="shared" si="63"/>
        <v>0</v>
      </c>
      <c r="K74" s="36">
        <f t="shared" si="63"/>
        <v>0</v>
      </c>
      <c r="L74" s="36">
        <f t="shared" si="63"/>
        <v>0</v>
      </c>
      <c r="M74" s="36">
        <f t="shared" si="63"/>
        <v>0</v>
      </c>
      <c r="N74" s="36">
        <f t="shared" si="63"/>
        <v>0</v>
      </c>
      <c r="O74" s="36">
        <f t="shared" si="63"/>
        <v>0</v>
      </c>
      <c r="P74" s="36">
        <f t="shared" si="63"/>
        <v>2642</v>
      </c>
      <c r="Q74" s="36">
        <f t="shared" si="63"/>
        <v>2642</v>
      </c>
      <c r="R74" s="36">
        <f t="shared" si="63"/>
        <v>2642</v>
      </c>
      <c r="S74" s="36">
        <f t="shared" si="63"/>
        <v>2642</v>
      </c>
      <c r="T74" s="36">
        <f t="shared" si="63"/>
        <v>2642</v>
      </c>
      <c r="U74" s="36">
        <f t="shared" si="63"/>
        <v>2642</v>
      </c>
      <c r="V74" s="36">
        <f t="shared" si="63"/>
        <v>2642</v>
      </c>
      <c r="W74" s="36">
        <f t="shared" si="63"/>
        <v>2642</v>
      </c>
      <c r="X74" s="36">
        <f t="shared" si="63"/>
        <v>2642</v>
      </c>
      <c r="Y74" s="36">
        <f t="shared" si="63"/>
        <v>2642</v>
      </c>
      <c r="Z74" s="36">
        <f t="shared" si="63"/>
        <v>2642</v>
      </c>
      <c r="AA74" s="36">
        <f t="shared" si="63"/>
        <v>2642</v>
      </c>
      <c r="AB74" s="36">
        <f t="shared" si="63"/>
        <v>2642</v>
      </c>
      <c r="AC74" s="36">
        <f t="shared" si="63"/>
        <v>2642</v>
      </c>
      <c r="AD74" s="36">
        <f t="shared" si="63"/>
        <v>2642</v>
      </c>
      <c r="AE74" s="36">
        <f t="shared" si="63"/>
        <v>2642</v>
      </c>
      <c r="AF74" s="36">
        <f t="shared" si="63"/>
        <v>2642</v>
      </c>
      <c r="AG74" s="36">
        <f t="shared" si="63"/>
        <v>2642</v>
      </c>
      <c r="AH74" s="36">
        <f t="shared" si="63"/>
        <v>2642</v>
      </c>
      <c r="AI74" s="36">
        <f t="shared" si="63"/>
        <v>2642</v>
      </c>
      <c r="AJ74" s="36">
        <f t="shared" ref="AJ74:BO74" si="64">AJ67+AJ70</f>
        <v>2642</v>
      </c>
      <c r="AK74" s="36">
        <f t="shared" si="64"/>
        <v>2642</v>
      </c>
      <c r="AL74" s="36">
        <f t="shared" si="64"/>
        <v>2642</v>
      </c>
      <c r="AM74" s="36">
        <f t="shared" si="64"/>
        <v>2642</v>
      </c>
      <c r="AN74" s="36">
        <f t="shared" si="64"/>
        <v>2642</v>
      </c>
      <c r="AO74" s="36">
        <f t="shared" si="64"/>
        <v>2642</v>
      </c>
      <c r="AP74" s="36">
        <f t="shared" si="64"/>
        <v>2642</v>
      </c>
      <c r="AQ74" s="36">
        <f t="shared" si="64"/>
        <v>2642</v>
      </c>
      <c r="AR74" s="36">
        <f t="shared" si="64"/>
        <v>2642</v>
      </c>
      <c r="AS74" s="36">
        <f t="shared" si="64"/>
        <v>2642</v>
      </c>
      <c r="AT74" s="36">
        <f t="shared" si="64"/>
        <v>2642</v>
      </c>
      <c r="AU74" s="36">
        <f t="shared" si="64"/>
        <v>2642</v>
      </c>
      <c r="AV74" s="36">
        <f t="shared" si="64"/>
        <v>2642</v>
      </c>
      <c r="AW74" s="36">
        <f t="shared" si="64"/>
        <v>2642</v>
      </c>
      <c r="AX74" s="36">
        <f t="shared" si="64"/>
        <v>2642</v>
      </c>
      <c r="AY74" s="36">
        <f t="shared" si="64"/>
        <v>2642</v>
      </c>
      <c r="AZ74" s="36">
        <f t="shared" si="64"/>
        <v>2642</v>
      </c>
      <c r="BA74" s="36">
        <f t="shared" si="64"/>
        <v>2642</v>
      </c>
      <c r="BB74" s="36">
        <f t="shared" si="64"/>
        <v>2642</v>
      </c>
      <c r="BC74" s="36">
        <f t="shared" si="64"/>
        <v>2642</v>
      </c>
      <c r="BD74" s="36">
        <f t="shared" si="64"/>
        <v>2642</v>
      </c>
      <c r="BE74" s="36">
        <f t="shared" si="64"/>
        <v>2642</v>
      </c>
      <c r="BF74" s="36">
        <f t="shared" si="64"/>
        <v>2642</v>
      </c>
      <c r="BG74" s="36">
        <f t="shared" si="64"/>
        <v>2642</v>
      </c>
      <c r="BH74" s="36">
        <f t="shared" si="64"/>
        <v>2642</v>
      </c>
      <c r="BI74" s="36">
        <f t="shared" si="64"/>
        <v>2642</v>
      </c>
      <c r="BJ74" s="36">
        <f t="shared" si="64"/>
        <v>2642</v>
      </c>
      <c r="BK74" s="36">
        <f t="shared" si="64"/>
        <v>2642</v>
      </c>
      <c r="BL74" s="36">
        <f t="shared" si="64"/>
        <v>2642</v>
      </c>
      <c r="BM74" s="36">
        <f t="shared" si="64"/>
        <v>2642</v>
      </c>
      <c r="BN74" s="36">
        <f t="shared" si="64"/>
        <v>2642</v>
      </c>
      <c r="BO74" s="36">
        <f t="shared" si="64"/>
        <v>2642</v>
      </c>
      <c r="BP74" s="36">
        <f t="shared" ref="BP74:CI74" si="65">BP67+BP70</f>
        <v>2642</v>
      </c>
      <c r="BQ74" s="36">
        <f t="shared" si="65"/>
        <v>2642</v>
      </c>
      <c r="BR74" s="36">
        <f t="shared" si="65"/>
        <v>2642</v>
      </c>
      <c r="BS74" s="36">
        <f t="shared" si="65"/>
        <v>2642</v>
      </c>
      <c r="BT74" s="36">
        <f t="shared" si="65"/>
        <v>2642</v>
      </c>
      <c r="BU74" s="36">
        <f t="shared" si="65"/>
        <v>2642</v>
      </c>
      <c r="BV74" s="36">
        <f t="shared" si="65"/>
        <v>2642</v>
      </c>
      <c r="BW74" s="36">
        <f t="shared" si="65"/>
        <v>2642</v>
      </c>
      <c r="BX74" s="36">
        <f t="shared" si="65"/>
        <v>2642</v>
      </c>
      <c r="BY74" s="36">
        <f t="shared" si="65"/>
        <v>2642</v>
      </c>
      <c r="BZ74" s="36">
        <f t="shared" si="65"/>
        <v>2642</v>
      </c>
      <c r="CA74" s="36">
        <f t="shared" si="65"/>
        <v>2642</v>
      </c>
      <c r="CB74" s="36">
        <f t="shared" si="65"/>
        <v>2642</v>
      </c>
      <c r="CC74" s="36">
        <f t="shared" si="65"/>
        <v>2642</v>
      </c>
      <c r="CD74" s="36">
        <f t="shared" si="65"/>
        <v>2642</v>
      </c>
      <c r="CE74" s="36">
        <f t="shared" si="65"/>
        <v>2642</v>
      </c>
      <c r="CF74" s="36">
        <f t="shared" si="65"/>
        <v>2642</v>
      </c>
      <c r="CG74" s="36">
        <f t="shared" si="65"/>
        <v>2642</v>
      </c>
      <c r="CH74" s="36">
        <f t="shared" si="65"/>
        <v>2642</v>
      </c>
      <c r="CI74" s="36">
        <f t="shared" si="65"/>
        <v>2642</v>
      </c>
    </row>
    <row r="76" spans="1:87" ht="16.5">
      <c r="A76" s="6" t="s">
        <v>582</v>
      </c>
      <c r="B76" s="30" t="s">
        <v>465</v>
      </c>
      <c r="C76" s="44">
        <f>'1_PANEL_CONTROL'!$C$45</f>
        <v>30000</v>
      </c>
      <c r="D76" s="33">
        <f>IF(D$8&gt;='1_PANEL_CONTROL'!$D$45, '1_PANEL_CONTROL'!$C$45/'1_PANEL_CONTROL'!$C$32, 0)</f>
        <v>0</v>
      </c>
      <c r="E76" s="33">
        <f>IF(E$8&gt;='1_PANEL_CONTROL'!$D$45, '1_PANEL_CONTROL'!$C$45/'1_PANEL_CONTROL'!$C$32, 0)</f>
        <v>0</v>
      </c>
      <c r="F76" s="33">
        <f>IF(F$8&gt;='1_PANEL_CONTROL'!$D$45, '1_PANEL_CONTROL'!$C$45/'1_PANEL_CONTROL'!$C$32, 0)</f>
        <v>0</v>
      </c>
      <c r="G76" s="33">
        <f>IF(G$8&gt;='1_PANEL_CONTROL'!$D$45, '1_PANEL_CONTROL'!$C$45/'1_PANEL_CONTROL'!$C$32, 0)</f>
        <v>0</v>
      </c>
      <c r="H76" s="33">
        <f>IF(H$8&gt;='1_PANEL_CONTROL'!$D$45, '1_PANEL_CONTROL'!$C$45/'1_PANEL_CONTROL'!$C$32, 0)</f>
        <v>0</v>
      </c>
      <c r="I76" s="33">
        <f>IF(I$8&gt;='1_PANEL_CONTROL'!$D$45, '1_PANEL_CONTROL'!$C$45/'1_PANEL_CONTROL'!$C$32, 0)</f>
        <v>0</v>
      </c>
      <c r="J76" s="33">
        <f>IF(J$8&gt;='1_PANEL_CONTROL'!$D$45, '1_PANEL_CONTROL'!$C$45/'1_PANEL_CONTROL'!$C$32, 0)</f>
        <v>0</v>
      </c>
      <c r="K76" s="33">
        <f>IF(K$8&gt;='1_PANEL_CONTROL'!$D$45, '1_PANEL_CONTROL'!$C$45/'1_PANEL_CONTROL'!$C$32, 0)</f>
        <v>0</v>
      </c>
      <c r="L76" s="33">
        <f>IF(L$8&gt;='1_PANEL_CONTROL'!$D$45, '1_PANEL_CONTROL'!$C$45/'1_PANEL_CONTROL'!$C$32, 0)</f>
        <v>0</v>
      </c>
      <c r="M76" s="33">
        <f>IF(M$8&gt;='1_PANEL_CONTROL'!$D$45, '1_PANEL_CONTROL'!$C$45/'1_PANEL_CONTROL'!$C$32, 0)</f>
        <v>0</v>
      </c>
      <c r="N76" s="33">
        <f>IF(N$8&gt;='1_PANEL_CONTROL'!$D$45, '1_PANEL_CONTROL'!$C$45/'1_PANEL_CONTROL'!$C$32, 0)</f>
        <v>0</v>
      </c>
      <c r="O76" s="33">
        <f>IF(O$8&gt;='1_PANEL_CONTROL'!$D$45, '1_PANEL_CONTROL'!$C$45/'1_PANEL_CONTROL'!$C$32, 0)</f>
        <v>0</v>
      </c>
      <c r="P76" s="33">
        <f>IF(P$8&gt;='1_PANEL_CONTROL'!$D$45, '1_PANEL_CONTROL'!$C$45/'1_PANEL_CONTROL'!$C$32, 0)</f>
        <v>2500</v>
      </c>
      <c r="Q76" s="33">
        <f>IF(Q$8&gt;='1_PANEL_CONTROL'!$D$45, '1_PANEL_CONTROL'!$C$45/'1_PANEL_CONTROL'!$C$32, 0)</f>
        <v>2500</v>
      </c>
      <c r="R76" s="33">
        <f>IF(R$8&gt;='1_PANEL_CONTROL'!$D$45, '1_PANEL_CONTROL'!$C$45/'1_PANEL_CONTROL'!$C$32, 0)</f>
        <v>2500</v>
      </c>
      <c r="S76" s="33">
        <f>IF(S$8&gt;='1_PANEL_CONTROL'!$D$45, '1_PANEL_CONTROL'!$C$45/'1_PANEL_CONTROL'!$C$32, 0)</f>
        <v>2500</v>
      </c>
      <c r="T76" s="33">
        <f>IF(T$8&gt;='1_PANEL_CONTROL'!$D$45, '1_PANEL_CONTROL'!$C$45/'1_PANEL_CONTROL'!$C$32, 0)</f>
        <v>2500</v>
      </c>
      <c r="U76" s="33">
        <f>IF(U$8&gt;='1_PANEL_CONTROL'!$D$45, '1_PANEL_CONTROL'!$C$45/'1_PANEL_CONTROL'!$C$32, 0)</f>
        <v>2500</v>
      </c>
      <c r="V76" s="33">
        <f>IF(V$8&gt;='1_PANEL_CONTROL'!$D$45, '1_PANEL_CONTROL'!$C$45/'1_PANEL_CONTROL'!$C$32, 0)</f>
        <v>2500</v>
      </c>
      <c r="W76" s="33">
        <f>IF(W$8&gt;='1_PANEL_CONTROL'!$D$45, '1_PANEL_CONTROL'!$C$45/'1_PANEL_CONTROL'!$C$32, 0)</f>
        <v>2500</v>
      </c>
      <c r="X76" s="33">
        <f>IF(X$8&gt;='1_PANEL_CONTROL'!$D$45, '1_PANEL_CONTROL'!$C$45/'1_PANEL_CONTROL'!$C$32, 0)</f>
        <v>2500</v>
      </c>
      <c r="Y76" s="33">
        <f>IF(Y$8&gt;='1_PANEL_CONTROL'!$D$45, '1_PANEL_CONTROL'!$C$45/'1_PANEL_CONTROL'!$C$32, 0)</f>
        <v>2500</v>
      </c>
      <c r="Z76" s="33">
        <f>IF(Z$8&gt;='1_PANEL_CONTROL'!$D$45, '1_PANEL_CONTROL'!$C$45/'1_PANEL_CONTROL'!$C$32, 0)</f>
        <v>2500</v>
      </c>
      <c r="AA76" s="33">
        <f>IF(AA$8&gt;='1_PANEL_CONTROL'!$D$45, '1_PANEL_CONTROL'!$C$45/'1_PANEL_CONTROL'!$C$32, 0)</f>
        <v>2500</v>
      </c>
      <c r="AB76" s="33">
        <f>IF(AB$8&gt;='1_PANEL_CONTROL'!$D$45, '1_PANEL_CONTROL'!$C$45/'1_PANEL_CONTROL'!$C$32, 0)</f>
        <v>2500</v>
      </c>
      <c r="AC76" s="33">
        <f>IF(AC$8&gt;='1_PANEL_CONTROL'!$D$45, '1_PANEL_CONTROL'!$C$45/'1_PANEL_CONTROL'!$C$32, 0)</f>
        <v>2500</v>
      </c>
      <c r="AD76" s="33">
        <f>IF(AD$8&gt;='1_PANEL_CONTROL'!$D$45, '1_PANEL_CONTROL'!$C$45/'1_PANEL_CONTROL'!$C$32, 0)</f>
        <v>2500</v>
      </c>
      <c r="AE76" s="33">
        <f>IF(AE$8&gt;='1_PANEL_CONTROL'!$D$45, '1_PANEL_CONTROL'!$C$45/'1_PANEL_CONTROL'!$C$32, 0)</f>
        <v>2500</v>
      </c>
      <c r="AF76" s="33">
        <f>IF(AF$8&gt;='1_PANEL_CONTROL'!$D$45, '1_PANEL_CONTROL'!$C$45/'1_PANEL_CONTROL'!$C$32, 0)</f>
        <v>2500</v>
      </c>
      <c r="AG76" s="33">
        <f>IF(AG$8&gt;='1_PANEL_CONTROL'!$D$45, '1_PANEL_CONTROL'!$C$45/'1_PANEL_CONTROL'!$C$32, 0)</f>
        <v>2500</v>
      </c>
      <c r="AH76" s="33">
        <f>IF(AH$8&gt;='1_PANEL_CONTROL'!$D$45, '1_PANEL_CONTROL'!$C$45/'1_PANEL_CONTROL'!$C$32, 0)</f>
        <v>2500</v>
      </c>
      <c r="AI76" s="33">
        <f>IF(AI$8&gt;='1_PANEL_CONTROL'!$D$45, '1_PANEL_CONTROL'!$C$45/'1_PANEL_CONTROL'!$C$32, 0)</f>
        <v>2500</v>
      </c>
      <c r="AJ76" s="33">
        <f>IF(AJ$8&gt;='1_PANEL_CONTROL'!$D$45, '1_PANEL_CONTROL'!$C$45/'1_PANEL_CONTROL'!$C$32, 0)</f>
        <v>2500</v>
      </c>
      <c r="AK76" s="33">
        <f>IF(AK$8&gt;='1_PANEL_CONTROL'!$D$45, '1_PANEL_CONTROL'!$C$45/'1_PANEL_CONTROL'!$C$32, 0)</f>
        <v>2500</v>
      </c>
      <c r="AL76" s="33">
        <f>IF(AL$8&gt;='1_PANEL_CONTROL'!$D$45, '1_PANEL_CONTROL'!$C$45/'1_PANEL_CONTROL'!$C$32, 0)</f>
        <v>2500</v>
      </c>
      <c r="AM76" s="33">
        <f>IF(AM$8&gt;='1_PANEL_CONTROL'!$D$45, '1_PANEL_CONTROL'!$C$45/'1_PANEL_CONTROL'!$C$32, 0)</f>
        <v>2500</v>
      </c>
      <c r="AN76" s="33">
        <f>IF(AN$8&gt;='1_PANEL_CONTROL'!$D$45, '1_PANEL_CONTROL'!$C$45/'1_PANEL_CONTROL'!$C$32, 0)</f>
        <v>2500</v>
      </c>
      <c r="AO76" s="33">
        <f>IF(AO$8&gt;='1_PANEL_CONTROL'!$D$45, '1_PANEL_CONTROL'!$C$45/'1_PANEL_CONTROL'!$C$32, 0)</f>
        <v>2500</v>
      </c>
      <c r="AP76" s="33">
        <f>IF(AP$8&gt;='1_PANEL_CONTROL'!$D$45, '1_PANEL_CONTROL'!$C$45/'1_PANEL_CONTROL'!$C$32, 0)</f>
        <v>2500</v>
      </c>
      <c r="AQ76" s="33">
        <f>IF(AQ$8&gt;='1_PANEL_CONTROL'!$D$45, '1_PANEL_CONTROL'!$C$45/'1_PANEL_CONTROL'!$C$32, 0)</f>
        <v>2500</v>
      </c>
      <c r="AR76" s="33">
        <f>IF(AR$8&gt;='1_PANEL_CONTROL'!$D$45, '1_PANEL_CONTROL'!$C$45/'1_PANEL_CONTROL'!$C$32, 0)</f>
        <v>2500</v>
      </c>
      <c r="AS76" s="33">
        <f>IF(AS$8&gt;='1_PANEL_CONTROL'!$D$45, '1_PANEL_CONTROL'!$C$45/'1_PANEL_CONTROL'!$C$32, 0)</f>
        <v>2500</v>
      </c>
      <c r="AT76" s="33">
        <f>IF(AT$8&gt;='1_PANEL_CONTROL'!$D$45, '1_PANEL_CONTROL'!$C$45/'1_PANEL_CONTROL'!$C$32, 0)</f>
        <v>2500</v>
      </c>
      <c r="AU76" s="33">
        <f>IF(AU$8&gt;='1_PANEL_CONTROL'!$D$45, '1_PANEL_CONTROL'!$C$45/'1_PANEL_CONTROL'!$C$32, 0)</f>
        <v>2500</v>
      </c>
      <c r="AV76" s="33">
        <f>IF(AV$8&gt;='1_PANEL_CONTROL'!$D$45, '1_PANEL_CONTROL'!$C$45/'1_PANEL_CONTROL'!$C$32, 0)</f>
        <v>2500</v>
      </c>
      <c r="AW76" s="33">
        <f>IF(AW$8&gt;='1_PANEL_CONTROL'!$D$45, '1_PANEL_CONTROL'!$C$45/'1_PANEL_CONTROL'!$C$32, 0)</f>
        <v>2500</v>
      </c>
      <c r="AX76" s="33">
        <f>IF(AX$8&gt;='1_PANEL_CONTROL'!$D$45, '1_PANEL_CONTROL'!$C$45/'1_PANEL_CONTROL'!$C$32, 0)</f>
        <v>2500</v>
      </c>
      <c r="AY76" s="33">
        <f>IF(AY$8&gt;='1_PANEL_CONTROL'!$D$45, '1_PANEL_CONTROL'!$C$45/'1_PANEL_CONTROL'!$C$32, 0)</f>
        <v>2500</v>
      </c>
      <c r="AZ76" s="33">
        <f>IF(AZ$8&gt;='1_PANEL_CONTROL'!$D$45, '1_PANEL_CONTROL'!$C$45/'1_PANEL_CONTROL'!$C$32, 0)</f>
        <v>2500</v>
      </c>
      <c r="BA76" s="33">
        <f>IF(BA$8&gt;='1_PANEL_CONTROL'!$D$45, '1_PANEL_CONTROL'!$C$45/'1_PANEL_CONTROL'!$C$32, 0)</f>
        <v>2500</v>
      </c>
      <c r="BB76" s="33">
        <f>IF(BB$8&gt;='1_PANEL_CONTROL'!$D$45, '1_PANEL_CONTROL'!$C$45/'1_PANEL_CONTROL'!$C$32, 0)</f>
        <v>2500</v>
      </c>
      <c r="BC76" s="33">
        <f>IF(BC$8&gt;='1_PANEL_CONTROL'!$D$45, '1_PANEL_CONTROL'!$C$45/'1_PANEL_CONTROL'!$C$32, 0)</f>
        <v>2500</v>
      </c>
      <c r="BD76" s="33">
        <f>IF(BD$8&gt;='1_PANEL_CONTROL'!$D$45, '1_PANEL_CONTROL'!$C$45/'1_PANEL_CONTROL'!$C$32, 0)</f>
        <v>2500</v>
      </c>
      <c r="BE76" s="33">
        <f>IF(BE$8&gt;='1_PANEL_CONTROL'!$D$45, '1_PANEL_CONTROL'!$C$45/'1_PANEL_CONTROL'!$C$32, 0)</f>
        <v>2500</v>
      </c>
      <c r="BF76" s="33">
        <f>IF(BF$8&gt;='1_PANEL_CONTROL'!$D$45, '1_PANEL_CONTROL'!$C$45/'1_PANEL_CONTROL'!$C$32, 0)</f>
        <v>2500</v>
      </c>
      <c r="BG76" s="33">
        <f>IF(BG$8&gt;='1_PANEL_CONTROL'!$D$45, '1_PANEL_CONTROL'!$C$45/'1_PANEL_CONTROL'!$C$32, 0)</f>
        <v>2500</v>
      </c>
      <c r="BH76" s="33">
        <f>IF(BH$8&gt;='1_PANEL_CONTROL'!$D$45, '1_PANEL_CONTROL'!$C$45/'1_PANEL_CONTROL'!$C$32, 0)</f>
        <v>2500</v>
      </c>
      <c r="BI76" s="33">
        <f>IF(BI$8&gt;='1_PANEL_CONTROL'!$D$45, '1_PANEL_CONTROL'!$C$45/'1_PANEL_CONTROL'!$C$32, 0)</f>
        <v>2500</v>
      </c>
      <c r="BJ76" s="33">
        <f>IF(BJ$8&gt;='1_PANEL_CONTROL'!$D$45, '1_PANEL_CONTROL'!$C$45/'1_PANEL_CONTROL'!$C$32, 0)</f>
        <v>2500</v>
      </c>
      <c r="BK76" s="33">
        <f>IF(BK$8&gt;='1_PANEL_CONTROL'!$D$45, '1_PANEL_CONTROL'!$C$45/'1_PANEL_CONTROL'!$C$32, 0)</f>
        <v>2500</v>
      </c>
      <c r="BL76" s="33">
        <f>IF(BL$8&gt;='1_PANEL_CONTROL'!$D$45, '1_PANEL_CONTROL'!$C$45/'1_PANEL_CONTROL'!$C$32, 0)</f>
        <v>2500</v>
      </c>
      <c r="BM76" s="33">
        <f>IF(BM$8&gt;='1_PANEL_CONTROL'!$D$45, '1_PANEL_CONTROL'!$C$45/'1_PANEL_CONTROL'!$C$32, 0)</f>
        <v>2500</v>
      </c>
      <c r="BN76" s="33">
        <f>IF(BN$8&gt;='1_PANEL_CONTROL'!$D$45, '1_PANEL_CONTROL'!$C$45/'1_PANEL_CONTROL'!$C$32, 0)</f>
        <v>2500</v>
      </c>
      <c r="BO76" s="33">
        <f>IF(BO$8&gt;='1_PANEL_CONTROL'!$D$45, '1_PANEL_CONTROL'!$C$45/'1_PANEL_CONTROL'!$C$32, 0)</f>
        <v>2500</v>
      </c>
      <c r="BP76" s="33">
        <f>IF(BP$8&gt;='1_PANEL_CONTROL'!$D$45, '1_PANEL_CONTROL'!$C$45/'1_PANEL_CONTROL'!$C$32, 0)</f>
        <v>2500</v>
      </c>
      <c r="BQ76" s="33">
        <f>IF(BQ$8&gt;='1_PANEL_CONTROL'!$D$45, '1_PANEL_CONTROL'!$C$45/'1_PANEL_CONTROL'!$C$32, 0)</f>
        <v>2500</v>
      </c>
      <c r="BR76" s="33">
        <f>IF(BR$8&gt;='1_PANEL_CONTROL'!$D$45, '1_PANEL_CONTROL'!$C$45/'1_PANEL_CONTROL'!$C$32, 0)</f>
        <v>2500</v>
      </c>
      <c r="BS76" s="33">
        <f>IF(BS$8&gt;='1_PANEL_CONTROL'!$D$45, '1_PANEL_CONTROL'!$C$45/'1_PANEL_CONTROL'!$C$32, 0)</f>
        <v>2500</v>
      </c>
      <c r="BT76" s="33">
        <f>IF(BT$8&gt;='1_PANEL_CONTROL'!$D$45, '1_PANEL_CONTROL'!$C$45/'1_PANEL_CONTROL'!$C$32, 0)</f>
        <v>2500</v>
      </c>
      <c r="BU76" s="33">
        <f>IF(BU$8&gt;='1_PANEL_CONTROL'!$D$45, '1_PANEL_CONTROL'!$C$45/'1_PANEL_CONTROL'!$C$32, 0)</f>
        <v>2500</v>
      </c>
      <c r="BV76" s="33">
        <f>IF(BV$8&gt;='1_PANEL_CONTROL'!$D$45, '1_PANEL_CONTROL'!$C$45/'1_PANEL_CONTROL'!$C$32, 0)</f>
        <v>2500</v>
      </c>
      <c r="BW76" s="33">
        <f>IF(BW$8&gt;='1_PANEL_CONTROL'!$D$45, '1_PANEL_CONTROL'!$C$45/'1_PANEL_CONTROL'!$C$32, 0)</f>
        <v>2500</v>
      </c>
      <c r="BX76" s="33">
        <f>IF(BX$8&gt;='1_PANEL_CONTROL'!$D$45, '1_PANEL_CONTROL'!$C$45/'1_PANEL_CONTROL'!$C$32, 0)</f>
        <v>2500</v>
      </c>
      <c r="BY76" s="33">
        <f>IF(BY$8&gt;='1_PANEL_CONTROL'!$D$45, '1_PANEL_CONTROL'!$C$45/'1_PANEL_CONTROL'!$C$32, 0)</f>
        <v>2500</v>
      </c>
      <c r="BZ76" s="33">
        <f>IF(BZ$8&gt;='1_PANEL_CONTROL'!$D$45, '1_PANEL_CONTROL'!$C$45/'1_PANEL_CONTROL'!$C$32, 0)</f>
        <v>2500</v>
      </c>
      <c r="CA76" s="33">
        <f>IF(CA$8&gt;='1_PANEL_CONTROL'!$D$45, '1_PANEL_CONTROL'!$C$45/'1_PANEL_CONTROL'!$C$32, 0)</f>
        <v>2500</v>
      </c>
      <c r="CB76" s="33">
        <f>IF(CB$8&gt;='1_PANEL_CONTROL'!$D$45, '1_PANEL_CONTROL'!$C$45/'1_PANEL_CONTROL'!$C$32, 0)</f>
        <v>2500</v>
      </c>
      <c r="CC76" s="33">
        <f>IF(CC$8&gt;='1_PANEL_CONTROL'!$D$45, '1_PANEL_CONTROL'!$C$45/'1_PANEL_CONTROL'!$C$32, 0)</f>
        <v>2500</v>
      </c>
      <c r="CD76" s="33">
        <f>IF(CD$8&gt;='1_PANEL_CONTROL'!$D$45, '1_PANEL_CONTROL'!$C$45/'1_PANEL_CONTROL'!$C$32, 0)</f>
        <v>2500</v>
      </c>
      <c r="CE76" s="33">
        <f>IF(CE$8&gt;='1_PANEL_CONTROL'!$D$45, '1_PANEL_CONTROL'!$C$45/'1_PANEL_CONTROL'!$C$32, 0)</f>
        <v>2500</v>
      </c>
      <c r="CF76" s="33">
        <f>IF(CF$8&gt;='1_PANEL_CONTROL'!$D$45, '1_PANEL_CONTROL'!$C$45/'1_PANEL_CONTROL'!$C$32, 0)</f>
        <v>2500</v>
      </c>
      <c r="CG76" s="33">
        <f>IF(CG$8&gt;='1_PANEL_CONTROL'!$D$45, '1_PANEL_CONTROL'!$C$45/'1_PANEL_CONTROL'!$C$32, 0)</f>
        <v>2500</v>
      </c>
      <c r="CH76" s="33">
        <f>IF(CH$8&gt;='1_PANEL_CONTROL'!$D$45, '1_PANEL_CONTROL'!$C$45/'1_PANEL_CONTROL'!$C$32, 0)</f>
        <v>2500</v>
      </c>
      <c r="CI76" s="33">
        <f>IF(CI$8&gt;='1_PANEL_CONTROL'!$D$45, '1_PANEL_CONTROL'!$C$45/'1_PANEL_CONTROL'!$C$32, 0)</f>
        <v>2500</v>
      </c>
    </row>
    <row r="77" spans="1:87" ht="16">
      <c r="A77" s="6" t="s">
        <v>583</v>
      </c>
      <c r="B77" s="30" t="s">
        <v>465</v>
      </c>
      <c r="C77" s="15"/>
      <c r="D77" s="33">
        <f>IF(D$8&gt;='1_PANEL_CONTROL'!$D$45, IF('1_PANEL_CONTROL'!$C$32=14, IF(OR(MOD(D$8,12)=6, MOD(D$8,12)=0), '1_PANEL_CONTROL'!$C$45/14, 0), 0), 0)</f>
        <v>0</v>
      </c>
      <c r="E77" s="33">
        <f>IF(E$8&gt;='1_PANEL_CONTROL'!$D$45, IF('1_PANEL_CONTROL'!$C$32=14, IF(OR(MOD(E$8,12)=6, MOD(E$8,12)=0), '1_PANEL_CONTROL'!$C$45/14, 0), 0), 0)</f>
        <v>0</v>
      </c>
      <c r="F77" s="33">
        <f>IF(F$8&gt;='1_PANEL_CONTROL'!$D$45, IF('1_PANEL_CONTROL'!$C$32=14, IF(OR(MOD(F$8,12)=6, MOD(F$8,12)=0), '1_PANEL_CONTROL'!$C$45/14, 0), 0), 0)</f>
        <v>0</v>
      </c>
      <c r="G77" s="33">
        <f>IF(G$8&gt;='1_PANEL_CONTROL'!$D$45, IF('1_PANEL_CONTROL'!$C$32=14, IF(OR(MOD(G$8,12)=6, MOD(G$8,12)=0), '1_PANEL_CONTROL'!$C$45/14, 0), 0), 0)</f>
        <v>0</v>
      </c>
      <c r="H77" s="33">
        <f>IF(H$8&gt;='1_PANEL_CONTROL'!$D$45, IF('1_PANEL_CONTROL'!$C$32=14, IF(OR(MOD(H$8,12)=6, MOD(H$8,12)=0), '1_PANEL_CONTROL'!$C$45/14, 0), 0), 0)</f>
        <v>0</v>
      </c>
      <c r="I77" s="33">
        <f>IF(I$8&gt;='1_PANEL_CONTROL'!$D$45, IF('1_PANEL_CONTROL'!$C$32=14, IF(OR(MOD(I$8,12)=6, MOD(I$8,12)=0), '1_PANEL_CONTROL'!$C$45/14, 0), 0), 0)</f>
        <v>0</v>
      </c>
      <c r="J77" s="33">
        <f>IF(J$8&gt;='1_PANEL_CONTROL'!$D$45, IF('1_PANEL_CONTROL'!$C$32=14, IF(OR(MOD(J$8,12)=6, MOD(J$8,12)=0), '1_PANEL_CONTROL'!$C$45/14, 0), 0), 0)</f>
        <v>0</v>
      </c>
      <c r="K77" s="33">
        <f>IF(K$8&gt;='1_PANEL_CONTROL'!$D$45, IF('1_PANEL_CONTROL'!$C$32=14, IF(OR(MOD(K$8,12)=6, MOD(K$8,12)=0), '1_PANEL_CONTROL'!$C$45/14, 0), 0), 0)</f>
        <v>0</v>
      </c>
      <c r="L77" s="33">
        <f>IF(L$8&gt;='1_PANEL_CONTROL'!$D$45, IF('1_PANEL_CONTROL'!$C$32=14, IF(OR(MOD(L$8,12)=6, MOD(L$8,12)=0), '1_PANEL_CONTROL'!$C$45/14, 0), 0), 0)</f>
        <v>0</v>
      </c>
      <c r="M77" s="33">
        <f>IF(M$8&gt;='1_PANEL_CONTROL'!$D$45, IF('1_PANEL_CONTROL'!$C$32=14, IF(OR(MOD(M$8,12)=6, MOD(M$8,12)=0), '1_PANEL_CONTROL'!$C$45/14, 0), 0), 0)</f>
        <v>0</v>
      </c>
      <c r="N77" s="33">
        <f>IF(N$8&gt;='1_PANEL_CONTROL'!$D$45, IF('1_PANEL_CONTROL'!$C$32=14, IF(OR(MOD(N$8,12)=6, MOD(N$8,12)=0), '1_PANEL_CONTROL'!$C$45/14, 0), 0), 0)</f>
        <v>0</v>
      </c>
      <c r="O77" s="33">
        <f>IF(O$8&gt;='1_PANEL_CONTROL'!$D$45, IF('1_PANEL_CONTROL'!$C$32=14, IF(OR(MOD(O$8,12)=6, MOD(O$8,12)=0), '1_PANEL_CONTROL'!$C$45/14, 0), 0), 0)</f>
        <v>0</v>
      </c>
      <c r="P77" s="33">
        <f>IF(P$8&gt;='1_PANEL_CONTROL'!$D$45, IF('1_PANEL_CONTROL'!$C$32=14, IF(OR(MOD(P$8,12)=6, MOD(P$8,12)=0), '1_PANEL_CONTROL'!$C$45/14, 0), 0), 0)</f>
        <v>0</v>
      </c>
      <c r="Q77" s="33">
        <f>IF(Q$8&gt;='1_PANEL_CONTROL'!$D$45, IF('1_PANEL_CONTROL'!$C$32=14, IF(OR(MOD(Q$8,12)=6, MOD(Q$8,12)=0), '1_PANEL_CONTROL'!$C$45/14, 0), 0), 0)</f>
        <v>0</v>
      </c>
      <c r="R77" s="33">
        <f>IF(R$8&gt;='1_PANEL_CONTROL'!$D$45, IF('1_PANEL_CONTROL'!$C$32=14, IF(OR(MOD(R$8,12)=6, MOD(R$8,12)=0), '1_PANEL_CONTROL'!$C$45/14, 0), 0), 0)</f>
        <v>0</v>
      </c>
      <c r="S77" s="33">
        <f>IF(S$8&gt;='1_PANEL_CONTROL'!$D$45, IF('1_PANEL_CONTROL'!$C$32=14, IF(OR(MOD(S$8,12)=6, MOD(S$8,12)=0), '1_PANEL_CONTROL'!$C$45/14, 0), 0), 0)</f>
        <v>0</v>
      </c>
      <c r="T77" s="33">
        <f>IF(T$8&gt;='1_PANEL_CONTROL'!$D$45, IF('1_PANEL_CONTROL'!$C$32=14, IF(OR(MOD(T$8,12)=6, MOD(T$8,12)=0), '1_PANEL_CONTROL'!$C$45/14, 0), 0), 0)</f>
        <v>0</v>
      </c>
      <c r="U77" s="33">
        <f>IF(U$8&gt;='1_PANEL_CONTROL'!$D$45, IF('1_PANEL_CONTROL'!$C$32=14, IF(OR(MOD(U$8,12)=6, MOD(U$8,12)=0), '1_PANEL_CONTROL'!$C$45/14, 0), 0), 0)</f>
        <v>0</v>
      </c>
      <c r="V77" s="33">
        <f>IF(V$8&gt;='1_PANEL_CONTROL'!$D$45, IF('1_PANEL_CONTROL'!$C$32=14, IF(OR(MOD(V$8,12)=6, MOD(V$8,12)=0), '1_PANEL_CONTROL'!$C$45/14, 0), 0), 0)</f>
        <v>0</v>
      </c>
      <c r="W77" s="33">
        <f>IF(W$8&gt;='1_PANEL_CONTROL'!$D$45, IF('1_PANEL_CONTROL'!$C$32=14, IF(OR(MOD(W$8,12)=6, MOD(W$8,12)=0), '1_PANEL_CONTROL'!$C$45/14, 0), 0), 0)</f>
        <v>0</v>
      </c>
      <c r="X77" s="33">
        <f>IF(X$8&gt;='1_PANEL_CONTROL'!$D$45, IF('1_PANEL_CONTROL'!$C$32=14, IF(OR(MOD(X$8,12)=6, MOD(X$8,12)=0), '1_PANEL_CONTROL'!$C$45/14, 0), 0), 0)</f>
        <v>0</v>
      </c>
      <c r="Y77" s="33">
        <f>IF(Y$8&gt;='1_PANEL_CONTROL'!$D$45, IF('1_PANEL_CONTROL'!$C$32=14, IF(OR(MOD(Y$8,12)=6, MOD(Y$8,12)=0), '1_PANEL_CONTROL'!$C$45/14, 0), 0), 0)</f>
        <v>0</v>
      </c>
      <c r="Z77" s="33">
        <f>IF(Z$8&gt;='1_PANEL_CONTROL'!$D$45, IF('1_PANEL_CONTROL'!$C$32=14, IF(OR(MOD(Z$8,12)=6, MOD(Z$8,12)=0), '1_PANEL_CONTROL'!$C$45/14, 0), 0), 0)</f>
        <v>0</v>
      </c>
      <c r="AA77" s="33">
        <f>IF(AA$8&gt;='1_PANEL_CONTROL'!$D$45, IF('1_PANEL_CONTROL'!$C$32=14, IF(OR(MOD(AA$8,12)=6, MOD(AA$8,12)=0), '1_PANEL_CONTROL'!$C$45/14, 0), 0), 0)</f>
        <v>0</v>
      </c>
      <c r="AB77" s="33">
        <f>IF(AB$8&gt;='1_PANEL_CONTROL'!$D$45, IF('1_PANEL_CONTROL'!$C$32=14, IF(OR(MOD(AB$8,12)=6, MOD(AB$8,12)=0), '1_PANEL_CONTROL'!$C$45/14, 0), 0), 0)</f>
        <v>0</v>
      </c>
      <c r="AC77" s="33">
        <f>IF(AC$8&gt;='1_PANEL_CONTROL'!$D$45, IF('1_PANEL_CONTROL'!$C$32=14, IF(OR(MOD(AC$8,12)=6, MOD(AC$8,12)=0), '1_PANEL_CONTROL'!$C$45/14, 0), 0), 0)</f>
        <v>0</v>
      </c>
      <c r="AD77" s="33">
        <f>IF(AD$8&gt;='1_PANEL_CONTROL'!$D$45, IF('1_PANEL_CONTROL'!$C$32=14, IF(OR(MOD(AD$8,12)=6, MOD(AD$8,12)=0), '1_PANEL_CONTROL'!$C$45/14, 0), 0), 0)</f>
        <v>0</v>
      </c>
      <c r="AE77" s="33">
        <f>IF(AE$8&gt;='1_PANEL_CONTROL'!$D$45, IF('1_PANEL_CONTROL'!$C$32=14, IF(OR(MOD(AE$8,12)=6, MOD(AE$8,12)=0), '1_PANEL_CONTROL'!$C$45/14, 0), 0), 0)</f>
        <v>0</v>
      </c>
      <c r="AF77" s="33">
        <f>IF(AF$8&gt;='1_PANEL_CONTROL'!$D$45, IF('1_PANEL_CONTROL'!$C$32=14, IF(OR(MOD(AF$8,12)=6, MOD(AF$8,12)=0), '1_PANEL_CONTROL'!$C$45/14, 0), 0), 0)</f>
        <v>0</v>
      </c>
      <c r="AG77" s="33">
        <f>IF(AG$8&gt;='1_PANEL_CONTROL'!$D$45, IF('1_PANEL_CONTROL'!$C$32=14, IF(OR(MOD(AG$8,12)=6, MOD(AG$8,12)=0), '1_PANEL_CONTROL'!$C$45/14, 0), 0), 0)</f>
        <v>0</v>
      </c>
      <c r="AH77" s="33">
        <f>IF(AH$8&gt;='1_PANEL_CONTROL'!$D$45, IF('1_PANEL_CONTROL'!$C$32=14, IF(OR(MOD(AH$8,12)=6, MOD(AH$8,12)=0), '1_PANEL_CONTROL'!$C$45/14, 0), 0), 0)</f>
        <v>0</v>
      </c>
      <c r="AI77" s="33">
        <f>IF(AI$8&gt;='1_PANEL_CONTROL'!$D$45, IF('1_PANEL_CONTROL'!$C$32=14, IF(OR(MOD(AI$8,12)=6, MOD(AI$8,12)=0), '1_PANEL_CONTROL'!$C$45/14, 0), 0), 0)</f>
        <v>0</v>
      </c>
      <c r="AJ77" s="33">
        <f>IF(AJ$8&gt;='1_PANEL_CONTROL'!$D$45, IF('1_PANEL_CONTROL'!$C$32=14, IF(OR(MOD(AJ$8,12)=6, MOD(AJ$8,12)=0), '1_PANEL_CONTROL'!$C$45/14, 0), 0), 0)</f>
        <v>0</v>
      </c>
      <c r="AK77" s="33">
        <f>IF(AK$8&gt;='1_PANEL_CONTROL'!$D$45, IF('1_PANEL_CONTROL'!$C$32=14, IF(OR(MOD(AK$8,12)=6, MOD(AK$8,12)=0), '1_PANEL_CONTROL'!$C$45/14, 0), 0), 0)</f>
        <v>0</v>
      </c>
      <c r="AL77" s="33">
        <f>IF(AL$8&gt;='1_PANEL_CONTROL'!$D$45, IF('1_PANEL_CONTROL'!$C$32=14, IF(OR(MOD(AL$8,12)=6, MOD(AL$8,12)=0), '1_PANEL_CONTROL'!$C$45/14, 0), 0), 0)</f>
        <v>0</v>
      </c>
      <c r="AM77" s="33">
        <f>IF(AM$8&gt;='1_PANEL_CONTROL'!$D$45, IF('1_PANEL_CONTROL'!$C$32=14, IF(OR(MOD(AM$8,12)=6, MOD(AM$8,12)=0), '1_PANEL_CONTROL'!$C$45/14, 0), 0), 0)</f>
        <v>0</v>
      </c>
      <c r="AN77" s="33">
        <f>IF(AN$8&gt;='1_PANEL_CONTROL'!$D$45, IF('1_PANEL_CONTROL'!$C$32=14, IF(OR(MOD(AN$8,12)=6, MOD(AN$8,12)=0), '1_PANEL_CONTROL'!$C$45/14, 0), 0), 0)</f>
        <v>0</v>
      </c>
      <c r="AO77" s="33">
        <f>IF(AO$8&gt;='1_PANEL_CONTROL'!$D$45, IF('1_PANEL_CONTROL'!$C$32=14, IF(OR(MOD(AO$8,12)=6, MOD(AO$8,12)=0), '1_PANEL_CONTROL'!$C$45/14, 0), 0), 0)</f>
        <v>0</v>
      </c>
      <c r="AP77" s="33">
        <f>IF(AP$8&gt;='1_PANEL_CONTROL'!$D$45, IF('1_PANEL_CONTROL'!$C$32=14, IF(OR(MOD(AP$8,12)=6, MOD(AP$8,12)=0), '1_PANEL_CONTROL'!$C$45/14, 0), 0), 0)</f>
        <v>0</v>
      </c>
      <c r="AQ77" s="33">
        <f>IF(AQ$8&gt;='1_PANEL_CONTROL'!$D$45, IF('1_PANEL_CONTROL'!$C$32=14, IF(OR(MOD(AQ$8,12)=6, MOD(AQ$8,12)=0), '1_PANEL_CONTROL'!$C$45/14, 0), 0), 0)</f>
        <v>0</v>
      </c>
      <c r="AR77" s="33">
        <f>IF(AR$8&gt;='1_PANEL_CONTROL'!$D$45, IF('1_PANEL_CONTROL'!$C$32=14, IF(OR(MOD(AR$8,12)=6, MOD(AR$8,12)=0), '1_PANEL_CONTROL'!$C$45/14, 0), 0), 0)</f>
        <v>0</v>
      </c>
      <c r="AS77" s="33">
        <f>IF(AS$8&gt;='1_PANEL_CONTROL'!$D$45, IF('1_PANEL_CONTROL'!$C$32=14, IF(OR(MOD(AS$8,12)=6, MOD(AS$8,12)=0), '1_PANEL_CONTROL'!$C$45/14, 0), 0), 0)</f>
        <v>0</v>
      </c>
      <c r="AT77" s="33">
        <f>IF(AT$8&gt;='1_PANEL_CONTROL'!$D$45, IF('1_PANEL_CONTROL'!$C$32=14, IF(OR(MOD(AT$8,12)=6, MOD(AT$8,12)=0), '1_PANEL_CONTROL'!$C$45/14, 0), 0), 0)</f>
        <v>0</v>
      </c>
      <c r="AU77" s="33">
        <f>IF(AU$8&gt;='1_PANEL_CONTROL'!$D$45, IF('1_PANEL_CONTROL'!$C$32=14, IF(OR(MOD(AU$8,12)=6, MOD(AU$8,12)=0), '1_PANEL_CONTROL'!$C$45/14, 0), 0), 0)</f>
        <v>0</v>
      </c>
      <c r="AV77" s="33">
        <f>IF(AV$8&gt;='1_PANEL_CONTROL'!$D$45, IF('1_PANEL_CONTROL'!$C$32=14, IF(OR(MOD(AV$8,12)=6, MOD(AV$8,12)=0), '1_PANEL_CONTROL'!$C$45/14, 0), 0), 0)</f>
        <v>0</v>
      </c>
      <c r="AW77" s="33">
        <f>IF(AW$8&gt;='1_PANEL_CONTROL'!$D$45, IF('1_PANEL_CONTROL'!$C$32=14, IF(OR(MOD(AW$8,12)=6, MOD(AW$8,12)=0), '1_PANEL_CONTROL'!$C$45/14, 0), 0), 0)</f>
        <v>0</v>
      </c>
      <c r="AX77" s="33">
        <f>IF(AX$8&gt;='1_PANEL_CONTROL'!$D$45, IF('1_PANEL_CONTROL'!$C$32=14, IF(OR(MOD(AX$8,12)=6, MOD(AX$8,12)=0), '1_PANEL_CONTROL'!$C$45/14, 0), 0), 0)</f>
        <v>0</v>
      </c>
      <c r="AY77" s="33">
        <f>IF(AY$8&gt;='1_PANEL_CONTROL'!$D$45, IF('1_PANEL_CONTROL'!$C$32=14, IF(OR(MOD(AY$8,12)=6, MOD(AY$8,12)=0), '1_PANEL_CONTROL'!$C$45/14, 0), 0), 0)</f>
        <v>0</v>
      </c>
      <c r="AZ77" s="33">
        <f>IF(AZ$8&gt;='1_PANEL_CONTROL'!$D$45, IF('1_PANEL_CONTROL'!$C$32=14, IF(OR(MOD(AZ$8,12)=6, MOD(AZ$8,12)=0), '1_PANEL_CONTROL'!$C$45/14, 0), 0), 0)</f>
        <v>0</v>
      </c>
      <c r="BA77" s="33">
        <f>IF(BA$8&gt;='1_PANEL_CONTROL'!$D$45, IF('1_PANEL_CONTROL'!$C$32=14, IF(OR(MOD(BA$8,12)=6, MOD(BA$8,12)=0), '1_PANEL_CONTROL'!$C$45/14, 0), 0), 0)</f>
        <v>0</v>
      </c>
      <c r="BB77" s="33">
        <f>IF(BB$8&gt;='1_PANEL_CONTROL'!$D$45, IF('1_PANEL_CONTROL'!$C$32=14, IF(OR(MOD(BB$8,12)=6, MOD(BB$8,12)=0), '1_PANEL_CONTROL'!$C$45/14, 0), 0), 0)</f>
        <v>0</v>
      </c>
      <c r="BC77" s="33">
        <f>IF(BC$8&gt;='1_PANEL_CONTROL'!$D$45, IF('1_PANEL_CONTROL'!$C$32=14, IF(OR(MOD(BC$8,12)=6, MOD(BC$8,12)=0), '1_PANEL_CONTROL'!$C$45/14, 0), 0), 0)</f>
        <v>0</v>
      </c>
      <c r="BD77" s="33">
        <f>IF(BD$8&gt;='1_PANEL_CONTROL'!$D$45, IF('1_PANEL_CONTROL'!$C$32=14, IF(OR(MOD(BD$8,12)=6, MOD(BD$8,12)=0), '1_PANEL_CONTROL'!$C$45/14, 0), 0), 0)</f>
        <v>0</v>
      </c>
      <c r="BE77" s="33">
        <f>IF(BE$8&gt;='1_PANEL_CONTROL'!$D$45, IF('1_PANEL_CONTROL'!$C$32=14, IF(OR(MOD(BE$8,12)=6, MOD(BE$8,12)=0), '1_PANEL_CONTROL'!$C$45/14, 0), 0), 0)</f>
        <v>0</v>
      </c>
      <c r="BF77" s="33">
        <f>IF(BF$8&gt;='1_PANEL_CONTROL'!$D$45, IF('1_PANEL_CONTROL'!$C$32=14, IF(OR(MOD(BF$8,12)=6, MOD(BF$8,12)=0), '1_PANEL_CONTROL'!$C$45/14, 0), 0), 0)</f>
        <v>0</v>
      </c>
      <c r="BG77" s="33">
        <f>IF(BG$8&gt;='1_PANEL_CONTROL'!$D$45, IF('1_PANEL_CONTROL'!$C$32=14, IF(OR(MOD(BG$8,12)=6, MOD(BG$8,12)=0), '1_PANEL_CONTROL'!$C$45/14, 0), 0), 0)</f>
        <v>0</v>
      </c>
      <c r="BH77" s="33">
        <f>IF(BH$8&gt;='1_PANEL_CONTROL'!$D$45, IF('1_PANEL_CONTROL'!$C$32=14, IF(OR(MOD(BH$8,12)=6, MOD(BH$8,12)=0), '1_PANEL_CONTROL'!$C$45/14, 0), 0), 0)</f>
        <v>0</v>
      </c>
      <c r="BI77" s="33">
        <f>IF(BI$8&gt;='1_PANEL_CONTROL'!$D$45, IF('1_PANEL_CONTROL'!$C$32=14, IF(OR(MOD(BI$8,12)=6, MOD(BI$8,12)=0), '1_PANEL_CONTROL'!$C$45/14, 0), 0), 0)</f>
        <v>0</v>
      </c>
      <c r="BJ77" s="33">
        <f>IF(BJ$8&gt;='1_PANEL_CONTROL'!$D$45, IF('1_PANEL_CONTROL'!$C$32=14, IF(OR(MOD(BJ$8,12)=6, MOD(BJ$8,12)=0), '1_PANEL_CONTROL'!$C$45/14, 0), 0), 0)</f>
        <v>0</v>
      </c>
      <c r="BK77" s="33">
        <f>IF(BK$8&gt;='1_PANEL_CONTROL'!$D$45, IF('1_PANEL_CONTROL'!$C$32=14, IF(OR(MOD(BK$8,12)=6, MOD(BK$8,12)=0), '1_PANEL_CONTROL'!$C$45/14, 0), 0), 0)</f>
        <v>0</v>
      </c>
      <c r="BL77" s="33">
        <f>IF(BL$8&gt;='1_PANEL_CONTROL'!$D$45, IF('1_PANEL_CONTROL'!$C$32=14, IF(OR(MOD(BL$8,12)=6, MOD(BL$8,12)=0), '1_PANEL_CONTROL'!$C$45/14, 0), 0), 0)</f>
        <v>0</v>
      </c>
      <c r="BM77" s="33">
        <f>IF(BM$8&gt;='1_PANEL_CONTROL'!$D$45, IF('1_PANEL_CONTROL'!$C$32=14, IF(OR(MOD(BM$8,12)=6, MOD(BM$8,12)=0), '1_PANEL_CONTROL'!$C$45/14, 0), 0), 0)</f>
        <v>0</v>
      </c>
      <c r="BN77" s="33">
        <f>IF(BN$8&gt;='1_PANEL_CONTROL'!$D$45, IF('1_PANEL_CONTROL'!$C$32=14, IF(OR(MOD(BN$8,12)=6, MOD(BN$8,12)=0), '1_PANEL_CONTROL'!$C$45/14, 0), 0), 0)</f>
        <v>0</v>
      </c>
      <c r="BO77" s="33">
        <f>IF(BO$8&gt;='1_PANEL_CONTROL'!$D$45, IF('1_PANEL_CONTROL'!$C$32=14, IF(OR(MOD(BO$8,12)=6, MOD(BO$8,12)=0), '1_PANEL_CONTROL'!$C$45/14, 0), 0), 0)</f>
        <v>0</v>
      </c>
      <c r="BP77" s="33">
        <f>IF(BP$8&gt;='1_PANEL_CONTROL'!$D$45, IF('1_PANEL_CONTROL'!$C$32=14, IF(OR(MOD(BP$8,12)=6, MOD(BP$8,12)=0), '1_PANEL_CONTROL'!$C$45/14, 0), 0), 0)</f>
        <v>0</v>
      </c>
      <c r="BQ77" s="33">
        <f>IF(BQ$8&gt;='1_PANEL_CONTROL'!$D$45, IF('1_PANEL_CONTROL'!$C$32=14, IF(OR(MOD(BQ$8,12)=6, MOD(BQ$8,12)=0), '1_PANEL_CONTROL'!$C$45/14, 0), 0), 0)</f>
        <v>0</v>
      </c>
      <c r="BR77" s="33">
        <f>IF(BR$8&gt;='1_PANEL_CONTROL'!$D$45, IF('1_PANEL_CONTROL'!$C$32=14, IF(OR(MOD(BR$8,12)=6, MOD(BR$8,12)=0), '1_PANEL_CONTROL'!$C$45/14, 0), 0), 0)</f>
        <v>0</v>
      </c>
      <c r="BS77" s="33">
        <f>IF(BS$8&gt;='1_PANEL_CONTROL'!$D$45, IF('1_PANEL_CONTROL'!$C$32=14, IF(OR(MOD(BS$8,12)=6, MOD(BS$8,12)=0), '1_PANEL_CONTROL'!$C$45/14, 0), 0), 0)</f>
        <v>0</v>
      </c>
      <c r="BT77" s="33">
        <f>IF(BT$8&gt;='1_PANEL_CONTROL'!$D$45, IF('1_PANEL_CONTROL'!$C$32=14, IF(OR(MOD(BT$8,12)=6, MOD(BT$8,12)=0), '1_PANEL_CONTROL'!$C$45/14, 0), 0), 0)</f>
        <v>0</v>
      </c>
      <c r="BU77" s="33">
        <f>IF(BU$8&gt;='1_PANEL_CONTROL'!$D$45, IF('1_PANEL_CONTROL'!$C$32=14, IF(OR(MOD(BU$8,12)=6, MOD(BU$8,12)=0), '1_PANEL_CONTROL'!$C$45/14, 0), 0), 0)</f>
        <v>0</v>
      </c>
      <c r="BV77" s="33">
        <f>IF(BV$8&gt;='1_PANEL_CONTROL'!$D$45, IF('1_PANEL_CONTROL'!$C$32=14, IF(OR(MOD(BV$8,12)=6, MOD(BV$8,12)=0), '1_PANEL_CONTROL'!$C$45/14, 0), 0), 0)</f>
        <v>0</v>
      </c>
      <c r="BW77" s="33">
        <f>IF(BW$8&gt;='1_PANEL_CONTROL'!$D$45, IF('1_PANEL_CONTROL'!$C$32=14, IF(OR(MOD(BW$8,12)=6, MOD(BW$8,12)=0), '1_PANEL_CONTROL'!$C$45/14, 0), 0), 0)</f>
        <v>0</v>
      </c>
      <c r="BX77" s="33">
        <f>IF(BX$8&gt;='1_PANEL_CONTROL'!$D$45, IF('1_PANEL_CONTROL'!$C$32=14, IF(OR(MOD(BX$8,12)=6, MOD(BX$8,12)=0), '1_PANEL_CONTROL'!$C$45/14, 0), 0), 0)</f>
        <v>0</v>
      </c>
      <c r="BY77" s="33">
        <f>IF(BY$8&gt;='1_PANEL_CONTROL'!$D$45, IF('1_PANEL_CONTROL'!$C$32=14, IF(OR(MOD(BY$8,12)=6, MOD(BY$8,12)=0), '1_PANEL_CONTROL'!$C$45/14, 0), 0), 0)</f>
        <v>0</v>
      </c>
      <c r="BZ77" s="33">
        <f>IF(BZ$8&gt;='1_PANEL_CONTROL'!$D$45, IF('1_PANEL_CONTROL'!$C$32=14, IF(OR(MOD(BZ$8,12)=6, MOD(BZ$8,12)=0), '1_PANEL_CONTROL'!$C$45/14, 0), 0), 0)</f>
        <v>0</v>
      </c>
      <c r="CA77" s="33">
        <f>IF(CA$8&gt;='1_PANEL_CONTROL'!$D$45, IF('1_PANEL_CONTROL'!$C$32=14, IF(OR(MOD(CA$8,12)=6, MOD(CA$8,12)=0), '1_PANEL_CONTROL'!$C$45/14, 0), 0), 0)</f>
        <v>0</v>
      </c>
      <c r="CB77" s="33">
        <f>IF(CB$8&gt;='1_PANEL_CONTROL'!$D$45, IF('1_PANEL_CONTROL'!$C$32=14, IF(OR(MOD(CB$8,12)=6, MOD(CB$8,12)=0), '1_PANEL_CONTROL'!$C$45/14, 0), 0), 0)</f>
        <v>0</v>
      </c>
      <c r="CC77" s="33">
        <f>IF(CC$8&gt;='1_PANEL_CONTROL'!$D$45, IF('1_PANEL_CONTROL'!$C$32=14, IF(OR(MOD(CC$8,12)=6, MOD(CC$8,12)=0), '1_PANEL_CONTROL'!$C$45/14, 0), 0), 0)</f>
        <v>0</v>
      </c>
      <c r="CD77" s="33">
        <f>IF(CD$8&gt;='1_PANEL_CONTROL'!$D$45, IF('1_PANEL_CONTROL'!$C$32=14, IF(OR(MOD(CD$8,12)=6, MOD(CD$8,12)=0), '1_PANEL_CONTROL'!$C$45/14, 0), 0), 0)</f>
        <v>0</v>
      </c>
      <c r="CE77" s="33">
        <f>IF(CE$8&gt;='1_PANEL_CONTROL'!$D$45, IF('1_PANEL_CONTROL'!$C$32=14, IF(OR(MOD(CE$8,12)=6, MOD(CE$8,12)=0), '1_PANEL_CONTROL'!$C$45/14, 0), 0), 0)</f>
        <v>0</v>
      </c>
      <c r="CF77" s="33">
        <f>IF(CF$8&gt;='1_PANEL_CONTROL'!$D$45, IF('1_PANEL_CONTROL'!$C$32=14, IF(OR(MOD(CF$8,12)=6, MOD(CF$8,12)=0), '1_PANEL_CONTROL'!$C$45/14, 0), 0), 0)</f>
        <v>0</v>
      </c>
      <c r="CG77" s="33">
        <f>IF(CG$8&gt;='1_PANEL_CONTROL'!$D$45, IF('1_PANEL_CONTROL'!$C$32=14, IF(OR(MOD(CG$8,12)=6, MOD(CG$8,12)=0), '1_PANEL_CONTROL'!$C$45/14, 0), 0), 0)</f>
        <v>0</v>
      </c>
      <c r="CH77" s="33">
        <f>IF(CH$8&gt;='1_PANEL_CONTROL'!$D$45, IF('1_PANEL_CONTROL'!$C$32=14, IF(OR(MOD(CH$8,12)=6, MOD(CH$8,12)=0), '1_PANEL_CONTROL'!$C$45/14, 0), 0), 0)</f>
        <v>0</v>
      </c>
      <c r="CI77" s="33">
        <f>IF(CI$8&gt;='1_PANEL_CONTROL'!$D$45, IF('1_PANEL_CONTROL'!$C$32=14, IF(OR(MOD(CI$8,12)=6, MOD(CI$8,12)=0), '1_PANEL_CONTROL'!$C$45/14, 0), 0), 0)</f>
        <v>0</v>
      </c>
    </row>
    <row r="78" spans="1:87" ht="16">
      <c r="A78" s="6" t="s">
        <v>584</v>
      </c>
      <c r="B78" s="30" t="s">
        <v>465</v>
      </c>
      <c r="C78" s="15"/>
      <c r="D78" s="33">
        <f t="shared" ref="D78:AI78" si="66">D76+D77</f>
        <v>0</v>
      </c>
      <c r="E78" s="33">
        <f t="shared" si="66"/>
        <v>0</v>
      </c>
      <c r="F78" s="33">
        <f t="shared" si="66"/>
        <v>0</v>
      </c>
      <c r="G78" s="33">
        <f t="shared" si="66"/>
        <v>0</v>
      </c>
      <c r="H78" s="33">
        <f t="shared" si="66"/>
        <v>0</v>
      </c>
      <c r="I78" s="33">
        <f t="shared" si="66"/>
        <v>0</v>
      </c>
      <c r="J78" s="33">
        <f t="shared" si="66"/>
        <v>0</v>
      </c>
      <c r="K78" s="33">
        <f t="shared" si="66"/>
        <v>0</v>
      </c>
      <c r="L78" s="33">
        <f t="shared" si="66"/>
        <v>0</v>
      </c>
      <c r="M78" s="33">
        <f t="shared" si="66"/>
        <v>0</v>
      </c>
      <c r="N78" s="33">
        <f t="shared" si="66"/>
        <v>0</v>
      </c>
      <c r="O78" s="33">
        <f t="shared" si="66"/>
        <v>0</v>
      </c>
      <c r="P78" s="33">
        <f t="shared" si="66"/>
        <v>2500</v>
      </c>
      <c r="Q78" s="33">
        <f t="shared" si="66"/>
        <v>2500</v>
      </c>
      <c r="R78" s="33">
        <f t="shared" si="66"/>
        <v>2500</v>
      </c>
      <c r="S78" s="33">
        <f t="shared" si="66"/>
        <v>2500</v>
      </c>
      <c r="T78" s="33">
        <f t="shared" si="66"/>
        <v>2500</v>
      </c>
      <c r="U78" s="33">
        <f t="shared" si="66"/>
        <v>2500</v>
      </c>
      <c r="V78" s="33">
        <f t="shared" si="66"/>
        <v>2500</v>
      </c>
      <c r="W78" s="33">
        <f t="shared" si="66"/>
        <v>2500</v>
      </c>
      <c r="X78" s="33">
        <f t="shared" si="66"/>
        <v>2500</v>
      </c>
      <c r="Y78" s="33">
        <f t="shared" si="66"/>
        <v>2500</v>
      </c>
      <c r="Z78" s="33">
        <f t="shared" si="66"/>
        <v>2500</v>
      </c>
      <c r="AA78" s="33">
        <f t="shared" si="66"/>
        <v>2500</v>
      </c>
      <c r="AB78" s="33">
        <f t="shared" si="66"/>
        <v>2500</v>
      </c>
      <c r="AC78" s="33">
        <f t="shared" si="66"/>
        <v>2500</v>
      </c>
      <c r="AD78" s="33">
        <f t="shared" si="66"/>
        <v>2500</v>
      </c>
      <c r="AE78" s="33">
        <f t="shared" si="66"/>
        <v>2500</v>
      </c>
      <c r="AF78" s="33">
        <f t="shared" si="66"/>
        <v>2500</v>
      </c>
      <c r="AG78" s="33">
        <f t="shared" si="66"/>
        <v>2500</v>
      </c>
      <c r="AH78" s="33">
        <f t="shared" si="66"/>
        <v>2500</v>
      </c>
      <c r="AI78" s="33">
        <f t="shared" si="66"/>
        <v>2500</v>
      </c>
      <c r="AJ78" s="33">
        <f t="shared" ref="AJ78:BO78" si="67">AJ76+AJ77</f>
        <v>2500</v>
      </c>
      <c r="AK78" s="33">
        <f t="shared" si="67"/>
        <v>2500</v>
      </c>
      <c r="AL78" s="33">
        <f t="shared" si="67"/>
        <v>2500</v>
      </c>
      <c r="AM78" s="33">
        <f t="shared" si="67"/>
        <v>2500</v>
      </c>
      <c r="AN78" s="33">
        <f t="shared" si="67"/>
        <v>2500</v>
      </c>
      <c r="AO78" s="33">
        <f t="shared" si="67"/>
        <v>2500</v>
      </c>
      <c r="AP78" s="33">
        <f t="shared" si="67"/>
        <v>2500</v>
      </c>
      <c r="AQ78" s="33">
        <f t="shared" si="67"/>
        <v>2500</v>
      </c>
      <c r="AR78" s="33">
        <f t="shared" si="67"/>
        <v>2500</v>
      </c>
      <c r="AS78" s="33">
        <f t="shared" si="67"/>
        <v>2500</v>
      </c>
      <c r="AT78" s="33">
        <f t="shared" si="67"/>
        <v>2500</v>
      </c>
      <c r="AU78" s="33">
        <f t="shared" si="67"/>
        <v>2500</v>
      </c>
      <c r="AV78" s="33">
        <f t="shared" si="67"/>
        <v>2500</v>
      </c>
      <c r="AW78" s="33">
        <f t="shared" si="67"/>
        <v>2500</v>
      </c>
      <c r="AX78" s="33">
        <f t="shared" si="67"/>
        <v>2500</v>
      </c>
      <c r="AY78" s="33">
        <f t="shared" si="67"/>
        <v>2500</v>
      </c>
      <c r="AZ78" s="33">
        <f t="shared" si="67"/>
        <v>2500</v>
      </c>
      <c r="BA78" s="33">
        <f t="shared" si="67"/>
        <v>2500</v>
      </c>
      <c r="BB78" s="33">
        <f t="shared" si="67"/>
        <v>2500</v>
      </c>
      <c r="BC78" s="33">
        <f t="shared" si="67"/>
        <v>2500</v>
      </c>
      <c r="BD78" s="33">
        <f t="shared" si="67"/>
        <v>2500</v>
      </c>
      <c r="BE78" s="33">
        <f t="shared" si="67"/>
        <v>2500</v>
      </c>
      <c r="BF78" s="33">
        <f t="shared" si="67"/>
        <v>2500</v>
      </c>
      <c r="BG78" s="33">
        <f t="shared" si="67"/>
        <v>2500</v>
      </c>
      <c r="BH78" s="33">
        <f t="shared" si="67"/>
        <v>2500</v>
      </c>
      <c r="BI78" s="33">
        <f t="shared" si="67"/>
        <v>2500</v>
      </c>
      <c r="BJ78" s="33">
        <f t="shared" si="67"/>
        <v>2500</v>
      </c>
      <c r="BK78" s="33">
        <f t="shared" si="67"/>
        <v>2500</v>
      </c>
      <c r="BL78" s="33">
        <f t="shared" si="67"/>
        <v>2500</v>
      </c>
      <c r="BM78" s="33">
        <f t="shared" si="67"/>
        <v>2500</v>
      </c>
      <c r="BN78" s="33">
        <f t="shared" si="67"/>
        <v>2500</v>
      </c>
      <c r="BO78" s="33">
        <f t="shared" si="67"/>
        <v>2500</v>
      </c>
      <c r="BP78" s="33">
        <f t="shared" ref="BP78:CU78" si="68">BP76+BP77</f>
        <v>2500</v>
      </c>
      <c r="BQ78" s="33">
        <f t="shared" si="68"/>
        <v>2500</v>
      </c>
      <c r="BR78" s="33">
        <f t="shared" si="68"/>
        <v>2500</v>
      </c>
      <c r="BS78" s="33">
        <f t="shared" si="68"/>
        <v>2500</v>
      </c>
      <c r="BT78" s="33">
        <f t="shared" si="68"/>
        <v>2500</v>
      </c>
      <c r="BU78" s="33">
        <f t="shared" si="68"/>
        <v>2500</v>
      </c>
      <c r="BV78" s="33">
        <f t="shared" si="68"/>
        <v>2500</v>
      </c>
      <c r="BW78" s="33">
        <f t="shared" si="68"/>
        <v>2500</v>
      </c>
      <c r="BX78" s="33">
        <f t="shared" si="68"/>
        <v>2500</v>
      </c>
      <c r="BY78" s="33">
        <f t="shared" si="68"/>
        <v>2500</v>
      </c>
      <c r="BZ78" s="33">
        <f t="shared" si="68"/>
        <v>2500</v>
      </c>
      <c r="CA78" s="33">
        <f t="shared" si="68"/>
        <v>2500</v>
      </c>
      <c r="CB78" s="33">
        <f t="shared" si="68"/>
        <v>2500</v>
      </c>
      <c r="CC78" s="33">
        <f t="shared" si="68"/>
        <v>2500</v>
      </c>
      <c r="CD78" s="33">
        <f t="shared" si="68"/>
        <v>2500</v>
      </c>
      <c r="CE78" s="33">
        <f t="shared" si="68"/>
        <v>2500</v>
      </c>
      <c r="CF78" s="33">
        <f t="shared" si="68"/>
        <v>2500</v>
      </c>
      <c r="CG78" s="33">
        <f t="shared" si="68"/>
        <v>2500</v>
      </c>
      <c r="CH78" s="33">
        <f t="shared" si="68"/>
        <v>2500</v>
      </c>
      <c r="CI78" s="33">
        <f t="shared" si="68"/>
        <v>2500</v>
      </c>
    </row>
    <row r="79" spans="1:87" ht="16">
      <c r="A79" s="6" t="s">
        <v>585</v>
      </c>
      <c r="B79" s="30" t="s">
        <v>465</v>
      </c>
      <c r="C79" s="15"/>
      <c r="D79" s="33">
        <f>IF(D$8&gt;='1_PANEL_CONTROL'!$D$45, '1_PANEL_CONTROL'!$C$45/12, 0)</f>
        <v>0</v>
      </c>
      <c r="E79" s="33">
        <f>IF(E$8&gt;='1_PANEL_CONTROL'!$D$45, '1_PANEL_CONTROL'!$C$45/12, 0)</f>
        <v>0</v>
      </c>
      <c r="F79" s="33">
        <f>IF(F$8&gt;='1_PANEL_CONTROL'!$D$45, '1_PANEL_CONTROL'!$C$45/12, 0)</f>
        <v>0</v>
      </c>
      <c r="G79" s="33">
        <f>IF(G$8&gt;='1_PANEL_CONTROL'!$D$45, '1_PANEL_CONTROL'!$C$45/12, 0)</f>
        <v>0</v>
      </c>
      <c r="H79" s="33">
        <f>IF(H$8&gt;='1_PANEL_CONTROL'!$D$45, '1_PANEL_CONTROL'!$C$45/12, 0)</f>
        <v>0</v>
      </c>
      <c r="I79" s="33">
        <f>IF(I$8&gt;='1_PANEL_CONTROL'!$D$45, '1_PANEL_CONTROL'!$C$45/12, 0)</f>
        <v>0</v>
      </c>
      <c r="J79" s="33">
        <f>IF(J$8&gt;='1_PANEL_CONTROL'!$D$45, '1_PANEL_CONTROL'!$C$45/12, 0)</f>
        <v>0</v>
      </c>
      <c r="K79" s="33">
        <f>IF(K$8&gt;='1_PANEL_CONTROL'!$D$45, '1_PANEL_CONTROL'!$C$45/12, 0)</f>
        <v>0</v>
      </c>
      <c r="L79" s="33">
        <f>IF(L$8&gt;='1_PANEL_CONTROL'!$D$45, '1_PANEL_CONTROL'!$C$45/12, 0)</f>
        <v>0</v>
      </c>
      <c r="M79" s="33">
        <f>IF(M$8&gt;='1_PANEL_CONTROL'!$D$45, '1_PANEL_CONTROL'!$C$45/12, 0)</f>
        <v>0</v>
      </c>
      <c r="N79" s="33">
        <f>IF(N$8&gt;='1_PANEL_CONTROL'!$D$45, '1_PANEL_CONTROL'!$C$45/12, 0)</f>
        <v>0</v>
      </c>
      <c r="O79" s="33">
        <f>IF(O$8&gt;='1_PANEL_CONTROL'!$D$45, '1_PANEL_CONTROL'!$C$45/12, 0)</f>
        <v>0</v>
      </c>
      <c r="P79" s="33">
        <f>IF(P$8&gt;='1_PANEL_CONTROL'!$D$45, '1_PANEL_CONTROL'!$C$45/12, 0)</f>
        <v>2500</v>
      </c>
      <c r="Q79" s="33">
        <f>IF(Q$8&gt;='1_PANEL_CONTROL'!$D$45, '1_PANEL_CONTROL'!$C$45/12, 0)</f>
        <v>2500</v>
      </c>
      <c r="R79" s="33">
        <f>IF(R$8&gt;='1_PANEL_CONTROL'!$D$45, '1_PANEL_CONTROL'!$C$45/12, 0)</f>
        <v>2500</v>
      </c>
      <c r="S79" s="33">
        <f>IF(S$8&gt;='1_PANEL_CONTROL'!$D$45, '1_PANEL_CONTROL'!$C$45/12, 0)</f>
        <v>2500</v>
      </c>
      <c r="T79" s="33">
        <f>IF(T$8&gt;='1_PANEL_CONTROL'!$D$45, '1_PANEL_CONTROL'!$C$45/12, 0)</f>
        <v>2500</v>
      </c>
      <c r="U79" s="33">
        <f>IF(U$8&gt;='1_PANEL_CONTROL'!$D$45, '1_PANEL_CONTROL'!$C$45/12, 0)</f>
        <v>2500</v>
      </c>
      <c r="V79" s="33">
        <f>IF(V$8&gt;='1_PANEL_CONTROL'!$D$45, '1_PANEL_CONTROL'!$C$45/12, 0)</f>
        <v>2500</v>
      </c>
      <c r="W79" s="33">
        <f>IF(W$8&gt;='1_PANEL_CONTROL'!$D$45, '1_PANEL_CONTROL'!$C$45/12, 0)</f>
        <v>2500</v>
      </c>
      <c r="X79" s="33">
        <f>IF(X$8&gt;='1_PANEL_CONTROL'!$D$45, '1_PANEL_CONTROL'!$C$45/12, 0)</f>
        <v>2500</v>
      </c>
      <c r="Y79" s="33">
        <f>IF(Y$8&gt;='1_PANEL_CONTROL'!$D$45, '1_PANEL_CONTROL'!$C$45/12, 0)</f>
        <v>2500</v>
      </c>
      <c r="Z79" s="33">
        <f>IF(Z$8&gt;='1_PANEL_CONTROL'!$D$45, '1_PANEL_CONTROL'!$C$45/12, 0)</f>
        <v>2500</v>
      </c>
      <c r="AA79" s="33">
        <f>IF(AA$8&gt;='1_PANEL_CONTROL'!$D$45, '1_PANEL_CONTROL'!$C$45/12, 0)</f>
        <v>2500</v>
      </c>
      <c r="AB79" s="33">
        <f>IF(AB$8&gt;='1_PANEL_CONTROL'!$D$45, '1_PANEL_CONTROL'!$C$45/12, 0)</f>
        <v>2500</v>
      </c>
      <c r="AC79" s="33">
        <f>IF(AC$8&gt;='1_PANEL_CONTROL'!$D$45, '1_PANEL_CONTROL'!$C$45/12, 0)</f>
        <v>2500</v>
      </c>
      <c r="AD79" s="33">
        <f>IF(AD$8&gt;='1_PANEL_CONTROL'!$D$45, '1_PANEL_CONTROL'!$C$45/12, 0)</f>
        <v>2500</v>
      </c>
      <c r="AE79" s="33">
        <f>IF(AE$8&gt;='1_PANEL_CONTROL'!$D$45, '1_PANEL_CONTROL'!$C$45/12, 0)</f>
        <v>2500</v>
      </c>
      <c r="AF79" s="33">
        <f>IF(AF$8&gt;='1_PANEL_CONTROL'!$D$45, '1_PANEL_CONTROL'!$C$45/12, 0)</f>
        <v>2500</v>
      </c>
      <c r="AG79" s="33">
        <f>IF(AG$8&gt;='1_PANEL_CONTROL'!$D$45, '1_PANEL_CONTROL'!$C$45/12, 0)</f>
        <v>2500</v>
      </c>
      <c r="AH79" s="33">
        <f>IF(AH$8&gt;='1_PANEL_CONTROL'!$D$45, '1_PANEL_CONTROL'!$C$45/12, 0)</f>
        <v>2500</v>
      </c>
      <c r="AI79" s="33">
        <f>IF(AI$8&gt;='1_PANEL_CONTROL'!$D$45, '1_PANEL_CONTROL'!$C$45/12, 0)</f>
        <v>2500</v>
      </c>
      <c r="AJ79" s="33">
        <f>IF(AJ$8&gt;='1_PANEL_CONTROL'!$D$45, '1_PANEL_CONTROL'!$C$45/12, 0)</f>
        <v>2500</v>
      </c>
      <c r="AK79" s="33">
        <f>IF(AK$8&gt;='1_PANEL_CONTROL'!$D$45, '1_PANEL_CONTROL'!$C$45/12, 0)</f>
        <v>2500</v>
      </c>
      <c r="AL79" s="33">
        <f>IF(AL$8&gt;='1_PANEL_CONTROL'!$D$45, '1_PANEL_CONTROL'!$C$45/12, 0)</f>
        <v>2500</v>
      </c>
      <c r="AM79" s="33">
        <f>IF(AM$8&gt;='1_PANEL_CONTROL'!$D$45, '1_PANEL_CONTROL'!$C$45/12, 0)</f>
        <v>2500</v>
      </c>
      <c r="AN79" s="33">
        <f>IF(AN$8&gt;='1_PANEL_CONTROL'!$D$45, '1_PANEL_CONTROL'!$C$45/12, 0)</f>
        <v>2500</v>
      </c>
      <c r="AO79" s="33">
        <f>IF(AO$8&gt;='1_PANEL_CONTROL'!$D$45, '1_PANEL_CONTROL'!$C$45/12, 0)</f>
        <v>2500</v>
      </c>
      <c r="AP79" s="33">
        <f>IF(AP$8&gt;='1_PANEL_CONTROL'!$D$45, '1_PANEL_CONTROL'!$C$45/12, 0)</f>
        <v>2500</v>
      </c>
      <c r="AQ79" s="33">
        <f>IF(AQ$8&gt;='1_PANEL_CONTROL'!$D$45, '1_PANEL_CONTROL'!$C$45/12, 0)</f>
        <v>2500</v>
      </c>
      <c r="AR79" s="33">
        <f>IF(AR$8&gt;='1_PANEL_CONTROL'!$D$45, '1_PANEL_CONTROL'!$C$45/12, 0)</f>
        <v>2500</v>
      </c>
      <c r="AS79" s="33">
        <f>IF(AS$8&gt;='1_PANEL_CONTROL'!$D$45, '1_PANEL_CONTROL'!$C$45/12, 0)</f>
        <v>2500</v>
      </c>
      <c r="AT79" s="33">
        <f>IF(AT$8&gt;='1_PANEL_CONTROL'!$D$45, '1_PANEL_CONTROL'!$C$45/12, 0)</f>
        <v>2500</v>
      </c>
      <c r="AU79" s="33">
        <f>IF(AU$8&gt;='1_PANEL_CONTROL'!$D$45, '1_PANEL_CONTROL'!$C$45/12, 0)</f>
        <v>2500</v>
      </c>
      <c r="AV79" s="33">
        <f>IF(AV$8&gt;='1_PANEL_CONTROL'!$D$45, '1_PANEL_CONTROL'!$C$45/12, 0)</f>
        <v>2500</v>
      </c>
      <c r="AW79" s="33">
        <f>IF(AW$8&gt;='1_PANEL_CONTROL'!$D$45, '1_PANEL_CONTROL'!$C$45/12, 0)</f>
        <v>2500</v>
      </c>
      <c r="AX79" s="33">
        <f>IF(AX$8&gt;='1_PANEL_CONTROL'!$D$45, '1_PANEL_CONTROL'!$C$45/12, 0)</f>
        <v>2500</v>
      </c>
      <c r="AY79" s="33">
        <f>IF(AY$8&gt;='1_PANEL_CONTROL'!$D$45, '1_PANEL_CONTROL'!$C$45/12, 0)</f>
        <v>2500</v>
      </c>
      <c r="AZ79" s="33">
        <f>IF(AZ$8&gt;='1_PANEL_CONTROL'!$D$45, '1_PANEL_CONTROL'!$C$45/12, 0)</f>
        <v>2500</v>
      </c>
      <c r="BA79" s="33">
        <f>IF(BA$8&gt;='1_PANEL_CONTROL'!$D$45, '1_PANEL_CONTROL'!$C$45/12, 0)</f>
        <v>2500</v>
      </c>
      <c r="BB79" s="33">
        <f>IF(BB$8&gt;='1_PANEL_CONTROL'!$D$45, '1_PANEL_CONTROL'!$C$45/12, 0)</f>
        <v>2500</v>
      </c>
      <c r="BC79" s="33">
        <f>IF(BC$8&gt;='1_PANEL_CONTROL'!$D$45, '1_PANEL_CONTROL'!$C$45/12, 0)</f>
        <v>2500</v>
      </c>
      <c r="BD79" s="33">
        <f>IF(BD$8&gt;='1_PANEL_CONTROL'!$D$45, '1_PANEL_CONTROL'!$C$45/12, 0)</f>
        <v>2500</v>
      </c>
      <c r="BE79" s="33">
        <f>IF(BE$8&gt;='1_PANEL_CONTROL'!$D$45, '1_PANEL_CONTROL'!$C$45/12, 0)</f>
        <v>2500</v>
      </c>
      <c r="BF79" s="33">
        <f>IF(BF$8&gt;='1_PANEL_CONTROL'!$D$45, '1_PANEL_CONTROL'!$C$45/12, 0)</f>
        <v>2500</v>
      </c>
      <c r="BG79" s="33">
        <f>IF(BG$8&gt;='1_PANEL_CONTROL'!$D$45, '1_PANEL_CONTROL'!$C$45/12, 0)</f>
        <v>2500</v>
      </c>
      <c r="BH79" s="33">
        <f>IF(BH$8&gt;='1_PANEL_CONTROL'!$D$45, '1_PANEL_CONTROL'!$C$45/12, 0)</f>
        <v>2500</v>
      </c>
      <c r="BI79" s="33">
        <f>IF(BI$8&gt;='1_PANEL_CONTROL'!$D$45, '1_PANEL_CONTROL'!$C$45/12, 0)</f>
        <v>2500</v>
      </c>
      <c r="BJ79" s="33">
        <f>IF(BJ$8&gt;='1_PANEL_CONTROL'!$D$45, '1_PANEL_CONTROL'!$C$45/12, 0)</f>
        <v>2500</v>
      </c>
      <c r="BK79" s="33">
        <f>IF(BK$8&gt;='1_PANEL_CONTROL'!$D$45, '1_PANEL_CONTROL'!$C$45/12, 0)</f>
        <v>2500</v>
      </c>
      <c r="BL79" s="33">
        <f>IF(BL$8&gt;='1_PANEL_CONTROL'!$D$45, '1_PANEL_CONTROL'!$C$45/12, 0)</f>
        <v>2500</v>
      </c>
      <c r="BM79" s="33">
        <f>IF(BM$8&gt;='1_PANEL_CONTROL'!$D$45, '1_PANEL_CONTROL'!$C$45/12, 0)</f>
        <v>2500</v>
      </c>
      <c r="BN79" s="33">
        <f>IF(BN$8&gt;='1_PANEL_CONTROL'!$D$45, '1_PANEL_CONTROL'!$C$45/12, 0)</f>
        <v>2500</v>
      </c>
      <c r="BO79" s="33">
        <f>IF(BO$8&gt;='1_PANEL_CONTROL'!$D$45, '1_PANEL_CONTROL'!$C$45/12, 0)</f>
        <v>2500</v>
      </c>
      <c r="BP79" s="33">
        <f>IF(BP$8&gt;='1_PANEL_CONTROL'!$D$45, '1_PANEL_CONTROL'!$C$45/12, 0)</f>
        <v>2500</v>
      </c>
      <c r="BQ79" s="33">
        <f>IF(BQ$8&gt;='1_PANEL_CONTROL'!$D$45, '1_PANEL_CONTROL'!$C$45/12, 0)</f>
        <v>2500</v>
      </c>
      <c r="BR79" s="33">
        <f>IF(BR$8&gt;='1_PANEL_CONTROL'!$D$45, '1_PANEL_CONTROL'!$C$45/12, 0)</f>
        <v>2500</v>
      </c>
      <c r="BS79" s="33">
        <f>IF(BS$8&gt;='1_PANEL_CONTROL'!$D$45, '1_PANEL_CONTROL'!$C$45/12, 0)</f>
        <v>2500</v>
      </c>
      <c r="BT79" s="33">
        <f>IF(BT$8&gt;='1_PANEL_CONTROL'!$D$45, '1_PANEL_CONTROL'!$C$45/12, 0)</f>
        <v>2500</v>
      </c>
      <c r="BU79" s="33">
        <f>IF(BU$8&gt;='1_PANEL_CONTROL'!$D$45, '1_PANEL_CONTROL'!$C$45/12, 0)</f>
        <v>2500</v>
      </c>
      <c r="BV79" s="33">
        <f>IF(BV$8&gt;='1_PANEL_CONTROL'!$D$45, '1_PANEL_CONTROL'!$C$45/12, 0)</f>
        <v>2500</v>
      </c>
      <c r="BW79" s="33">
        <f>IF(BW$8&gt;='1_PANEL_CONTROL'!$D$45, '1_PANEL_CONTROL'!$C$45/12, 0)</f>
        <v>2500</v>
      </c>
      <c r="BX79" s="33">
        <f>IF(BX$8&gt;='1_PANEL_CONTROL'!$D$45, '1_PANEL_CONTROL'!$C$45/12, 0)</f>
        <v>2500</v>
      </c>
      <c r="BY79" s="33">
        <f>IF(BY$8&gt;='1_PANEL_CONTROL'!$D$45, '1_PANEL_CONTROL'!$C$45/12, 0)</f>
        <v>2500</v>
      </c>
      <c r="BZ79" s="33">
        <f>IF(BZ$8&gt;='1_PANEL_CONTROL'!$D$45, '1_PANEL_CONTROL'!$C$45/12, 0)</f>
        <v>2500</v>
      </c>
      <c r="CA79" s="33">
        <f>IF(CA$8&gt;='1_PANEL_CONTROL'!$D$45, '1_PANEL_CONTROL'!$C$45/12, 0)</f>
        <v>2500</v>
      </c>
      <c r="CB79" s="33">
        <f>IF(CB$8&gt;='1_PANEL_CONTROL'!$D$45, '1_PANEL_CONTROL'!$C$45/12, 0)</f>
        <v>2500</v>
      </c>
      <c r="CC79" s="33">
        <f>IF(CC$8&gt;='1_PANEL_CONTROL'!$D$45, '1_PANEL_CONTROL'!$C$45/12, 0)</f>
        <v>2500</v>
      </c>
      <c r="CD79" s="33">
        <f>IF(CD$8&gt;='1_PANEL_CONTROL'!$D$45, '1_PANEL_CONTROL'!$C$45/12, 0)</f>
        <v>2500</v>
      </c>
      <c r="CE79" s="33">
        <f>IF(CE$8&gt;='1_PANEL_CONTROL'!$D$45, '1_PANEL_CONTROL'!$C$45/12, 0)</f>
        <v>2500</v>
      </c>
      <c r="CF79" s="33">
        <f>IF(CF$8&gt;='1_PANEL_CONTROL'!$D$45, '1_PANEL_CONTROL'!$C$45/12, 0)</f>
        <v>2500</v>
      </c>
      <c r="CG79" s="33">
        <f>IF(CG$8&gt;='1_PANEL_CONTROL'!$D$45, '1_PANEL_CONTROL'!$C$45/12, 0)</f>
        <v>2500</v>
      </c>
      <c r="CH79" s="33">
        <f>IF(CH$8&gt;='1_PANEL_CONTROL'!$D$45, '1_PANEL_CONTROL'!$C$45/12, 0)</f>
        <v>2500</v>
      </c>
      <c r="CI79" s="33">
        <f>IF(CI$8&gt;='1_PANEL_CONTROL'!$D$45, '1_PANEL_CONTROL'!$C$45/12, 0)</f>
        <v>2500</v>
      </c>
    </row>
    <row r="80" spans="1:87" ht="16">
      <c r="A80" s="6" t="s">
        <v>586</v>
      </c>
      <c r="B80" s="30" t="s">
        <v>465</v>
      </c>
      <c r="C80" s="15"/>
      <c r="D80" s="33">
        <f>IF(D$8&gt;='1_PANEL_CONTROL'!$D$45, MIN(MAX(D79, $D$6), $D$5), 0)</f>
        <v>0</v>
      </c>
      <c r="E80" s="33">
        <f>IF(E$8&gt;='1_PANEL_CONTROL'!$D$45, MIN(MAX(E79, $D$6), $D$5), 0)</f>
        <v>0</v>
      </c>
      <c r="F80" s="33">
        <f>IF(F$8&gt;='1_PANEL_CONTROL'!$D$45, MIN(MAX(F79, $D$6), $D$5), 0)</f>
        <v>0</v>
      </c>
      <c r="G80" s="33">
        <f>IF(G$8&gt;='1_PANEL_CONTROL'!$D$45, MIN(MAX(G79, $D$6), $D$5), 0)</f>
        <v>0</v>
      </c>
      <c r="H80" s="33">
        <f>IF(H$8&gt;='1_PANEL_CONTROL'!$D$45, MIN(MAX(H79, $D$6), $D$5), 0)</f>
        <v>0</v>
      </c>
      <c r="I80" s="33">
        <f>IF(I$8&gt;='1_PANEL_CONTROL'!$D$45, MIN(MAX(I79, $D$6), $D$5), 0)</f>
        <v>0</v>
      </c>
      <c r="J80" s="33">
        <f>IF(J$8&gt;='1_PANEL_CONTROL'!$D$45, MIN(MAX(J79, $D$6), $D$5), 0)</f>
        <v>0</v>
      </c>
      <c r="K80" s="33">
        <f>IF(K$8&gt;='1_PANEL_CONTROL'!$D$45, MIN(MAX(K79, $D$6), $D$5), 0)</f>
        <v>0</v>
      </c>
      <c r="L80" s="33">
        <f>IF(L$8&gt;='1_PANEL_CONTROL'!$D$45, MIN(MAX(L79, $D$6), $D$5), 0)</f>
        <v>0</v>
      </c>
      <c r="M80" s="33">
        <f>IF(M$8&gt;='1_PANEL_CONTROL'!$D$45, MIN(MAX(M79, $D$6), $D$5), 0)</f>
        <v>0</v>
      </c>
      <c r="N80" s="33">
        <f>IF(N$8&gt;='1_PANEL_CONTROL'!$D$45, MIN(MAX(N79, $D$6), $D$5), 0)</f>
        <v>0</v>
      </c>
      <c r="O80" s="33">
        <f>IF(O$8&gt;='1_PANEL_CONTROL'!$D$45, MIN(MAX(O79, $D$6), $D$5), 0)</f>
        <v>0</v>
      </c>
      <c r="P80" s="33">
        <f>IF(P$8&gt;='1_PANEL_CONTROL'!$D$45, MIN(MAX(P79, $D$6), $D$5), 0)</f>
        <v>2500</v>
      </c>
      <c r="Q80" s="33">
        <f>IF(Q$8&gt;='1_PANEL_CONTROL'!$D$45, MIN(MAX(Q79, $D$6), $D$5), 0)</f>
        <v>2500</v>
      </c>
      <c r="R80" s="33">
        <f>IF(R$8&gt;='1_PANEL_CONTROL'!$D$45, MIN(MAX(R79, $D$6), $D$5), 0)</f>
        <v>2500</v>
      </c>
      <c r="S80" s="33">
        <f>IF(S$8&gt;='1_PANEL_CONTROL'!$D$45, MIN(MAX(S79, $D$6), $D$5), 0)</f>
        <v>2500</v>
      </c>
      <c r="T80" s="33">
        <f>IF(T$8&gt;='1_PANEL_CONTROL'!$D$45, MIN(MAX(T79, $D$6), $D$5), 0)</f>
        <v>2500</v>
      </c>
      <c r="U80" s="33">
        <f>IF(U$8&gt;='1_PANEL_CONTROL'!$D$45, MIN(MAX(U79, $D$6), $D$5), 0)</f>
        <v>2500</v>
      </c>
      <c r="V80" s="33">
        <f>IF(V$8&gt;='1_PANEL_CONTROL'!$D$45, MIN(MAX(V79, $D$6), $D$5), 0)</f>
        <v>2500</v>
      </c>
      <c r="W80" s="33">
        <f>IF(W$8&gt;='1_PANEL_CONTROL'!$D$45, MIN(MAX(W79, $D$6), $D$5), 0)</f>
        <v>2500</v>
      </c>
      <c r="X80" s="33">
        <f>IF(X$8&gt;='1_PANEL_CONTROL'!$D$45, MIN(MAX(X79, $D$6), $D$5), 0)</f>
        <v>2500</v>
      </c>
      <c r="Y80" s="33">
        <f>IF(Y$8&gt;='1_PANEL_CONTROL'!$D$45, MIN(MAX(Y79, $D$6), $D$5), 0)</f>
        <v>2500</v>
      </c>
      <c r="Z80" s="33">
        <f>IF(Z$8&gt;='1_PANEL_CONTROL'!$D$45, MIN(MAX(Z79, $D$6), $D$5), 0)</f>
        <v>2500</v>
      </c>
      <c r="AA80" s="33">
        <f>IF(AA$8&gt;='1_PANEL_CONTROL'!$D$45, MIN(MAX(AA79, $D$6), $D$5), 0)</f>
        <v>2500</v>
      </c>
      <c r="AB80" s="33">
        <f>IF(AB$8&gt;='1_PANEL_CONTROL'!$D$45, MIN(MAX(AB79, $D$6), $D$5), 0)</f>
        <v>2500</v>
      </c>
      <c r="AC80" s="33">
        <f>IF(AC$8&gt;='1_PANEL_CONTROL'!$D$45, MIN(MAX(AC79, $D$6), $D$5), 0)</f>
        <v>2500</v>
      </c>
      <c r="AD80" s="33">
        <f>IF(AD$8&gt;='1_PANEL_CONTROL'!$D$45, MIN(MAX(AD79, $D$6), $D$5), 0)</f>
        <v>2500</v>
      </c>
      <c r="AE80" s="33">
        <f>IF(AE$8&gt;='1_PANEL_CONTROL'!$D$45, MIN(MAX(AE79, $D$6), $D$5), 0)</f>
        <v>2500</v>
      </c>
      <c r="AF80" s="33">
        <f>IF(AF$8&gt;='1_PANEL_CONTROL'!$D$45, MIN(MAX(AF79, $D$6), $D$5), 0)</f>
        <v>2500</v>
      </c>
      <c r="AG80" s="33">
        <f>IF(AG$8&gt;='1_PANEL_CONTROL'!$D$45, MIN(MAX(AG79, $D$6), $D$5), 0)</f>
        <v>2500</v>
      </c>
      <c r="AH80" s="33">
        <f>IF(AH$8&gt;='1_PANEL_CONTROL'!$D$45, MIN(MAX(AH79, $D$6), $D$5), 0)</f>
        <v>2500</v>
      </c>
      <c r="AI80" s="33">
        <f>IF(AI$8&gt;='1_PANEL_CONTROL'!$D$45, MIN(MAX(AI79, $D$6), $D$5), 0)</f>
        <v>2500</v>
      </c>
      <c r="AJ80" s="33">
        <f>IF(AJ$8&gt;='1_PANEL_CONTROL'!$D$45, MIN(MAX(AJ79, $D$6), $D$5), 0)</f>
        <v>2500</v>
      </c>
      <c r="AK80" s="33">
        <f>IF(AK$8&gt;='1_PANEL_CONTROL'!$D$45, MIN(MAX(AK79, $D$6), $D$5), 0)</f>
        <v>2500</v>
      </c>
      <c r="AL80" s="33">
        <f>IF(AL$8&gt;='1_PANEL_CONTROL'!$D$45, MIN(MAX(AL79, $D$6), $D$5), 0)</f>
        <v>2500</v>
      </c>
      <c r="AM80" s="33">
        <f>IF(AM$8&gt;='1_PANEL_CONTROL'!$D$45, MIN(MAX(AM79, $D$6), $D$5), 0)</f>
        <v>2500</v>
      </c>
      <c r="AN80" s="33">
        <f>IF(AN$8&gt;='1_PANEL_CONTROL'!$D$45, MIN(MAX(AN79, $D$6), $D$5), 0)</f>
        <v>2500</v>
      </c>
      <c r="AO80" s="33">
        <f>IF(AO$8&gt;='1_PANEL_CONTROL'!$D$45, MIN(MAX(AO79, $D$6), $D$5), 0)</f>
        <v>2500</v>
      </c>
      <c r="AP80" s="33">
        <f>IF(AP$8&gt;='1_PANEL_CONTROL'!$D$45, MIN(MAX(AP79, $D$6), $D$5), 0)</f>
        <v>2500</v>
      </c>
      <c r="AQ80" s="33">
        <f>IF(AQ$8&gt;='1_PANEL_CONTROL'!$D$45, MIN(MAX(AQ79, $D$6), $D$5), 0)</f>
        <v>2500</v>
      </c>
      <c r="AR80" s="33">
        <f>IF(AR$8&gt;='1_PANEL_CONTROL'!$D$45, MIN(MAX(AR79, $D$6), $D$5), 0)</f>
        <v>2500</v>
      </c>
      <c r="AS80" s="33">
        <f>IF(AS$8&gt;='1_PANEL_CONTROL'!$D$45, MIN(MAX(AS79, $D$6), $D$5), 0)</f>
        <v>2500</v>
      </c>
      <c r="AT80" s="33">
        <f>IF(AT$8&gt;='1_PANEL_CONTROL'!$D$45, MIN(MAX(AT79, $D$6), $D$5), 0)</f>
        <v>2500</v>
      </c>
      <c r="AU80" s="33">
        <f>IF(AU$8&gt;='1_PANEL_CONTROL'!$D$45, MIN(MAX(AU79, $D$6), $D$5), 0)</f>
        <v>2500</v>
      </c>
      <c r="AV80" s="33">
        <f>IF(AV$8&gt;='1_PANEL_CONTROL'!$D$45, MIN(MAX(AV79, $D$6), $D$5), 0)</f>
        <v>2500</v>
      </c>
      <c r="AW80" s="33">
        <f>IF(AW$8&gt;='1_PANEL_CONTROL'!$D$45, MIN(MAX(AW79, $D$6), $D$5), 0)</f>
        <v>2500</v>
      </c>
      <c r="AX80" s="33">
        <f>IF(AX$8&gt;='1_PANEL_CONTROL'!$D$45, MIN(MAX(AX79, $D$6), $D$5), 0)</f>
        <v>2500</v>
      </c>
      <c r="AY80" s="33">
        <f>IF(AY$8&gt;='1_PANEL_CONTROL'!$D$45, MIN(MAX(AY79, $D$6), $D$5), 0)</f>
        <v>2500</v>
      </c>
      <c r="AZ80" s="33">
        <f>IF(AZ$8&gt;='1_PANEL_CONTROL'!$D$45, MIN(MAX(AZ79, $D$6), $D$5), 0)</f>
        <v>2500</v>
      </c>
      <c r="BA80" s="33">
        <f>IF(BA$8&gt;='1_PANEL_CONTROL'!$D$45, MIN(MAX(BA79, $D$6), $D$5), 0)</f>
        <v>2500</v>
      </c>
      <c r="BB80" s="33">
        <f>IF(BB$8&gt;='1_PANEL_CONTROL'!$D$45, MIN(MAX(BB79, $D$6), $D$5), 0)</f>
        <v>2500</v>
      </c>
      <c r="BC80" s="33">
        <f>IF(BC$8&gt;='1_PANEL_CONTROL'!$D$45, MIN(MAX(BC79, $D$6), $D$5), 0)</f>
        <v>2500</v>
      </c>
      <c r="BD80" s="33">
        <f>IF(BD$8&gt;='1_PANEL_CONTROL'!$D$45, MIN(MAX(BD79, $D$6), $D$5), 0)</f>
        <v>2500</v>
      </c>
      <c r="BE80" s="33">
        <f>IF(BE$8&gt;='1_PANEL_CONTROL'!$D$45, MIN(MAX(BE79, $D$6), $D$5), 0)</f>
        <v>2500</v>
      </c>
      <c r="BF80" s="33">
        <f>IF(BF$8&gt;='1_PANEL_CONTROL'!$D$45, MIN(MAX(BF79, $D$6), $D$5), 0)</f>
        <v>2500</v>
      </c>
      <c r="BG80" s="33">
        <f>IF(BG$8&gt;='1_PANEL_CONTROL'!$D$45, MIN(MAX(BG79, $D$6), $D$5), 0)</f>
        <v>2500</v>
      </c>
      <c r="BH80" s="33">
        <f>IF(BH$8&gt;='1_PANEL_CONTROL'!$D$45, MIN(MAX(BH79, $D$6), $D$5), 0)</f>
        <v>2500</v>
      </c>
      <c r="BI80" s="33">
        <f>IF(BI$8&gt;='1_PANEL_CONTROL'!$D$45, MIN(MAX(BI79, $D$6), $D$5), 0)</f>
        <v>2500</v>
      </c>
      <c r="BJ80" s="33">
        <f>IF(BJ$8&gt;='1_PANEL_CONTROL'!$D$45, MIN(MAX(BJ79, $D$6), $D$5), 0)</f>
        <v>2500</v>
      </c>
      <c r="BK80" s="33">
        <f>IF(BK$8&gt;='1_PANEL_CONTROL'!$D$45, MIN(MAX(BK79, $D$6), $D$5), 0)</f>
        <v>2500</v>
      </c>
      <c r="BL80" s="33">
        <f>IF(BL$8&gt;='1_PANEL_CONTROL'!$D$45, MIN(MAX(BL79, $D$6), $D$5), 0)</f>
        <v>2500</v>
      </c>
      <c r="BM80" s="33">
        <f>IF(BM$8&gt;='1_PANEL_CONTROL'!$D$45, MIN(MAX(BM79, $D$6), $D$5), 0)</f>
        <v>2500</v>
      </c>
      <c r="BN80" s="33">
        <f>IF(BN$8&gt;='1_PANEL_CONTROL'!$D$45, MIN(MAX(BN79, $D$6), $D$5), 0)</f>
        <v>2500</v>
      </c>
      <c r="BO80" s="33">
        <f>IF(BO$8&gt;='1_PANEL_CONTROL'!$D$45, MIN(MAX(BO79, $D$6), $D$5), 0)</f>
        <v>2500</v>
      </c>
      <c r="BP80" s="33">
        <f>IF(BP$8&gt;='1_PANEL_CONTROL'!$D$45, MIN(MAX(BP79, $D$6), $D$5), 0)</f>
        <v>2500</v>
      </c>
      <c r="BQ80" s="33">
        <f>IF(BQ$8&gt;='1_PANEL_CONTROL'!$D$45, MIN(MAX(BQ79, $D$6), $D$5), 0)</f>
        <v>2500</v>
      </c>
      <c r="BR80" s="33">
        <f>IF(BR$8&gt;='1_PANEL_CONTROL'!$D$45, MIN(MAX(BR79, $D$6), $D$5), 0)</f>
        <v>2500</v>
      </c>
      <c r="BS80" s="33">
        <f>IF(BS$8&gt;='1_PANEL_CONTROL'!$D$45, MIN(MAX(BS79, $D$6), $D$5), 0)</f>
        <v>2500</v>
      </c>
      <c r="BT80" s="33">
        <f>IF(BT$8&gt;='1_PANEL_CONTROL'!$D$45, MIN(MAX(BT79, $D$6), $D$5), 0)</f>
        <v>2500</v>
      </c>
      <c r="BU80" s="33">
        <f>IF(BU$8&gt;='1_PANEL_CONTROL'!$D$45, MIN(MAX(BU79, $D$6), $D$5), 0)</f>
        <v>2500</v>
      </c>
      <c r="BV80" s="33">
        <f>IF(BV$8&gt;='1_PANEL_CONTROL'!$D$45, MIN(MAX(BV79, $D$6), $D$5), 0)</f>
        <v>2500</v>
      </c>
      <c r="BW80" s="33">
        <f>IF(BW$8&gt;='1_PANEL_CONTROL'!$D$45, MIN(MAX(BW79, $D$6), $D$5), 0)</f>
        <v>2500</v>
      </c>
      <c r="BX80" s="33">
        <f>IF(BX$8&gt;='1_PANEL_CONTROL'!$D$45, MIN(MAX(BX79, $D$6), $D$5), 0)</f>
        <v>2500</v>
      </c>
      <c r="BY80" s="33">
        <f>IF(BY$8&gt;='1_PANEL_CONTROL'!$D$45, MIN(MAX(BY79, $D$6), $D$5), 0)</f>
        <v>2500</v>
      </c>
      <c r="BZ80" s="33">
        <f>IF(BZ$8&gt;='1_PANEL_CONTROL'!$D$45, MIN(MAX(BZ79, $D$6), $D$5), 0)</f>
        <v>2500</v>
      </c>
      <c r="CA80" s="33">
        <f>IF(CA$8&gt;='1_PANEL_CONTROL'!$D$45, MIN(MAX(CA79, $D$6), $D$5), 0)</f>
        <v>2500</v>
      </c>
      <c r="CB80" s="33">
        <f>IF(CB$8&gt;='1_PANEL_CONTROL'!$D$45, MIN(MAX(CB79, $D$6), $D$5), 0)</f>
        <v>2500</v>
      </c>
      <c r="CC80" s="33">
        <f>IF(CC$8&gt;='1_PANEL_CONTROL'!$D$45, MIN(MAX(CC79, $D$6), $D$5), 0)</f>
        <v>2500</v>
      </c>
      <c r="CD80" s="33">
        <f>IF(CD$8&gt;='1_PANEL_CONTROL'!$D$45, MIN(MAX(CD79, $D$6), $D$5), 0)</f>
        <v>2500</v>
      </c>
      <c r="CE80" s="33">
        <f>IF(CE$8&gt;='1_PANEL_CONTROL'!$D$45, MIN(MAX(CE79, $D$6), $D$5), 0)</f>
        <v>2500</v>
      </c>
      <c r="CF80" s="33">
        <f>IF(CF$8&gt;='1_PANEL_CONTROL'!$D$45, MIN(MAX(CF79, $D$6), $D$5), 0)</f>
        <v>2500</v>
      </c>
      <c r="CG80" s="33">
        <f>IF(CG$8&gt;='1_PANEL_CONTROL'!$D$45, MIN(MAX(CG79, $D$6), $D$5), 0)</f>
        <v>2500</v>
      </c>
      <c r="CH80" s="33">
        <f>IF(CH$8&gt;='1_PANEL_CONTROL'!$D$45, MIN(MAX(CH79, $D$6), $D$5), 0)</f>
        <v>2500</v>
      </c>
      <c r="CI80" s="33">
        <f>IF(CI$8&gt;='1_PANEL_CONTROL'!$D$45, MIN(MAX(CI79, $D$6), $D$5), 0)</f>
        <v>2500</v>
      </c>
    </row>
    <row r="81" spans="1:87" ht="16">
      <c r="A81" s="6" t="s">
        <v>587</v>
      </c>
      <c r="B81" s="30" t="s">
        <v>465</v>
      </c>
      <c r="C81" s="15"/>
      <c r="D81" s="33">
        <f t="shared" ref="D81:AI81" si="69">D80*$B$5</f>
        <v>0</v>
      </c>
      <c r="E81" s="33">
        <f t="shared" si="69"/>
        <v>0</v>
      </c>
      <c r="F81" s="33">
        <f t="shared" si="69"/>
        <v>0</v>
      </c>
      <c r="G81" s="33">
        <f t="shared" si="69"/>
        <v>0</v>
      </c>
      <c r="H81" s="33">
        <f t="shared" si="69"/>
        <v>0</v>
      </c>
      <c r="I81" s="33">
        <f t="shared" si="69"/>
        <v>0</v>
      </c>
      <c r="J81" s="33">
        <f t="shared" si="69"/>
        <v>0</v>
      </c>
      <c r="K81" s="33">
        <f t="shared" si="69"/>
        <v>0</v>
      </c>
      <c r="L81" s="33">
        <f t="shared" si="69"/>
        <v>0</v>
      </c>
      <c r="M81" s="33">
        <f t="shared" si="69"/>
        <v>0</v>
      </c>
      <c r="N81" s="33">
        <f t="shared" si="69"/>
        <v>0</v>
      </c>
      <c r="O81" s="33">
        <f t="shared" si="69"/>
        <v>0</v>
      </c>
      <c r="P81" s="33">
        <f t="shared" si="69"/>
        <v>802.5</v>
      </c>
      <c r="Q81" s="33">
        <f t="shared" si="69"/>
        <v>802.5</v>
      </c>
      <c r="R81" s="33">
        <f t="shared" si="69"/>
        <v>802.5</v>
      </c>
      <c r="S81" s="33">
        <f t="shared" si="69"/>
        <v>802.5</v>
      </c>
      <c r="T81" s="33">
        <f t="shared" si="69"/>
        <v>802.5</v>
      </c>
      <c r="U81" s="33">
        <f t="shared" si="69"/>
        <v>802.5</v>
      </c>
      <c r="V81" s="33">
        <f t="shared" si="69"/>
        <v>802.5</v>
      </c>
      <c r="W81" s="33">
        <f t="shared" si="69"/>
        <v>802.5</v>
      </c>
      <c r="X81" s="33">
        <f t="shared" si="69"/>
        <v>802.5</v>
      </c>
      <c r="Y81" s="33">
        <f t="shared" si="69"/>
        <v>802.5</v>
      </c>
      <c r="Z81" s="33">
        <f t="shared" si="69"/>
        <v>802.5</v>
      </c>
      <c r="AA81" s="33">
        <f t="shared" si="69"/>
        <v>802.5</v>
      </c>
      <c r="AB81" s="33">
        <f t="shared" si="69"/>
        <v>802.5</v>
      </c>
      <c r="AC81" s="33">
        <f t="shared" si="69"/>
        <v>802.5</v>
      </c>
      <c r="AD81" s="33">
        <f t="shared" si="69"/>
        <v>802.5</v>
      </c>
      <c r="AE81" s="33">
        <f t="shared" si="69"/>
        <v>802.5</v>
      </c>
      <c r="AF81" s="33">
        <f t="shared" si="69"/>
        <v>802.5</v>
      </c>
      <c r="AG81" s="33">
        <f t="shared" si="69"/>
        <v>802.5</v>
      </c>
      <c r="AH81" s="33">
        <f t="shared" si="69"/>
        <v>802.5</v>
      </c>
      <c r="AI81" s="33">
        <f t="shared" si="69"/>
        <v>802.5</v>
      </c>
      <c r="AJ81" s="33">
        <f t="shared" ref="AJ81:BO81" si="70">AJ80*$B$5</f>
        <v>802.5</v>
      </c>
      <c r="AK81" s="33">
        <f t="shared" si="70"/>
        <v>802.5</v>
      </c>
      <c r="AL81" s="33">
        <f t="shared" si="70"/>
        <v>802.5</v>
      </c>
      <c r="AM81" s="33">
        <f t="shared" si="70"/>
        <v>802.5</v>
      </c>
      <c r="AN81" s="33">
        <f t="shared" si="70"/>
        <v>802.5</v>
      </c>
      <c r="AO81" s="33">
        <f t="shared" si="70"/>
        <v>802.5</v>
      </c>
      <c r="AP81" s="33">
        <f t="shared" si="70"/>
        <v>802.5</v>
      </c>
      <c r="AQ81" s="33">
        <f t="shared" si="70"/>
        <v>802.5</v>
      </c>
      <c r="AR81" s="33">
        <f t="shared" si="70"/>
        <v>802.5</v>
      </c>
      <c r="AS81" s="33">
        <f t="shared" si="70"/>
        <v>802.5</v>
      </c>
      <c r="AT81" s="33">
        <f t="shared" si="70"/>
        <v>802.5</v>
      </c>
      <c r="AU81" s="33">
        <f t="shared" si="70"/>
        <v>802.5</v>
      </c>
      <c r="AV81" s="33">
        <f t="shared" si="70"/>
        <v>802.5</v>
      </c>
      <c r="AW81" s="33">
        <f t="shared" si="70"/>
        <v>802.5</v>
      </c>
      <c r="AX81" s="33">
        <f t="shared" si="70"/>
        <v>802.5</v>
      </c>
      <c r="AY81" s="33">
        <f t="shared" si="70"/>
        <v>802.5</v>
      </c>
      <c r="AZ81" s="33">
        <f t="shared" si="70"/>
        <v>802.5</v>
      </c>
      <c r="BA81" s="33">
        <f t="shared" si="70"/>
        <v>802.5</v>
      </c>
      <c r="BB81" s="33">
        <f t="shared" si="70"/>
        <v>802.5</v>
      </c>
      <c r="BC81" s="33">
        <f t="shared" si="70"/>
        <v>802.5</v>
      </c>
      <c r="BD81" s="33">
        <f t="shared" si="70"/>
        <v>802.5</v>
      </c>
      <c r="BE81" s="33">
        <f t="shared" si="70"/>
        <v>802.5</v>
      </c>
      <c r="BF81" s="33">
        <f t="shared" si="70"/>
        <v>802.5</v>
      </c>
      <c r="BG81" s="33">
        <f t="shared" si="70"/>
        <v>802.5</v>
      </c>
      <c r="BH81" s="33">
        <f t="shared" si="70"/>
        <v>802.5</v>
      </c>
      <c r="BI81" s="33">
        <f t="shared" si="70"/>
        <v>802.5</v>
      </c>
      <c r="BJ81" s="33">
        <f t="shared" si="70"/>
        <v>802.5</v>
      </c>
      <c r="BK81" s="33">
        <f t="shared" si="70"/>
        <v>802.5</v>
      </c>
      <c r="BL81" s="33">
        <f t="shared" si="70"/>
        <v>802.5</v>
      </c>
      <c r="BM81" s="33">
        <f t="shared" si="70"/>
        <v>802.5</v>
      </c>
      <c r="BN81" s="33">
        <f t="shared" si="70"/>
        <v>802.5</v>
      </c>
      <c r="BO81" s="33">
        <f t="shared" si="70"/>
        <v>802.5</v>
      </c>
      <c r="BP81" s="33">
        <f t="shared" ref="BP81:CU81" si="71">BP80*$B$5</f>
        <v>802.5</v>
      </c>
      <c r="BQ81" s="33">
        <f t="shared" si="71"/>
        <v>802.5</v>
      </c>
      <c r="BR81" s="33">
        <f t="shared" si="71"/>
        <v>802.5</v>
      </c>
      <c r="BS81" s="33">
        <f t="shared" si="71"/>
        <v>802.5</v>
      </c>
      <c r="BT81" s="33">
        <f t="shared" si="71"/>
        <v>802.5</v>
      </c>
      <c r="BU81" s="33">
        <f t="shared" si="71"/>
        <v>802.5</v>
      </c>
      <c r="BV81" s="33">
        <f t="shared" si="71"/>
        <v>802.5</v>
      </c>
      <c r="BW81" s="33">
        <f t="shared" si="71"/>
        <v>802.5</v>
      </c>
      <c r="BX81" s="33">
        <f t="shared" si="71"/>
        <v>802.5</v>
      </c>
      <c r="BY81" s="33">
        <f t="shared" si="71"/>
        <v>802.5</v>
      </c>
      <c r="BZ81" s="33">
        <f t="shared" si="71"/>
        <v>802.5</v>
      </c>
      <c r="CA81" s="33">
        <f t="shared" si="71"/>
        <v>802.5</v>
      </c>
      <c r="CB81" s="33">
        <f t="shared" si="71"/>
        <v>802.5</v>
      </c>
      <c r="CC81" s="33">
        <f t="shared" si="71"/>
        <v>802.5</v>
      </c>
      <c r="CD81" s="33">
        <f t="shared" si="71"/>
        <v>802.5</v>
      </c>
      <c r="CE81" s="33">
        <f t="shared" si="71"/>
        <v>802.5</v>
      </c>
      <c r="CF81" s="33">
        <f t="shared" si="71"/>
        <v>802.5</v>
      </c>
      <c r="CG81" s="33">
        <f t="shared" si="71"/>
        <v>802.5</v>
      </c>
      <c r="CH81" s="33">
        <f t="shared" si="71"/>
        <v>802.5</v>
      </c>
      <c r="CI81" s="33">
        <f t="shared" si="71"/>
        <v>802.5</v>
      </c>
    </row>
    <row r="82" spans="1:87" ht="16">
      <c r="A82" s="6" t="s">
        <v>588</v>
      </c>
      <c r="B82" s="30" t="s">
        <v>465</v>
      </c>
      <c r="C82" s="15"/>
      <c r="D82" s="33">
        <f t="shared" ref="D82:AI82" si="72">D80*$B$6</f>
        <v>0</v>
      </c>
      <c r="E82" s="33">
        <f t="shared" si="72"/>
        <v>0</v>
      </c>
      <c r="F82" s="33">
        <f t="shared" si="72"/>
        <v>0</v>
      </c>
      <c r="G82" s="33">
        <f t="shared" si="72"/>
        <v>0</v>
      </c>
      <c r="H82" s="33">
        <f t="shared" si="72"/>
        <v>0</v>
      </c>
      <c r="I82" s="33">
        <f t="shared" si="72"/>
        <v>0</v>
      </c>
      <c r="J82" s="33">
        <f t="shared" si="72"/>
        <v>0</v>
      </c>
      <c r="K82" s="33">
        <f t="shared" si="72"/>
        <v>0</v>
      </c>
      <c r="L82" s="33">
        <f t="shared" si="72"/>
        <v>0</v>
      </c>
      <c r="M82" s="33">
        <f t="shared" si="72"/>
        <v>0</v>
      </c>
      <c r="N82" s="33">
        <f t="shared" si="72"/>
        <v>0</v>
      </c>
      <c r="O82" s="33">
        <f t="shared" si="72"/>
        <v>0</v>
      </c>
      <c r="P82" s="33">
        <f t="shared" si="72"/>
        <v>161.74999999999997</v>
      </c>
      <c r="Q82" s="33">
        <f t="shared" si="72"/>
        <v>161.74999999999997</v>
      </c>
      <c r="R82" s="33">
        <f t="shared" si="72"/>
        <v>161.74999999999997</v>
      </c>
      <c r="S82" s="33">
        <f t="shared" si="72"/>
        <v>161.74999999999997</v>
      </c>
      <c r="T82" s="33">
        <f t="shared" si="72"/>
        <v>161.74999999999997</v>
      </c>
      <c r="U82" s="33">
        <f t="shared" si="72"/>
        <v>161.74999999999997</v>
      </c>
      <c r="V82" s="33">
        <f t="shared" si="72"/>
        <v>161.74999999999997</v>
      </c>
      <c r="W82" s="33">
        <f t="shared" si="72"/>
        <v>161.74999999999997</v>
      </c>
      <c r="X82" s="33">
        <f t="shared" si="72"/>
        <v>161.74999999999997</v>
      </c>
      <c r="Y82" s="33">
        <f t="shared" si="72"/>
        <v>161.74999999999997</v>
      </c>
      <c r="Z82" s="33">
        <f t="shared" si="72"/>
        <v>161.74999999999997</v>
      </c>
      <c r="AA82" s="33">
        <f t="shared" si="72"/>
        <v>161.74999999999997</v>
      </c>
      <c r="AB82" s="33">
        <f t="shared" si="72"/>
        <v>161.74999999999997</v>
      </c>
      <c r="AC82" s="33">
        <f t="shared" si="72"/>
        <v>161.74999999999997</v>
      </c>
      <c r="AD82" s="33">
        <f t="shared" si="72"/>
        <v>161.74999999999997</v>
      </c>
      <c r="AE82" s="33">
        <f t="shared" si="72"/>
        <v>161.74999999999997</v>
      </c>
      <c r="AF82" s="33">
        <f t="shared" si="72"/>
        <v>161.74999999999997</v>
      </c>
      <c r="AG82" s="33">
        <f t="shared" si="72"/>
        <v>161.74999999999997</v>
      </c>
      <c r="AH82" s="33">
        <f t="shared" si="72"/>
        <v>161.74999999999997</v>
      </c>
      <c r="AI82" s="33">
        <f t="shared" si="72"/>
        <v>161.74999999999997</v>
      </c>
      <c r="AJ82" s="33">
        <f t="shared" ref="AJ82:BO82" si="73">AJ80*$B$6</f>
        <v>161.74999999999997</v>
      </c>
      <c r="AK82" s="33">
        <f t="shared" si="73"/>
        <v>161.74999999999997</v>
      </c>
      <c r="AL82" s="33">
        <f t="shared" si="73"/>
        <v>161.74999999999997</v>
      </c>
      <c r="AM82" s="33">
        <f t="shared" si="73"/>
        <v>161.74999999999997</v>
      </c>
      <c r="AN82" s="33">
        <f t="shared" si="73"/>
        <v>161.74999999999997</v>
      </c>
      <c r="AO82" s="33">
        <f t="shared" si="73"/>
        <v>161.74999999999997</v>
      </c>
      <c r="AP82" s="33">
        <f t="shared" si="73"/>
        <v>161.74999999999997</v>
      </c>
      <c r="AQ82" s="33">
        <f t="shared" si="73"/>
        <v>161.74999999999997</v>
      </c>
      <c r="AR82" s="33">
        <f t="shared" si="73"/>
        <v>161.74999999999997</v>
      </c>
      <c r="AS82" s="33">
        <f t="shared" si="73"/>
        <v>161.74999999999997</v>
      </c>
      <c r="AT82" s="33">
        <f t="shared" si="73"/>
        <v>161.74999999999997</v>
      </c>
      <c r="AU82" s="33">
        <f t="shared" si="73"/>
        <v>161.74999999999997</v>
      </c>
      <c r="AV82" s="33">
        <f t="shared" si="73"/>
        <v>161.74999999999997</v>
      </c>
      <c r="AW82" s="33">
        <f t="shared" si="73"/>
        <v>161.74999999999997</v>
      </c>
      <c r="AX82" s="33">
        <f t="shared" si="73"/>
        <v>161.74999999999997</v>
      </c>
      <c r="AY82" s="33">
        <f t="shared" si="73"/>
        <v>161.74999999999997</v>
      </c>
      <c r="AZ82" s="33">
        <f t="shared" si="73"/>
        <v>161.74999999999997</v>
      </c>
      <c r="BA82" s="33">
        <f t="shared" si="73"/>
        <v>161.74999999999997</v>
      </c>
      <c r="BB82" s="33">
        <f t="shared" si="73"/>
        <v>161.74999999999997</v>
      </c>
      <c r="BC82" s="33">
        <f t="shared" si="73"/>
        <v>161.74999999999997</v>
      </c>
      <c r="BD82" s="33">
        <f t="shared" si="73"/>
        <v>161.74999999999997</v>
      </c>
      <c r="BE82" s="33">
        <f t="shared" si="73"/>
        <v>161.74999999999997</v>
      </c>
      <c r="BF82" s="33">
        <f t="shared" si="73"/>
        <v>161.74999999999997</v>
      </c>
      <c r="BG82" s="33">
        <f t="shared" si="73"/>
        <v>161.74999999999997</v>
      </c>
      <c r="BH82" s="33">
        <f t="shared" si="73"/>
        <v>161.74999999999997</v>
      </c>
      <c r="BI82" s="33">
        <f t="shared" si="73"/>
        <v>161.74999999999997</v>
      </c>
      <c r="BJ82" s="33">
        <f t="shared" si="73"/>
        <v>161.74999999999997</v>
      </c>
      <c r="BK82" s="33">
        <f t="shared" si="73"/>
        <v>161.74999999999997</v>
      </c>
      <c r="BL82" s="33">
        <f t="shared" si="73"/>
        <v>161.74999999999997</v>
      </c>
      <c r="BM82" s="33">
        <f t="shared" si="73"/>
        <v>161.74999999999997</v>
      </c>
      <c r="BN82" s="33">
        <f t="shared" si="73"/>
        <v>161.74999999999997</v>
      </c>
      <c r="BO82" s="33">
        <f t="shared" si="73"/>
        <v>161.74999999999997</v>
      </c>
      <c r="BP82" s="33">
        <f t="shared" ref="BP82:CI82" si="74">BP80*$B$6</f>
        <v>161.74999999999997</v>
      </c>
      <c r="BQ82" s="33">
        <f t="shared" si="74"/>
        <v>161.74999999999997</v>
      </c>
      <c r="BR82" s="33">
        <f t="shared" si="74"/>
        <v>161.74999999999997</v>
      </c>
      <c r="BS82" s="33">
        <f t="shared" si="74"/>
        <v>161.74999999999997</v>
      </c>
      <c r="BT82" s="33">
        <f t="shared" si="74"/>
        <v>161.74999999999997</v>
      </c>
      <c r="BU82" s="33">
        <f t="shared" si="74"/>
        <v>161.74999999999997</v>
      </c>
      <c r="BV82" s="33">
        <f t="shared" si="74"/>
        <v>161.74999999999997</v>
      </c>
      <c r="BW82" s="33">
        <f t="shared" si="74"/>
        <v>161.74999999999997</v>
      </c>
      <c r="BX82" s="33">
        <f t="shared" si="74"/>
        <v>161.74999999999997</v>
      </c>
      <c r="BY82" s="33">
        <f t="shared" si="74"/>
        <v>161.74999999999997</v>
      </c>
      <c r="BZ82" s="33">
        <f t="shared" si="74"/>
        <v>161.74999999999997</v>
      </c>
      <c r="CA82" s="33">
        <f t="shared" si="74"/>
        <v>161.74999999999997</v>
      </c>
      <c r="CB82" s="33">
        <f t="shared" si="74"/>
        <v>161.74999999999997</v>
      </c>
      <c r="CC82" s="33">
        <f t="shared" si="74"/>
        <v>161.74999999999997</v>
      </c>
      <c r="CD82" s="33">
        <f t="shared" si="74"/>
        <v>161.74999999999997</v>
      </c>
      <c r="CE82" s="33">
        <f t="shared" si="74"/>
        <v>161.74999999999997</v>
      </c>
      <c r="CF82" s="33">
        <f t="shared" si="74"/>
        <v>161.74999999999997</v>
      </c>
      <c r="CG82" s="33">
        <f t="shared" si="74"/>
        <v>161.74999999999997</v>
      </c>
      <c r="CH82" s="33">
        <f t="shared" si="74"/>
        <v>161.74999999999997</v>
      </c>
      <c r="CI82" s="33">
        <f t="shared" si="74"/>
        <v>161.74999999999997</v>
      </c>
    </row>
    <row r="83" spans="1:87" ht="16">
      <c r="A83" s="6" t="s">
        <v>589</v>
      </c>
      <c r="B83" s="30" t="s">
        <v>465</v>
      </c>
      <c r="C83" s="15"/>
      <c r="D83" s="33">
        <f>D78*'1_PANEL_CONTROL'!$E$45</f>
        <v>0</v>
      </c>
      <c r="E83" s="33">
        <f>E78*'1_PANEL_CONTROL'!$E$45</f>
        <v>0</v>
      </c>
      <c r="F83" s="33">
        <f>F78*'1_PANEL_CONTROL'!$E$45</f>
        <v>0</v>
      </c>
      <c r="G83" s="33">
        <f>G78*'1_PANEL_CONTROL'!$E$45</f>
        <v>0</v>
      </c>
      <c r="H83" s="33">
        <f>H78*'1_PANEL_CONTROL'!$E$45</f>
        <v>0</v>
      </c>
      <c r="I83" s="33">
        <f>I78*'1_PANEL_CONTROL'!$E$45</f>
        <v>0</v>
      </c>
      <c r="J83" s="33">
        <f>J78*'1_PANEL_CONTROL'!$E$45</f>
        <v>0</v>
      </c>
      <c r="K83" s="33">
        <f>K78*'1_PANEL_CONTROL'!$E$45</f>
        <v>0</v>
      </c>
      <c r="L83" s="33">
        <f>L78*'1_PANEL_CONTROL'!$E$45</f>
        <v>0</v>
      </c>
      <c r="M83" s="33">
        <f>M78*'1_PANEL_CONTROL'!$E$45</f>
        <v>0</v>
      </c>
      <c r="N83" s="33">
        <f>N78*'1_PANEL_CONTROL'!$E$45</f>
        <v>0</v>
      </c>
      <c r="O83" s="33">
        <f>O78*'1_PANEL_CONTROL'!$E$45</f>
        <v>0</v>
      </c>
      <c r="P83" s="33">
        <f>P78*'1_PANEL_CONTROL'!$E$45</f>
        <v>375</v>
      </c>
      <c r="Q83" s="33">
        <f>Q78*'1_PANEL_CONTROL'!$E$45</f>
        <v>375</v>
      </c>
      <c r="R83" s="33">
        <f>R78*'1_PANEL_CONTROL'!$E$45</f>
        <v>375</v>
      </c>
      <c r="S83" s="33">
        <f>S78*'1_PANEL_CONTROL'!$E$45</f>
        <v>375</v>
      </c>
      <c r="T83" s="33">
        <f>T78*'1_PANEL_CONTROL'!$E$45</f>
        <v>375</v>
      </c>
      <c r="U83" s="33">
        <f>U78*'1_PANEL_CONTROL'!$E$45</f>
        <v>375</v>
      </c>
      <c r="V83" s="33">
        <f>V78*'1_PANEL_CONTROL'!$E$45</f>
        <v>375</v>
      </c>
      <c r="W83" s="33">
        <f>W78*'1_PANEL_CONTROL'!$E$45</f>
        <v>375</v>
      </c>
      <c r="X83" s="33">
        <f>X78*'1_PANEL_CONTROL'!$E$45</f>
        <v>375</v>
      </c>
      <c r="Y83" s="33">
        <f>Y78*'1_PANEL_CONTROL'!$E$45</f>
        <v>375</v>
      </c>
      <c r="Z83" s="33">
        <f>Z78*'1_PANEL_CONTROL'!$E$45</f>
        <v>375</v>
      </c>
      <c r="AA83" s="33">
        <f>AA78*'1_PANEL_CONTROL'!$E$45</f>
        <v>375</v>
      </c>
      <c r="AB83" s="33">
        <f>AB78*'1_PANEL_CONTROL'!$E$45</f>
        <v>375</v>
      </c>
      <c r="AC83" s="33">
        <f>AC78*'1_PANEL_CONTROL'!$E$45</f>
        <v>375</v>
      </c>
      <c r="AD83" s="33">
        <f>AD78*'1_PANEL_CONTROL'!$E$45</f>
        <v>375</v>
      </c>
      <c r="AE83" s="33">
        <f>AE78*'1_PANEL_CONTROL'!$E$45</f>
        <v>375</v>
      </c>
      <c r="AF83" s="33">
        <f>AF78*'1_PANEL_CONTROL'!$E$45</f>
        <v>375</v>
      </c>
      <c r="AG83" s="33">
        <f>AG78*'1_PANEL_CONTROL'!$E$45</f>
        <v>375</v>
      </c>
      <c r="AH83" s="33">
        <f>AH78*'1_PANEL_CONTROL'!$E$45</f>
        <v>375</v>
      </c>
      <c r="AI83" s="33">
        <f>AI78*'1_PANEL_CONTROL'!$E$45</f>
        <v>375</v>
      </c>
      <c r="AJ83" s="33">
        <f>AJ78*'1_PANEL_CONTROL'!$E$45</f>
        <v>375</v>
      </c>
      <c r="AK83" s="33">
        <f>AK78*'1_PANEL_CONTROL'!$E$45</f>
        <v>375</v>
      </c>
      <c r="AL83" s="33">
        <f>AL78*'1_PANEL_CONTROL'!$E$45</f>
        <v>375</v>
      </c>
      <c r="AM83" s="33">
        <f>AM78*'1_PANEL_CONTROL'!$E$45</f>
        <v>375</v>
      </c>
      <c r="AN83" s="33">
        <f>AN78*'1_PANEL_CONTROL'!$E$45</f>
        <v>375</v>
      </c>
      <c r="AO83" s="33">
        <f>AO78*'1_PANEL_CONTROL'!$E$45</f>
        <v>375</v>
      </c>
      <c r="AP83" s="33">
        <f>AP78*'1_PANEL_CONTROL'!$E$45</f>
        <v>375</v>
      </c>
      <c r="AQ83" s="33">
        <f>AQ78*'1_PANEL_CONTROL'!$E$45</f>
        <v>375</v>
      </c>
      <c r="AR83" s="33">
        <f>AR78*'1_PANEL_CONTROL'!$E$45</f>
        <v>375</v>
      </c>
      <c r="AS83" s="33">
        <f>AS78*'1_PANEL_CONTROL'!$E$45</f>
        <v>375</v>
      </c>
      <c r="AT83" s="33">
        <f>AT78*'1_PANEL_CONTROL'!$E$45</f>
        <v>375</v>
      </c>
      <c r="AU83" s="33">
        <f>AU78*'1_PANEL_CONTROL'!$E$45</f>
        <v>375</v>
      </c>
      <c r="AV83" s="33">
        <f>AV78*'1_PANEL_CONTROL'!$E$45</f>
        <v>375</v>
      </c>
      <c r="AW83" s="33">
        <f>AW78*'1_PANEL_CONTROL'!$E$45</f>
        <v>375</v>
      </c>
      <c r="AX83" s="33">
        <f>AX78*'1_PANEL_CONTROL'!$E$45</f>
        <v>375</v>
      </c>
      <c r="AY83" s="33">
        <f>AY78*'1_PANEL_CONTROL'!$E$45</f>
        <v>375</v>
      </c>
      <c r="AZ83" s="33">
        <f>AZ78*'1_PANEL_CONTROL'!$E$45</f>
        <v>375</v>
      </c>
      <c r="BA83" s="33">
        <f>BA78*'1_PANEL_CONTROL'!$E$45</f>
        <v>375</v>
      </c>
      <c r="BB83" s="33">
        <f>BB78*'1_PANEL_CONTROL'!$E$45</f>
        <v>375</v>
      </c>
      <c r="BC83" s="33">
        <f>BC78*'1_PANEL_CONTROL'!$E$45</f>
        <v>375</v>
      </c>
      <c r="BD83" s="33">
        <f>BD78*'1_PANEL_CONTROL'!$E$45</f>
        <v>375</v>
      </c>
      <c r="BE83" s="33">
        <f>BE78*'1_PANEL_CONTROL'!$E$45</f>
        <v>375</v>
      </c>
      <c r="BF83" s="33">
        <f>BF78*'1_PANEL_CONTROL'!$E$45</f>
        <v>375</v>
      </c>
      <c r="BG83" s="33">
        <f>BG78*'1_PANEL_CONTROL'!$E$45</f>
        <v>375</v>
      </c>
      <c r="BH83" s="33">
        <f>BH78*'1_PANEL_CONTROL'!$E$45</f>
        <v>375</v>
      </c>
      <c r="BI83" s="33">
        <f>BI78*'1_PANEL_CONTROL'!$E$45</f>
        <v>375</v>
      </c>
      <c r="BJ83" s="33">
        <f>BJ78*'1_PANEL_CONTROL'!$E$45</f>
        <v>375</v>
      </c>
      <c r="BK83" s="33">
        <f>BK78*'1_PANEL_CONTROL'!$E$45</f>
        <v>375</v>
      </c>
      <c r="BL83" s="33">
        <f>BL78*'1_PANEL_CONTROL'!$E$45</f>
        <v>375</v>
      </c>
      <c r="BM83" s="33">
        <f>BM78*'1_PANEL_CONTROL'!$E$45</f>
        <v>375</v>
      </c>
      <c r="BN83" s="33">
        <f>BN78*'1_PANEL_CONTROL'!$E$45</f>
        <v>375</v>
      </c>
      <c r="BO83" s="33">
        <f>BO78*'1_PANEL_CONTROL'!$E$45</f>
        <v>375</v>
      </c>
      <c r="BP83" s="33">
        <f>BP78*'1_PANEL_CONTROL'!$E$45</f>
        <v>375</v>
      </c>
      <c r="BQ83" s="33">
        <f>BQ78*'1_PANEL_CONTROL'!$E$45</f>
        <v>375</v>
      </c>
      <c r="BR83" s="33">
        <f>BR78*'1_PANEL_CONTROL'!$E$45</f>
        <v>375</v>
      </c>
      <c r="BS83" s="33">
        <f>BS78*'1_PANEL_CONTROL'!$E$45</f>
        <v>375</v>
      </c>
      <c r="BT83" s="33">
        <f>BT78*'1_PANEL_CONTROL'!$E$45</f>
        <v>375</v>
      </c>
      <c r="BU83" s="33">
        <f>BU78*'1_PANEL_CONTROL'!$E$45</f>
        <v>375</v>
      </c>
      <c r="BV83" s="33">
        <f>BV78*'1_PANEL_CONTROL'!$E$45</f>
        <v>375</v>
      </c>
      <c r="BW83" s="33">
        <f>BW78*'1_PANEL_CONTROL'!$E$45</f>
        <v>375</v>
      </c>
      <c r="BX83" s="33">
        <f>BX78*'1_PANEL_CONTROL'!$E$45</f>
        <v>375</v>
      </c>
      <c r="BY83" s="33">
        <f>BY78*'1_PANEL_CONTROL'!$E$45</f>
        <v>375</v>
      </c>
      <c r="BZ83" s="33">
        <f>BZ78*'1_PANEL_CONTROL'!$E$45</f>
        <v>375</v>
      </c>
      <c r="CA83" s="33">
        <f>CA78*'1_PANEL_CONTROL'!$E$45</f>
        <v>375</v>
      </c>
      <c r="CB83" s="33">
        <f>CB78*'1_PANEL_CONTROL'!$E$45</f>
        <v>375</v>
      </c>
      <c r="CC83" s="33">
        <f>CC78*'1_PANEL_CONTROL'!$E$45</f>
        <v>375</v>
      </c>
      <c r="CD83" s="33">
        <f>CD78*'1_PANEL_CONTROL'!$E$45</f>
        <v>375</v>
      </c>
      <c r="CE83" s="33">
        <f>CE78*'1_PANEL_CONTROL'!$E$45</f>
        <v>375</v>
      </c>
      <c r="CF83" s="33">
        <f>CF78*'1_PANEL_CONTROL'!$E$45</f>
        <v>375</v>
      </c>
      <c r="CG83" s="33">
        <f>CG78*'1_PANEL_CONTROL'!$E$45</f>
        <v>375</v>
      </c>
      <c r="CH83" s="33">
        <f>CH78*'1_PANEL_CONTROL'!$E$45</f>
        <v>375</v>
      </c>
      <c r="CI83" s="33">
        <f>CI78*'1_PANEL_CONTROL'!$E$45</f>
        <v>375</v>
      </c>
    </row>
    <row r="84" spans="1:87" ht="16">
      <c r="A84" s="6" t="s">
        <v>590</v>
      </c>
      <c r="B84" s="30" t="s">
        <v>465</v>
      </c>
      <c r="C84" s="15"/>
      <c r="D84" s="33">
        <f t="shared" ref="D84:AI84" si="75">D78-D82-D83</f>
        <v>0</v>
      </c>
      <c r="E84" s="33">
        <f t="shared" si="75"/>
        <v>0</v>
      </c>
      <c r="F84" s="33">
        <f t="shared" si="75"/>
        <v>0</v>
      </c>
      <c r="G84" s="33">
        <f t="shared" si="75"/>
        <v>0</v>
      </c>
      <c r="H84" s="33">
        <f t="shared" si="75"/>
        <v>0</v>
      </c>
      <c r="I84" s="33">
        <f t="shared" si="75"/>
        <v>0</v>
      </c>
      <c r="J84" s="33">
        <f t="shared" si="75"/>
        <v>0</v>
      </c>
      <c r="K84" s="33">
        <f t="shared" si="75"/>
        <v>0</v>
      </c>
      <c r="L84" s="33">
        <f t="shared" si="75"/>
        <v>0</v>
      </c>
      <c r="M84" s="33">
        <f t="shared" si="75"/>
        <v>0</v>
      </c>
      <c r="N84" s="33">
        <f t="shared" si="75"/>
        <v>0</v>
      </c>
      <c r="O84" s="33">
        <f t="shared" si="75"/>
        <v>0</v>
      </c>
      <c r="P84" s="33">
        <f t="shared" si="75"/>
        <v>1963.25</v>
      </c>
      <c r="Q84" s="33">
        <f t="shared" si="75"/>
        <v>1963.25</v>
      </c>
      <c r="R84" s="33">
        <f t="shared" si="75"/>
        <v>1963.25</v>
      </c>
      <c r="S84" s="33">
        <f t="shared" si="75"/>
        <v>1963.25</v>
      </c>
      <c r="T84" s="33">
        <f t="shared" si="75"/>
        <v>1963.25</v>
      </c>
      <c r="U84" s="33">
        <f t="shared" si="75"/>
        <v>1963.25</v>
      </c>
      <c r="V84" s="33">
        <f t="shared" si="75"/>
        <v>1963.25</v>
      </c>
      <c r="W84" s="33">
        <f t="shared" si="75"/>
        <v>1963.25</v>
      </c>
      <c r="X84" s="33">
        <f t="shared" si="75"/>
        <v>1963.25</v>
      </c>
      <c r="Y84" s="33">
        <f t="shared" si="75"/>
        <v>1963.25</v>
      </c>
      <c r="Z84" s="33">
        <f t="shared" si="75"/>
        <v>1963.25</v>
      </c>
      <c r="AA84" s="33">
        <f t="shared" si="75"/>
        <v>1963.25</v>
      </c>
      <c r="AB84" s="33">
        <f t="shared" si="75"/>
        <v>1963.25</v>
      </c>
      <c r="AC84" s="33">
        <f t="shared" si="75"/>
        <v>1963.25</v>
      </c>
      <c r="AD84" s="33">
        <f t="shared" si="75"/>
        <v>1963.25</v>
      </c>
      <c r="AE84" s="33">
        <f t="shared" si="75"/>
        <v>1963.25</v>
      </c>
      <c r="AF84" s="33">
        <f t="shared" si="75"/>
        <v>1963.25</v>
      </c>
      <c r="AG84" s="33">
        <f t="shared" si="75"/>
        <v>1963.25</v>
      </c>
      <c r="AH84" s="33">
        <f t="shared" si="75"/>
        <v>1963.25</v>
      </c>
      <c r="AI84" s="33">
        <f t="shared" si="75"/>
        <v>1963.25</v>
      </c>
      <c r="AJ84" s="33">
        <f t="shared" ref="AJ84:BO84" si="76">AJ78-AJ82-AJ83</f>
        <v>1963.25</v>
      </c>
      <c r="AK84" s="33">
        <f t="shared" si="76"/>
        <v>1963.25</v>
      </c>
      <c r="AL84" s="33">
        <f t="shared" si="76"/>
        <v>1963.25</v>
      </c>
      <c r="AM84" s="33">
        <f t="shared" si="76"/>
        <v>1963.25</v>
      </c>
      <c r="AN84" s="33">
        <f t="shared" si="76"/>
        <v>1963.25</v>
      </c>
      <c r="AO84" s="33">
        <f t="shared" si="76"/>
        <v>1963.25</v>
      </c>
      <c r="AP84" s="33">
        <f t="shared" si="76"/>
        <v>1963.25</v>
      </c>
      <c r="AQ84" s="33">
        <f t="shared" si="76"/>
        <v>1963.25</v>
      </c>
      <c r="AR84" s="33">
        <f t="shared" si="76"/>
        <v>1963.25</v>
      </c>
      <c r="AS84" s="33">
        <f t="shared" si="76"/>
        <v>1963.25</v>
      </c>
      <c r="AT84" s="33">
        <f t="shared" si="76"/>
        <v>1963.25</v>
      </c>
      <c r="AU84" s="33">
        <f t="shared" si="76"/>
        <v>1963.25</v>
      </c>
      <c r="AV84" s="33">
        <f t="shared" si="76"/>
        <v>1963.25</v>
      </c>
      <c r="AW84" s="33">
        <f t="shared" si="76"/>
        <v>1963.25</v>
      </c>
      <c r="AX84" s="33">
        <f t="shared" si="76"/>
        <v>1963.25</v>
      </c>
      <c r="AY84" s="33">
        <f t="shared" si="76"/>
        <v>1963.25</v>
      </c>
      <c r="AZ84" s="33">
        <f t="shared" si="76"/>
        <v>1963.25</v>
      </c>
      <c r="BA84" s="33">
        <f t="shared" si="76"/>
        <v>1963.25</v>
      </c>
      <c r="BB84" s="33">
        <f t="shared" si="76"/>
        <v>1963.25</v>
      </c>
      <c r="BC84" s="33">
        <f t="shared" si="76"/>
        <v>1963.25</v>
      </c>
      <c r="BD84" s="33">
        <f t="shared" si="76"/>
        <v>1963.25</v>
      </c>
      <c r="BE84" s="33">
        <f t="shared" si="76"/>
        <v>1963.25</v>
      </c>
      <c r="BF84" s="33">
        <f t="shared" si="76"/>
        <v>1963.25</v>
      </c>
      <c r="BG84" s="33">
        <f t="shared" si="76"/>
        <v>1963.25</v>
      </c>
      <c r="BH84" s="33">
        <f t="shared" si="76"/>
        <v>1963.25</v>
      </c>
      <c r="BI84" s="33">
        <f t="shared" si="76"/>
        <v>1963.25</v>
      </c>
      <c r="BJ84" s="33">
        <f t="shared" si="76"/>
        <v>1963.25</v>
      </c>
      <c r="BK84" s="33">
        <f t="shared" si="76"/>
        <v>1963.25</v>
      </c>
      <c r="BL84" s="33">
        <f t="shared" si="76"/>
        <v>1963.25</v>
      </c>
      <c r="BM84" s="33">
        <f t="shared" si="76"/>
        <v>1963.25</v>
      </c>
      <c r="BN84" s="33">
        <f t="shared" si="76"/>
        <v>1963.25</v>
      </c>
      <c r="BO84" s="33">
        <f t="shared" si="76"/>
        <v>1963.25</v>
      </c>
      <c r="BP84" s="33">
        <f t="shared" ref="BP84:CU84" si="77">BP78-BP82-BP83</f>
        <v>1963.25</v>
      </c>
      <c r="BQ84" s="33">
        <f t="shared" si="77"/>
        <v>1963.25</v>
      </c>
      <c r="BR84" s="33">
        <f t="shared" si="77"/>
        <v>1963.25</v>
      </c>
      <c r="BS84" s="33">
        <f t="shared" si="77"/>
        <v>1963.25</v>
      </c>
      <c r="BT84" s="33">
        <f t="shared" si="77"/>
        <v>1963.25</v>
      </c>
      <c r="BU84" s="33">
        <f t="shared" si="77"/>
        <v>1963.25</v>
      </c>
      <c r="BV84" s="33">
        <f t="shared" si="77"/>
        <v>1963.25</v>
      </c>
      <c r="BW84" s="33">
        <f t="shared" si="77"/>
        <v>1963.25</v>
      </c>
      <c r="BX84" s="33">
        <f t="shared" si="77"/>
        <v>1963.25</v>
      </c>
      <c r="BY84" s="33">
        <f t="shared" si="77"/>
        <v>1963.25</v>
      </c>
      <c r="BZ84" s="33">
        <f t="shared" si="77"/>
        <v>1963.25</v>
      </c>
      <c r="CA84" s="33">
        <f t="shared" si="77"/>
        <v>1963.25</v>
      </c>
      <c r="CB84" s="33">
        <f t="shared" si="77"/>
        <v>1963.25</v>
      </c>
      <c r="CC84" s="33">
        <f t="shared" si="77"/>
        <v>1963.25</v>
      </c>
      <c r="CD84" s="33">
        <f t="shared" si="77"/>
        <v>1963.25</v>
      </c>
      <c r="CE84" s="33">
        <f t="shared" si="77"/>
        <v>1963.25</v>
      </c>
      <c r="CF84" s="33">
        <f t="shared" si="77"/>
        <v>1963.25</v>
      </c>
      <c r="CG84" s="33">
        <f t="shared" si="77"/>
        <v>1963.25</v>
      </c>
      <c r="CH84" s="33">
        <f t="shared" si="77"/>
        <v>1963.25</v>
      </c>
      <c r="CI84" s="33">
        <f t="shared" si="77"/>
        <v>1963.25</v>
      </c>
    </row>
    <row r="85" spans="1:87" ht="16">
      <c r="A85" s="5" t="s">
        <v>591</v>
      </c>
      <c r="B85" s="30" t="s">
        <v>465</v>
      </c>
      <c r="C85" s="15"/>
      <c r="D85" s="36">
        <f t="shared" ref="D85:AI85" si="78">D78+D81</f>
        <v>0</v>
      </c>
      <c r="E85" s="36">
        <f t="shared" si="78"/>
        <v>0</v>
      </c>
      <c r="F85" s="36">
        <f t="shared" si="78"/>
        <v>0</v>
      </c>
      <c r="G85" s="36">
        <f t="shared" si="78"/>
        <v>0</v>
      </c>
      <c r="H85" s="36">
        <f t="shared" si="78"/>
        <v>0</v>
      </c>
      <c r="I85" s="36">
        <f t="shared" si="78"/>
        <v>0</v>
      </c>
      <c r="J85" s="36">
        <f t="shared" si="78"/>
        <v>0</v>
      </c>
      <c r="K85" s="36">
        <f t="shared" si="78"/>
        <v>0</v>
      </c>
      <c r="L85" s="36">
        <f t="shared" si="78"/>
        <v>0</v>
      </c>
      <c r="M85" s="36">
        <f t="shared" si="78"/>
        <v>0</v>
      </c>
      <c r="N85" s="36">
        <f t="shared" si="78"/>
        <v>0</v>
      </c>
      <c r="O85" s="36">
        <f t="shared" si="78"/>
        <v>0</v>
      </c>
      <c r="P85" s="36">
        <f t="shared" si="78"/>
        <v>3302.5</v>
      </c>
      <c r="Q85" s="36">
        <f t="shared" si="78"/>
        <v>3302.5</v>
      </c>
      <c r="R85" s="36">
        <f t="shared" si="78"/>
        <v>3302.5</v>
      </c>
      <c r="S85" s="36">
        <f t="shared" si="78"/>
        <v>3302.5</v>
      </c>
      <c r="T85" s="36">
        <f t="shared" si="78"/>
        <v>3302.5</v>
      </c>
      <c r="U85" s="36">
        <f t="shared" si="78"/>
        <v>3302.5</v>
      </c>
      <c r="V85" s="36">
        <f t="shared" si="78"/>
        <v>3302.5</v>
      </c>
      <c r="W85" s="36">
        <f t="shared" si="78"/>
        <v>3302.5</v>
      </c>
      <c r="X85" s="36">
        <f t="shared" si="78"/>
        <v>3302.5</v>
      </c>
      <c r="Y85" s="36">
        <f t="shared" si="78"/>
        <v>3302.5</v>
      </c>
      <c r="Z85" s="36">
        <f t="shared" si="78"/>
        <v>3302.5</v>
      </c>
      <c r="AA85" s="36">
        <f t="shared" si="78"/>
        <v>3302.5</v>
      </c>
      <c r="AB85" s="36">
        <f t="shared" si="78"/>
        <v>3302.5</v>
      </c>
      <c r="AC85" s="36">
        <f t="shared" si="78"/>
        <v>3302.5</v>
      </c>
      <c r="AD85" s="36">
        <f t="shared" si="78"/>
        <v>3302.5</v>
      </c>
      <c r="AE85" s="36">
        <f t="shared" si="78"/>
        <v>3302.5</v>
      </c>
      <c r="AF85" s="36">
        <f t="shared" si="78"/>
        <v>3302.5</v>
      </c>
      <c r="AG85" s="36">
        <f t="shared" si="78"/>
        <v>3302.5</v>
      </c>
      <c r="AH85" s="36">
        <f t="shared" si="78"/>
        <v>3302.5</v>
      </c>
      <c r="AI85" s="36">
        <f t="shared" si="78"/>
        <v>3302.5</v>
      </c>
      <c r="AJ85" s="36">
        <f t="shared" ref="AJ85:BO85" si="79">AJ78+AJ81</f>
        <v>3302.5</v>
      </c>
      <c r="AK85" s="36">
        <f t="shared" si="79"/>
        <v>3302.5</v>
      </c>
      <c r="AL85" s="36">
        <f t="shared" si="79"/>
        <v>3302.5</v>
      </c>
      <c r="AM85" s="36">
        <f t="shared" si="79"/>
        <v>3302.5</v>
      </c>
      <c r="AN85" s="36">
        <f t="shared" si="79"/>
        <v>3302.5</v>
      </c>
      <c r="AO85" s="36">
        <f t="shared" si="79"/>
        <v>3302.5</v>
      </c>
      <c r="AP85" s="36">
        <f t="shared" si="79"/>
        <v>3302.5</v>
      </c>
      <c r="AQ85" s="36">
        <f t="shared" si="79"/>
        <v>3302.5</v>
      </c>
      <c r="AR85" s="36">
        <f t="shared" si="79"/>
        <v>3302.5</v>
      </c>
      <c r="AS85" s="36">
        <f t="shared" si="79"/>
        <v>3302.5</v>
      </c>
      <c r="AT85" s="36">
        <f t="shared" si="79"/>
        <v>3302.5</v>
      </c>
      <c r="AU85" s="36">
        <f t="shared" si="79"/>
        <v>3302.5</v>
      </c>
      <c r="AV85" s="36">
        <f t="shared" si="79"/>
        <v>3302.5</v>
      </c>
      <c r="AW85" s="36">
        <f t="shared" si="79"/>
        <v>3302.5</v>
      </c>
      <c r="AX85" s="36">
        <f t="shared" si="79"/>
        <v>3302.5</v>
      </c>
      <c r="AY85" s="36">
        <f t="shared" si="79"/>
        <v>3302.5</v>
      </c>
      <c r="AZ85" s="36">
        <f t="shared" si="79"/>
        <v>3302.5</v>
      </c>
      <c r="BA85" s="36">
        <f t="shared" si="79"/>
        <v>3302.5</v>
      </c>
      <c r="BB85" s="36">
        <f t="shared" si="79"/>
        <v>3302.5</v>
      </c>
      <c r="BC85" s="36">
        <f t="shared" si="79"/>
        <v>3302.5</v>
      </c>
      <c r="BD85" s="36">
        <f t="shared" si="79"/>
        <v>3302.5</v>
      </c>
      <c r="BE85" s="36">
        <f t="shared" si="79"/>
        <v>3302.5</v>
      </c>
      <c r="BF85" s="36">
        <f t="shared" si="79"/>
        <v>3302.5</v>
      </c>
      <c r="BG85" s="36">
        <f t="shared" si="79"/>
        <v>3302.5</v>
      </c>
      <c r="BH85" s="36">
        <f t="shared" si="79"/>
        <v>3302.5</v>
      </c>
      <c r="BI85" s="36">
        <f t="shared" si="79"/>
        <v>3302.5</v>
      </c>
      <c r="BJ85" s="36">
        <f t="shared" si="79"/>
        <v>3302.5</v>
      </c>
      <c r="BK85" s="36">
        <f t="shared" si="79"/>
        <v>3302.5</v>
      </c>
      <c r="BL85" s="36">
        <f t="shared" si="79"/>
        <v>3302.5</v>
      </c>
      <c r="BM85" s="36">
        <f t="shared" si="79"/>
        <v>3302.5</v>
      </c>
      <c r="BN85" s="36">
        <f t="shared" si="79"/>
        <v>3302.5</v>
      </c>
      <c r="BO85" s="36">
        <f t="shared" si="79"/>
        <v>3302.5</v>
      </c>
      <c r="BP85" s="36">
        <f t="shared" ref="BP85:CI85" si="80">BP78+BP81</f>
        <v>3302.5</v>
      </c>
      <c r="BQ85" s="36">
        <f t="shared" si="80"/>
        <v>3302.5</v>
      </c>
      <c r="BR85" s="36">
        <f t="shared" si="80"/>
        <v>3302.5</v>
      </c>
      <c r="BS85" s="36">
        <f t="shared" si="80"/>
        <v>3302.5</v>
      </c>
      <c r="BT85" s="36">
        <f t="shared" si="80"/>
        <v>3302.5</v>
      </c>
      <c r="BU85" s="36">
        <f t="shared" si="80"/>
        <v>3302.5</v>
      </c>
      <c r="BV85" s="36">
        <f t="shared" si="80"/>
        <v>3302.5</v>
      </c>
      <c r="BW85" s="36">
        <f t="shared" si="80"/>
        <v>3302.5</v>
      </c>
      <c r="BX85" s="36">
        <f t="shared" si="80"/>
        <v>3302.5</v>
      </c>
      <c r="BY85" s="36">
        <f t="shared" si="80"/>
        <v>3302.5</v>
      </c>
      <c r="BZ85" s="36">
        <f t="shared" si="80"/>
        <v>3302.5</v>
      </c>
      <c r="CA85" s="36">
        <f t="shared" si="80"/>
        <v>3302.5</v>
      </c>
      <c r="CB85" s="36">
        <f t="shared" si="80"/>
        <v>3302.5</v>
      </c>
      <c r="CC85" s="36">
        <f t="shared" si="80"/>
        <v>3302.5</v>
      </c>
      <c r="CD85" s="36">
        <f t="shared" si="80"/>
        <v>3302.5</v>
      </c>
      <c r="CE85" s="36">
        <f t="shared" si="80"/>
        <v>3302.5</v>
      </c>
      <c r="CF85" s="36">
        <f t="shared" si="80"/>
        <v>3302.5</v>
      </c>
      <c r="CG85" s="36">
        <f t="shared" si="80"/>
        <v>3302.5</v>
      </c>
      <c r="CH85" s="36">
        <f t="shared" si="80"/>
        <v>3302.5</v>
      </c>
      <c r="CI85" s="36">
        <f t="shared" si="80"/>
        <v>3302.5</v>
      </c>
    </row>
    <row r="87" spans="1:87" ht="16.5">
      <c r="A87" s="6" t="s">
        <v>582</v>
      </c>
      <c r="B87" s="30" t="s">
        <v>465</v>
      </c>
      <c r="C87" s="44">
        <f>'1_PANEL_CONTROL'!$C$46</f>
        <v>28000</v>
      </c>
      <c r="D87" s="33">
        <f>IF(D$8&gt;='1_PANEL_CONTROL'!$D$46, '1_PANEL_CONTROL'!$C$46/'1_PANEL_CONTROL'!$C$32, 0)</f>
        <v>0</v>
      </c>
      <c r="E87" s="33">
        <f>IF(E$8&gt;='1_PANEL_CONTROL'!$D$46, '1_PANEL_CONTROL'!$C$46/'1_PANEL_CONTROL'!$C$32, 0)</f>
        <v>0</v>
      </c>
      <c r="F87" s="33">
        <f>IF(F$8&gt;='1_PANEL_CONTROL'!$D$46, '1_PANEL_CONTROL'!$C$46/'1_PANEL_CONTROL'!$C$32, 0)</f>
        <v>0</v>
      </c>
      <c r="G87" s="33">
        <f>IF(G$8&gt;='1_PANEL_CONTROL'!$D$46, '1_PANEL_CONTROL'!$C$46/'1_PANEL_CONTROL'!$C$32, 0)</f>
        <v>0</v>
      </c>
      <c r="H87" s="33">
        <f>IF(H$8&gt;='1_PANEL_CONTROL'!$D$46, '1_PANEL_CONTROL'!$C$46/'1_PANEL_CONTROL'!$C$32, 0)</f>
        <v>0</v>
      </c>
      <c r="I87" s="33">
        <f>IF(I$8&gt;='1_PANEL_CONTROL'!$D$46, '1_PANEL_CONTROL'!$C$46/'1_PANEL_CONTROL'!$C$32, 0)</f>
        <v>0</v>
      </c>
      <c r="J87" s="33">
        <f>IF(J$8&gt;='1_PANEL_CONTROL'!$D$46, '1_PANEL_CONTROL'!$C$46/'1_PANEL_CONTROL'!$C$32, 0)</f>
        <v>0</v>
      </c>
      <c r="K87" s="33">
        <f>IF(K$8&gt;='1_PANEL_CONTROL'!$D$46, '1_PANEL_CONTROL'!$C$46/'1_PANEL_CONTROL'!$C$32, 0)</f>
        <v>0</v>
      </c>
      <c r="L87" s="33">
        <f>IF(L$8&gt;='1_PANEL_CONTROL'!$D$46, '1_PANEL_CONTROL'!$C$46/'1_PANEL_CONTROL'!$C$32, 0)</f>
        <v>0</v>
      </c>
      <c r="M87" s="33">
        <f>IF(M$8&gt;='1_PANEL_CONTROL'!$D$46, '1_PANEL_CONTROL'!$C$46/'1_PANEL_CONTROL'!$C$32, 0)</f>
        <v>0</v>
      </c>
      <c r="N87" s="33">
        <f>IF(N$8&gt;='1_PANEL_CONTROL'!$D$46, '1_PANEL_CONTROL'!$C$46/'1_PANEL_CONTROL'!$C$32, 0)</f>
        <v>0</v>
      </c>
      <c r="O87" s="33">
        <f>IF(O$8&gt;='1_PANEL_CONTROL'!$D$46, '1_PANEL_CONTROL'!$C$46/'1_PANEL_CONTROL'!$C$32, 0)</f>
        <v>0</v>
      </c>
      <c r="P87" s="33">
        <f>IF(P$8&gt;='1_PANEL_CONTROL'!$D$46, '1_PANEL_CONTROL'!$C$46/'1_PANEL_CONTROL'!$C$32, 0)</f>
        <v>0</v>
      </c>
      <c r="Q87" s="33">
        <f>IF(Q$8&gt;='1_PANEL_CONTROL'!$D$46, '1_PANEL_CONTROL'!$C$46/'1_PANEL_CONTROL'!$C$32, 0)</f>
        <v>0</v>
      </c>
      <c r="R87" s="33">
        <f>IF(R$8&gt;='1_PANEL_CONTROL'!$D$46, '1_PANEL_CONTROL'!$C$46/'1_PANEL_CONTROL'!$C$32, 0)</f>
        <v>0</v>
      </c>
      <c r="S87" s="33">
        <f>IF(S$8&gt;='1_PANEL_CONTROL'!$D$46, '1_PANEL_CONTROL'!$C$46/'1_PANEL_CONTROL'!$C$32, 0)</f>
        <v>0</v>
      </c>
      <c r="T87" s="33">
        <f>IF(T$8&gt;='1_PANEL_CONTROL'!$D$46, '1_PANEL_CONTROL'!$C$46/'1_PANEL_CONTROL'!$C$32, 0)</f>
        <v>0</v>
      </c>
      <c r="U87" s="33">
        <f>IF(U$8&gt;='1_PANEL_CONTROL'!$D$46, '1_PANEL_CONTROL'!$C$46/'1_PANEL_CONTROL'!$C$32, 0)</f>
        <v>0</v>
      </c>
      <c r="V87" s="33">
        <f>IF(V$8&gt;='1_PANEL_CONTROL'!$D$46, '1_PANEL_CONTROL'!$C$46/'1_PANEL_CONTROL'!$C$32, 0)</f>
        <v>2333.3333333333335</v>
      </c>
      <c r="W87" s="33">
        <f>IF(W$8&gt;='1_PANEL_CONTROL'!$D$46, '1_PANEL_CONTROL'!$C$46/'1_PANEL_CONTROL'!$C$32, 0)</f>
        <v>2333.3333333333335</v>
      </c>
      <c r="X87" s="33">
        <f>IF(X$8&gt;='1_PANEL_CONTROL'!$D$46, '1_PANEL_CONTROL'!$C$46/'1_PANEL_CONTROL'!$C$32, 0)</f>
        <v>2333.3333333333335</v>
      </c>
      <c r="Y87" s="33">
        <f>IF(Y$8&gt;='1_PANEL_CONTROL'!$D$46, '1_PANEL_CONTROL'!$C$46/'1_PANEL_CONTROL'!$C$32, 0)</f>
        <v>2333.3333333333335</v>
      </c>
      <c r="Z87" s="33">
        <f>IF(Z$8&gt;='1_PANEL_CONTROL'!$D$46, '1_PANEL_CONTROL'!$C$46/'1_PANEL_CONTROL'!$C$32, 0)</f>
        <v>2333.3333333333335</v>
      </c>
      <c r="AA87" s="33">
        <f>IF(AA$8&gt;='1_PANEL_CONTROL'!$D$46, '1_PANEL_CONTROL'!$C$46/'1_PANEL_CONTROL'!$C$32, 0)</f>
        <v>2333.3333333333335</v>
      </c>
      <c r="AB87" s="33">
        <f>IF(AB$8&gt;='1_PANEL_CONTROL'!$D$46, '1_PANEL_CONTROL'!$C$46/'1_PANEL_CONTROL'!$C$32, 0)</f>
        <v>2333.3333333333335</v>
      </c>
      <c r="AC87" s="33">
        <f>IF(AC$8&gt;='1_PANEL_CONTROL'!$D$46, '1_PANEL_CONTROL'!$C$46/'1_PANEL_CONTROL'!$C$32, 0)</f>
        <v>2333.3333333333335</v>
      </c>
      <c r="AD87" s="33">
        <f>IF(AD$8&gt;='1_PANEL_CONTROL'!$D$46, '1_PANEL_CONTROL'!$C$46/'1_PANEL_CONTROL'!$C$32, 0)</f>
        <v>2333.3333333333335</v>
      </c>
      <c r="AE87" s="33">
        <f>IF(AE$8&gt;='1_PANEL_CONTROL'!$D$46, '1_PANEL_CONTROL'!$C$46/'1_PANEL_CONTROL'!$C$32, 0)</f>
        <v>2333.3333333333335</v>
      </c>
      <c r="AF87" s="33">
        <f>IF(AF$8&gt;='1_PANEL_CONTROL'!$D$46, '1_PANEL_CONTROL'!$C$46/'1_PANEL_CONTROL'!$C$32, 0)</f>
        <v>2333.3333333333335</v>
      </c>
      <c r="AG87" s="33">
        <f>IF(AG$8&gt;='1_PANEL_CONTROL'!$D$46, '1_PANEL_CONTROL'!$C$46/'1_PANEL_CONTROL'!$C$32, 0)</f>
        <v>2333.3333333333335</v>
      </c>
      <c r="AH87" s="33">
        <f>IF(AH$8&gt;='1_PANEL_CONTROL'!$D$46, '1_PANEL_CONTROL'!$C$46/'1_PANEL_CONTROL'!$C$32, 0)</f>
        <v>2333.3333333333335</v>
      </c>
      <c r="AI87" s="33">
        <f>IF(AI$8&gt;='1_PANEL_CONTROL'!$D$46, '1_PANEL_CONTROL'!$C$46/'1_PANEL_CONTROL'!$C$32, 0)</f>
        <v>2333.3333333333335</v>
      </c>
      <c r="AJ87" s="33">
        <f>IF(AJ$8&gt;='1_PANEL_CONTROL'!$D$46, '1_PANEL_CONTROL'!$C$46/'1_PANEL_CONTROL'!$C$32, 0)</f>
        <v>2333.3333333333335</v>
      </c>
      <c r="AK87" s="33">
        <f>IF(AK$8&gt;='1_PANEL_CONTROL'!$D$46, '1_PANEL_CONTROL'!$C$46/'1_PANEL_CONTROL'!$C$32, 0)</f>
        <v>2333.3333333333335</v>
      </c>
      <c r="AL87" s="33">
        <f>IF(AL$8&gt;='1_PANEL_CONTROL'!$D$46, '1_PANEL_CONTROL'!$C$46/'1_PANEL_CONTROL'!$C$32, 0)</f>
        <v>2333.3333333333335</v>
      </c>
      <c r="AM87" s="33">
        <f>IF(AM$8&gt;='1_PANEL_CONTROL'!$D$46, '1_PANEL_CONTROL'!$C$46/'1_PANEL_CONTROL'!$C$32, 0)</f>
        <v>2333.3333333333335</v>
      </c>
      <c r="AN87" s="33">
        <f>IF(AN$8&gt;='1_PANEL_CONTROL'!$D$46, '1_PANEL_CONTROL'!$C$46/'1_PANEL_CONTROL'!$C$32, 0)</f>
        <v>2333.3333333333335</v>
      </c>
      <c r="AO87" s="33">
        <f>IF(AO$8&gt;='1_PANEL_CONTROL'!$D$46, '1_PANEL_CONTROL'!$C$46/'1_PANEL_CONTROL'!$C$32, 0)</f>
        <v>2333.3333333333335</v>
      </c>
      <c r="AP87" s="33">
        <f>IF(AP$8&gt;='1_PANEL_CONTROL'!$D$46, '1_PANEL_CONTROL'!$C$46/'1_PANEL_CONTROL'!$C$32, 0)</f>
        <v>2333.3333333333335</v>
      </c>
      <c r="AQ87" s="33">
        <f>IF(AQ$8&gt;='1_PANEL_CONTROL'!$D$46, '1_PANEL_CONTROL'!$C$46/'1_PANEL_CONTROL'!$C$32, 0)</f>
        <v>2333.3333333333335</v>
      </c>
      <c r="AR87" s="33">
        <f>IF(AR$8&gt;='1_PANEL_CONTROL'!$D$46, '1_PANEL_CONTROL'!$C$46/'1_PANEL_CONTROL'!$C$32, 0)</f>
        <v>2333.3333333333335</v>
      </c>
      <c r="AS87" s="33">
        <f>IF(AS$8&gt;='1_PANEL_CONTROL'!$D$46, '1_PANEL_CONTROL'!$C$46/'1_PANEL_CONTROL'!$C$32, 0)</f>
        <v>2333.3333333333335</v>
      </c>
      <c r="AT87" s="33">
        <f>IF(AT$8&gt;='1_PANEL_CONTROL'!$D$46, '1_PANEL_CONTROL'!$C$46/'1_PANEL_CONTROL'!$C$32, 0)</f>
        <v>2333.3333333333335</v>
      </c>
      <c r="AU87" s="33">
        <f>IF(AU$8&gt;='1_PANEL_CONTROL'!$D$46, '1_PANEL_CONTROL'!$C$46/'1_PANEL_CONTROL'!$C$32, 0)</f>
        <v>2333.3333333333335</v>
      </c>
      <c r="AV87" s="33">
        <f>IF(AV$8&gt;='1_PANEL_CONTROL'!$D$46, '1_PANEL_CONTROL'!$C$46/'1_PANEL_CONTROL'!$C$32, 0)</f>
        <v>2333.3333333333335</v>
      </c>
      <c r="AW87" s="33">
        <f>IF(AW$8&gt;='1_PANEL_CONTROL'!$D$46, '1_PANEL_CONTROL'!$C$46/'1_PANEL_CONTROL'!$C$32, 0)</f>
        <v>2333.3333333333335</v>
      </c>
      <c r="AX87" s="33">
        <f>IF(AX$8&gt;='1_PANEL_CONTROL'!$D$46, '1_PANEL_CONTROL'!$C$46/'1_PANEL_CONTROL'!$C$32, 0)</f>
        <v>2333.3333333333335</v>
      </c>
      <c r="AY87" s="33">
        <f>IF(AY$8&gt;='1_PANEL_CONTROL'!$D$46, '1_PANEL_CONTROL'!$C$46/'1_PANEL_CONTROL'!$C$32, 0)</f>
        <v>2333.3333333333335</v>
      </c>
      <c r="AZ87" s="33">
        <f>IF(AZ$8&gt;='1_PANEL_CONTROL'!$D$46, '1_PANEL_CONTROL'!$C$46/'1_PANEL_CONTROL'!$C$32, 0)</f>
        <v>2333.3333333333335</v>
      </c>
      <c r="BA87" s="33">
        <f>IF(BA$8&gt;='1_PANEL_CONTROL'!$D$46, '1_PANEL_CONTROL'!$C$46/'1_PANEL_CONTROL'!$C$32, 0)</f>
        <v>2333.3333333333335</v>
      </c>
      <c r="BB87" s="33">
        <f>IF(BB$8&gt;='1_PANEL_CONTROL'!$D$46, '1_PANEL_CONTROL'!$C$46/'1_PANEL_CONTROL'!$C$32, 0)</f>
        <v>2333.3333333333335</v>
      </c>
      <c r="BC87" s="33">
        <f>IF(BC$8&gt;='1_PANEL_CONTROL'!$D$46, '1_PANEL_CONTROL'!$C$46/'1_PANEL_CONTROL'!$C$32, 0)</f>
        <v>2333.3333333333335</v>
      </c>
      <c r="BD87" s="33">
        <f>IF(BD$8&gt;='1_PANEL_CONTROL'!$D$46, '1_PANEL_CONTROL'!$C$46/'1_PANEL_CONTROL'!$C$32, 0)</f>
        <v>2333.3333333333335</v>
      </c>
      <c r="BE87" s="33">
        <f>IF(BE$8&gt;='1_PANEL_CONTROL'!$D$46, '1_PANEL_CONTROL'!$C$46/'1_PANEL_CONTROL'!$C$32, 0)</f>
        <v>2333.3333333333335</v>
      </c>
      <c r="BF87" s="33">
        <f>IF(BF$8&gt;='1_PANEL_CONTROL'!$D$46, '1_PANEL_CONTROL'!$C$46/'1_PANEL_CONTROL'!$C$32, 0)</f>
        <v>2333.3333333333335</v>
      </c>
      <c r="BG87" s="33">
        <f>IF(BG$8&gt;='1_PANEL_CONTROL'!$D$46, '1_PANEL_CONTROL'!$C$46/'1_PANEL_CONTROL'!$C$32, 0)</f>
        <v>2333.3333333333335</v>
      </c>
      <c r="BH87" s="33">
        <f>IF(BH$8&gt;='1_PANEL_CONTROL'!$D$46, '1_PANEL_CONTROL'!$C$46/'1_PANEL_CONTROL'!$C$32, 0)</f>
        <v>2333.3333333333335</v>
      </c>
      <c r="BI87" s="33">
        <f>IF(BI$8&gt;='1_PANEL_CONTROL'!$D$46, '1_PANEL_CONTROL'!$C$46/'1_PANEL_CONTROL'!$C$32, 0)</f>
        <v>2333.3333333333335</v>
      </c>
      <c r="BJ87" s="33">
        <f>IF(BJ$8&gt;='1_PANEL_CONTROL'!$D$46, '1_PANEL_CONTROL'!$C$46/'1_PANEL_CONTROL'!$C$32, 0)</f>
        <v>2333.3333333333335</v>
      </c>
      <c r="BK87" s="33">
        <f>IF(BK$8&gt;='1_PANEL_CONTROL'!$D$46, '1_PANEL_CONTROL'!$C$46/'1_PANEL_CONTROL'!$C$32, 0)</f>
        <v>2333.3333333333335</v>
      </c>
      <c r="BL87" s="33">
        <f>IF(BL$8&gt;='1_PANEL_CONTROL'!$D$46, '1_PANEL_CONTROL'!$C$46/'1_PANEL_CONTROL'!$C$32, 0)</f>
        <v>2333.3333333333335</v>
      </c>
      <c r="BM87" s="33">
        <f>IF(BM$8&gt;='1_PANEL_CONTROL'!$D$46, '1_PANEL_CONTROL'!$C$46/'1_PANEL_CONTROL'!$C$32, 0)</f>
        <v>2333.3333333333335</v>
      </c>
      <c r="BN87" s="33">
        <f>IF(BN$8&gt;='1_PANEL_CONTROL'!$D$46, '1_PANEL_CONTROL'!$C$46/'1_PANEL_CONTROL'!$C$32, 0)</f>
        <v>2333.3333333333335</v>
      </c>
      <c r="BO87" s="33">
        <f>IF(BO$8&gt;='1_PANEL_CONTROL'!$D$46, '1_PANEL_CONTROL'!$C$46/'1_PANEL_CONTROL'!$C$32, 0)</f>
        <v>2333.3333333333335</v>
      </c>
      <c r="BP87" s="33">
        <f>IF(BP$8&gt;='1_PANEL_CONTROL'!$D$46, '1_PANEL_CONTROL'!$C$46/'1_PANEL_CONTROL'!$C$32, 0)</f>
        <v>2333.3333333333335</v>
      </c>
      <c r="BQ87" s="33">
        <f>IF(BQ$8&gt;='1_PANEL_CONTROL'!$D$46, '1_PANEL_CONTROL'!$C$46/'1_PANEL_CONTROL'!$C$32, 0)</f>
        <v>2333.3333333333335</v>
      </c>
      <c r="BR87" s="33">
        <f>IF(BR$8&gt;='1_PANEL_CONTROL'!$D$46, '1_PANEL_CONTROL'!$C$46/'1_PANEL_CONTROL'!$C$32, 0)</f>
        <v>2333.3333333333335</v>
      </c>
      <c r="BS87" s="33">
        <f>IF(BS$8&gt;='1_PANEL_CONTROL'!$D$46, '1_PANEL_CONTROL'!$C$46/'1_PANEL_CONTROL'!$C$32, 0)</f>
        <v>2333.3333333333335</v>
      </c>
      <c r="BT87" s="33">
        <f>IF(BT$8&gt;='1_PANEL_CONTROL'!$D$46, '1_PANEL_CONTROL'!$C$46/'1_PANEL_CONTROL'!$C$32, 0)</f>
        <v>2333.3333333333335</v>
      </c>
      <c r="BU87" s="33">
        <f>IF(BU$8&gt;='1_PANEL_CONTROL'!$D$46, '1_PANEL_CONTROL'!$C$46/'1_PANEL_CONTROL'!$C$32, 0)</f>
        <v>2333.3333333333335</v>
      </c>
      <c r="BV87" s="33">
        <f>IF(BV$8&gt;='1_PANEL_CONTROL'!$D$46, '1_PANEL_CONTROL'!$C$46/'1_PANEL_CONTROL'!$C$32, 0)</f>
        <v>2333.3333333333335</v>
      </c>
      <c r="BW87" s="33">
        <f>IF(BW$8&gt;='1_PANEL_CONTROL'!$D$46, '1_PANEL_CONTROL'!$C$46/'1_PANEL_CONTROL'!$C$32, 0)</f>
        <v>2333.3333333333335</v>
      </c>
      <c r="BX87" s="33">
        <f>IF(BX$8&gt;='1_PANEL_CONTROL'!$D$46, '1_PANEL_CONTROL'!$C$46/'1_PANEL_CONTROL'!$C$32, 0)</f>
        <v>2333.3333333333335</v>
      </c>
      <c r="BY87" s="33">
        <f>IF(BY$8&gt;='1_PANEL_CONTROL'!$D$46, '1_PANEL_CONTROL'!$C$46/'1_PANEL_CONTROL'!$C$32, 0)</f>
        <v>2333.3333333333335</v>
      </c>
      <c r="BZ87" s="33">
        <f>IF(BZ$8&gt;='1_PANEL_CONTROL'!$D$46, '1_PANEL_CONTROL'!$C$46/'1_PANEL_CONTROL'!$C$32, 0)</f>
        <v>2333.3333333333335</v>
      </c>
      <c r="CA87" s="33">
        <f>IF(CA$8&gt;='1_PANEL_CONTROL'!$D$46, '1_PANEL_CONTROL'!$C$46/'1_PANEL_CONTROL'!$C$32, 0)</f>
        <v>2333.3333333333335</v>
      </c>
      <c r="CB87" s="33">
        <f>IF(CB$8&gt;='1_PANEL_CONTROL'!$D$46, '1_PANEL_CONTROL'!$C$46/'1_PANEL_CONTROL'!$C$32, 0)</f>
        <v>2333.3333333333335</v>
      </c>
      <c r="CC87" s="33">
        <f>IF(CC$8&gt;='1_PANEL_CONTROL'!$D$46, '1_PANEL_CONTROL'!$C$46/'1_PANEL_CONTROL'!$C$32, 0)</f>
        <v>2333.3333333333335</v>
      </c>
      <c r="CD87" s="33">
        <f>IF(CD$8&gt;='1_PANEL_CONTROL'!$D$46, '1_PANEL_CONTROL'!$C$46/'1_PANEL_CONTROL'!$C$32, 0)</f>
        <v>2333.3333333333335</v>
      </c>
      <c r="CE87" s="33">
        <f>IF(CE$8&gt;='1_PANEL_CONTROL'!$D$46, '1_PANEL_CONTROL'!$C$46/'1_PANEL_CONTROL'!$C$32, 0)</f>
        <v>2333.3333333333335</v>
      </c>
      <c r="CF87" s="33">
        <f>IF(CF$8&gt;='1_PANEL_CONTROL'!$D$46, '1_PANEL_CONTROL'!$C$46/'1_PANEL_CONTROL'!$C$32, 0)</f>
        <v>2333.3333333333335</v>
      </c>
      <c r="CG87" s="33">
        <f>IF(CG$8&gt;='1_PANEL_CONTROL'!$D$46, '1_PANEL_CONTROL'!$C$46/'1_PANEL_CONTROL'!$C$32, 0)</f>
        <v>2333.3333333333335</v>
      </c>
      <c r="CH87" s="33">
        <f>IF(CH$8&gt;='1_PANEL_CONTROL'!$D$46, '1_PANEL_CONTROL'!$C$46/'1_PANEL_CONTROL'!$C$32, 0)</f>
        <v>2333.3333333333335</v>
      </c>
      <c r="CI87" s="33">
        <f>IF(CI$8&gt;='1_PANEL_CONTROL'!$D$46, '1_PANEL_CONTROL'!$C$46/'1_PANEL_CONTROL'!$C$32, 0)</f>
        <v>2333.3333333333335</v>
      </c>
    </row>
    <row r="88" spans="1:87" ht="16">
      <c r="A88" s="6" t="s">
        <v>583</v>
      </c>
      <c r="B88" s="30" t="s">
        <v>465</v>
      </c>
      <c r="C88" s="15"/>
      <c r="D88" s="33">
        <f>IF(D$8&gt;='1_PANEL_CONTROL'!$D$46, IF('1_PANEL_CONTROL'!$C$32=14, IF(OR(MOD(D$8,12)=6, MOD(D$8,12)=0), '1_PANEL_CONTROL'!$C$46/14, 0), 0), 0)</f>
        <v>0</v>
      </c>
      <c r="E88" s="33">
        <f>IF(E$8&gt;='1_PANEL_CONTROL'!$D$46, IF('1_PANEL_CONTROL'!$C$32=14, IF(OR(MOD(E$8,12)=6, MOD(E$8,12)=0), '1_PANEL_CONTROL'!$C$46/14, 0), 0), 0)</f>
        <v>0</v>
      </c>
      <c r="F88" s="33">
        <f>IF(F$8&gt;='1_PANEL_CONTROL'!$D$46, IF('1_PANEL_CONTROL'!$C$32=14, IF(OR(MOD(F$8,12)=6, MOD(F$8,12)=0), '1_PANEL_CONTROL'!$C$46/14, 0), 0), 0)</f>
        <v>0</v>
      </c>
      <c r="G88" s="33">
        <f>IF(G$8&gt;='1_PANEL_CONTROL'!$D$46, IF('1_PANEL_CONTROL'!$C$32=14, IF(OR(MOD(G$8,12)=6, MOD(G$8,12)=0), '1_PANEL_CONTROL'!$C$46/14, 0), 0), 0)</f>
        <v>0</v>
      </c>
      <c r="H88" s="33">
        <f>IF(H$8&gt;='1_PANEL_CONTROL'!$D$46, IF('1_PANEL_CONTROL'!$C$32=14, IF(OR(MOD(H$8,12)=6, MOD(H$8,12)=0), '1_PANEL_CONTROL'!$C$46/14, 0), 0), 0)</f>
        <v>0</v>
      </c>
      <c r="I88" s="33">
        <f>IF(I$8&gt;='1_PANEL_CONTROL'!$D$46, IF('1_PANEL_CONTROL'!$C$32=14, IF(OR(MOD(I$8,12)=6, MOD(I$8,12)=0), '1_PANEL_CONTROL'!$C$46/14, 0), 0), 0)</f>
        <v>0</v>
      </c>
      <c r="J88" s="33">
        <f>IF(J$8&gt;='1_PANEL_CONTROL'!$D$46, IF('1_PANEL_CONTROL'!$C$32=14, IF(OR(MOD(J$8,12)=6, MOD(J$8,12)=0), '1_PANEL_CONTROL'!$C$46/14, 0), 0), 0)</f>
        <v>0</v>
      </c>
      <c r="K88" s="33">
        <f>IF(K$8&gt;='1_PANEL_CONTROL'!$D$46, IF('1_PANEL_CONTROL'!$C$32=14, IF(OR(MOD(K$8,12)=6, MOD(K$8,12)=0), '1_PANEL_CONTROL'!$C$46/14, 0), 0), 0)</f>
        <v>0</v>
      </c>
      <c r="L88" s="33">
        <f>IF(L$8&gt;='1_PANEL_CONTROL'!$D$46, IF('1_PANEL_CONTROL'!$C$32=14, IF(OR(MOD(L$8,12)=6, MOD(L$8,12)=0), '1_PANEL_CONTROL'!$C$46/14, 0), 0), 0)</f>
        <v>0</v>
      </c>
      <c r="M88" s="33">
        <f>IF(M$8&gt;='1_PANEL_CONTROL'!$D$46, IF('1_PANEL_CONTROL'!$C$32=14, IF(OR(MOD(M$8,12)=6, MOD(M$8,12)=0), '1_PANEL_CONTROL'!$C$46/14, 0), 0), 0)</f>
        <v>0</v>
      </c>
      <c r="N88" s="33">
        <f>IF(N$8&gt;='1_PANEL_CONTROL'!$D$46, IF('1_PANEL_CONTROL'!$C$32=14, IF(OR(MOD(N$8,12)=6, MOD(N$8,12)=0), '1_PANEL_CONTROL'!$C$46/14, 0), 0), 0)</f>
        <v>0</v>
      </c>
      <c r="O88" s="33">
        <f>IF(O$8&gt;='1_PANEL_CONTROL'!$D$46, IF('1_PANEL_CONTROL'!$C$32=14, IF(OR(MOD(O$8,12)=6, MOD(O$8,12)=0), '1_PANEL_CONTROL'!$C$46/14, 0), 0), 0)</f>
        <v>0</v>
      </c>
      <c r="P88" s="33">
        <f>IF(P$8&gt;='1_PANEL_CONTROL'!$D$46, IF('1_PANEL_CONTROL'!$C$32=14, IF(OR(MOD(P$8,12)=6, MOD(P$8,12)=0), '1_PANEL_CONTROL'!$C$46/14, 0), 0), 0)</f>
        <v>0</v>
      </c>
      <c r="Q88" s="33">
        <f>IF(Q$8&gt;='1_PANEL_CONTROL'!$D$46, IF('1_PANEL_CONTROL'!$C$32=14, IF(OR(MOD(Q$8,12)=6, MOD(Q$8,12)=0), '1_PANEL_CONTROL'!$C$46/14, 0), 0), 0)</f>
        <v>0</v>
      </c>
      <c r="R88" s="33">
        <f>IF(R$8&gt;='1_PANEL_CONTROL'!$D$46, IF('1_PANEL_CONTROL'!$C$32=14, IF(OR(MOD(R$8,12)=6, MOD(R$8,12)=0), '1_PANEL_CONTROL'!$C$46/14, 0), 0), 0)</f>
        <v>0</v>
      </c>
      <c r="S88" s="33">
        <f>IF(S$8&gt;='1_PANEL_CONTROL'!$D$46, IF('1_PANEL_CONTROL'!$C$32=14, IF(OR(MOD(S$8,12)=6, MOD(S$8,12)=0), '1_PANEL_CONTROL'!$C$46/14, 0), 0), 0)</f>
        <v>0</v>
      </c>
      <c r="T88" s="33">
        <f>IF(T$8&gt;='1_PANEL_CONTROL'!$D$46, IF('1_PANEL_CONTROL'!$C$32=14, IF(OR(MOD(T$8,12)=6, MOD(T$8,12)=0), '1_PANEL_CONTROL'!$C$46/14, 0), 0), 0)</f>
        <v>0</v>
      </c>
      <c r="U88" s="33">
        <f>IF(U$8&gt;='1_PANEL_CONTROL'!$D$46, IF('1_PANEL_CONTROL'!$C$32=14, IF(OR(MOD(U$8,12)=6, MOD(U$8,12)=0), '1_PANEL_CONTROL'!$C$46/14, 0), 0), 0)</f>
        <v>0</v>
      </c>
      <c r="V88" s="33">
        <f>IF(V$8&gt;='1_PANEL_CONTROL'!$D$46, IF('1_PANEL_CONTROL'!$C$32=14, IF(OR(MOD(V$8,12)=6, MOD(V$8,12)=0), '1_PANEL_CONTROL'!$C$46/14, 0), 0), 0)</f>
        <v>0</v>
      </c>
      <c r="W88" s="33">
        <f>IF(W$8&gt;='1_PANEL_CONTROL'!$D$46, IF('1_PANEL_CONTROL'!$C$32=14, IF(OR(MOD(W$8,12)=6, MOD(W$8,12)=0), '1_PANEL_CONTROL'!$C$46/14, 0), 0), 0)</f>
        <v>0</v>
      </c>
      <c r="X88" s="33">
        <f>IF(X$8&gt;='1_PANEL_CONTROL'!$D$46, IF('1_PANEL_CONTROL'!$C$32=14, IF(OR(MOD(X$8,12)=6, MOD(X$8,12)=0), '1_PANEL_CONTROL'!$C$46/14, 0), 0), 0)</f>
        <v>0</v>
      </c>
      <c r="Y88" s="33">
        <f>IF(Y$8&gt;='1_PANEL_CONTROL'!$D$46, IF('1_PANEL_CONTROL'!$C$32=14, IF(OR(MOD(Y$8,12)=6, MOD(Y$8,12)=0), '1_PANEL_CONTROL'!$C$46/14, 0), 0), 0)</f>
        <v>0</v>
      </c>
      <c r="Z88" s="33">
        <f>IF(Z$8&gt;='1_PANEL_CONTROL'!$D$46, IF('1_PANEL_CONTROL'!$C$32=14, IF(OR(MOD(Z$8,12)=6, MOD(Z$8,12)=0), '1_PANEL_CONTROL'!$C$46/14, 0), 0), 0)</f>
        <v>0</v>
      </c>
      <c r="AA88" s="33">
        <f>IF(AA$8&gt;='1_PANEL_CONTROL'!$D$46, IF('1_PANEL_CONTROL'!$C$32=14, IF(OR(MOD(AA$8,12)=6, MOD(AA$8,12)=0), '1_PANEL_CONTROL'!$C$46/14, 0), 0), 0)</f>
        <v>0</v>
      </c>
      <c r="AB88" s="33">
        <f>IF(AB$8&gt;='1_PANEL_CONTROL'!$D$46, IF('1_PANEL_CONTROL'!$C$32=14, IF(OR(MOD(AB$8,12)=6, MOD(AB$8,12)=0), '1_PANEL_CONTROL'!$C$46/14, 0), 0), 0)</f>
        <v>0</v>
      </c>
      <c r="AC88" s="33">
        <f>IF(AC$8&gt;='1_PANEL_CONTROL'!$D$46, IF('1_PANEL_CONTROL'!$C$32=14, IF(OR(MOD(AC$8,12)=6, MOD(AC$8,12)=0), '1_PANEL_CONTROL'!$C$46/14, 0), 0), 0)</f>
        <v>0</v>
      </c>
      <c r="AD88" s="33">
        <f>IF(AD$8&gt;='1_PANEL_CONTROL'!$D$46, IF('1_PANEL_CONTROL'!$C$32=14, IF(OR(MOD(AD$8,12)=6, MOD(AD$8,12)=0), '1_PANEL_CONTROL'!$C$46/14, 0), 0), 0)</f>
        <v>0</v>
      </c>
      <c r="AE88" s="33">
        <f>IF(AE$8&gt;='1_PANEL_CONTROL'!$D$46, IF('1_PANEL_CONTROL'!$C$32=14, IF(OR(MOD(AE$8,12)=6, MOD(AE$8,12)=0), '1_PANEL_CONTROL'!$C$46/14, 0), 0), 0)</f>
        <v>0</v>
      </c>
      <c r="AF88" s="33">
        <f>IF(AF$8&gt;='1_PANEL_CONTROL'!$D$46, IF('1_PANEL_CONTROL'!$C$32=14, IF(OR(MOD(AF$8,12)=6, MOD(AF$8,12)=0), '1_PANEL_CONTROL'!$C$46/14, 0), 0), 0)</f>
        <v>0</v>
      </c>
      <c r="AG88" s="33">
        <f>IF(AG$8&gt;='1_PANEL_CONTROL'!$D$46, IF('1_PANEL_CONTROL'!$C$32=14, IF(OR(MOD(AG$8,12)=6, MOD(AG$8,12)=0), '1_PANEL_CONTROL'!$C$46/14, 0), 0), 0)</f>
        <v>0</v>
      </c>
      <c r="AH88" s="33">
        <f>IF(AH$8&gt;='1_PANEL_CONTROL'!$D$46, IF('1_PANEL_CONTROL'!$C$32=14, IF(OR(MOD(AH$8,12)=6, MOD(AH$8,12)=0), '1_PANEL_CONTROL'!$C$46/14, 0), 0), 0)</f>
        <v>0</v>
      </c>
      <c r="AI88" s="33">
        <f>IF(AI$8&gt;='1_PANEL_CONTROL'!$D$46, IF('1_PANEL_CONTROL'!$C$32=14, IF(OR(MOD(AI$8,12)=6, MOD(AI$8,12)=0), '1_PANEL_CONTROL'!$C$46/14, 0), 0), 0)</f>
        <v>0</v>
      </c>
      <c r="AJ88" s="33">
        <f>IF(AJ$8&gt;='1_PANEL_CONTROL'!$D$46, IF('1_PANEL_CONTROL'!$C$32=14, IF(OR(MOD(AJ$8,12)=6, MOD(AJ$8,12)=0), '1_PANEL_CONTROL'!$C$46/14, 0), 0), 0)</f>
        <v>0</v>
      </c>
      <c r="AK88" s="33">
        <f>IF(AK$8&gt;='1_PANEL_CONTROL'!$D$46, IF('1_PANEL_CONTROL'!$C$32=14, IF(OR(MOD(AK$8,12)=6, MOD(AK$8,12)=0), '1_PANEL_CONTROL'!$C$46/14, 0), 0), 0)</f>
        <v>0</v>
      </c>
      <c r="AL88" s="33">
        <f>IF(AL$8&gt;='1_PANEL_CONTROL'!$D$46, IF('1_PANEL_CONTROL'!$C$32=14, IF(OR(MOD(AL$8,12)=6, MOD(AL$8,12)=0), '1_PANEL_CONTROL'!$C$46/14, 0), 0), 0)</f>
        <v>0</v>
      </c>
      <c r="AM88" s="33">
        <f>IF(AM$8&gt;='1_PANEL_CONTROL'!$D$46, IF('1_PANEL_CONTROL'!$C$32=14, IF(OR(MOD(AM$8,12)=6, MOD(AM$8,12)=0), '1_PANEL_CONTROL'!$C$46/14, 0), 0), 0)</f>
        <v>0</v>
      </c>
      <c r="AN88" s="33">
        <f>IF(AN$8&gt;='1_PANEL_CONTROL'!$D$46, IF('1_PANEL_CONTROL'!$C$32=14, IF(OR(MOD(AN$8,12)=6, MOD(AN$8,12)=0), '1_PANEL_CONTROL'!$C$46/14, 0), 0), 0)</f>
        <v>0</v>
      </c>
      <c r="AO88" s="33">
        <f>IF(AO$8&gt;='1_PANEL_CONTROL'!$D$46, IF('1_PANEL_CONTROL'!$C$32=14, IF(OR(MOD(AO$8,12)=6, MOD(AO$8,12)=0), '1_PANEL_CONTROL'!$C$46/14, 0), 0), 0)</f>
        <v>0</v>
      </c>
      <c r="AP88" s="33">
        <f>IF(AP$8&gt;='1_PANEL_CONTROL'!$D$46, IF('1_PANEL_CONTROL'!$C$32=14, IF(OR(MOD(AP$8,12)=6, MOD(AP$8,12)=0), '1_PANEL_CONTROL'!$C$46/14, 0), 0), 0)</f>
        <v>0</v>
      </c>
      <c r="AQ88" s="33">
        <f>IF(AQ$8&gt;='1_PANEL_CONTROL'!$D$46, IF('1_PANEL_CONTROL'!$C$32=14, IF(OR(MOD(AQ$8,12)=6, MOD(AQ$8,12)=0), '1_PANEL_CONTROL'!$C$46/14, 0), 0), 0)</f>
        <v>0</v>
      </c>
      <c r="AR88" s="33">
        <f>IF(AR$8&gt;='1_PANEL_CONTROL'!$D$46, IF('1_PANEL_CONTROL'!$C$32=14, IF(OR(MOD(AR$8,12)=6, MOD(AR$8,12)=0), '1_PANEL_CONTROL'!$C$46/14, 0), 0), 0)</f>
        <v>0</v>
      </c>
      <c r="AS88" s="33">
        <f>IF(AS$8&gt;='1_PANEL_CONTROL'!$D$46, IF('1_PANEL_CONTROL'!$C$32=14, IF(OR(MOD(AS$8,12)=6, MOD(AS$8,12)=0), '1_PANEL_CONTROL'!$C$46/14, 0), 0), 0)</f>
        <v>0</v>
      </c>
      <c r="AT88" s="33">
        <f>IF(AT$8&gt;='1_PANEL_CONTROL'!$D$46, IF('1_PANEL_CONTROL'!$C$32=14, IF(OR(MOD(AT$8,12)=6, MOD(AT$8,12)=0), '1_PANEL_CONTROL'!$C$46/14, 0), 0), 0)</f>
        <v>0</v>
      </c>
      <c r="AU88" s="33">
        <f>IF(AU$8&gt;='1_PANEL_CONTROL'!$D$46, IF('1_PANEL_CONTROL'!$C$32=14, IF(OR(MOD(AU$8,12)=6, MOD(AU$8,12)=0), '1_PANEL_CONTROL'!$C$46/14, 0), 0), 0)</f>
        <v>0</v>
      </c>
      <c r="AV88" s="33">
        <f>IF(AV$8&gt;='1_PANEL_CONTROL'!$D$46, IF('1_PANEL_CONTROL'!$C$32=14, IF(OR(MOD(AV$8,12)=6, MOD(AV$8,12)=0), '1_PANEL_CONTROL'!$C$46/14, 0), 0), 0)</f>
        <v>0</v>
      </c>
      <c r="AW88" s="33">
        <f>IF(AW$8&gt;='1_PANEL_CONTROL'!$D$46, IF('1_PANEL_CONTROL'!$C$32=14, IF(OR(MOD(AW$8,12)=6, MOD(AW$8,12)=0), '1_PANEL_CONTROL'!$C$46/14, 0), 0), 0)</f>
        <v>0</v>
      </c>
      <c r="AX88" s="33">
        <f>IF(AX$8&gt;='1_PANEL_CONTROL'!$D$46, IF('1_PANEL_CONTROL'!$C$32=14, IF(OR(MOD(AX$8,12)=6, MOD(AX$8,12)=0), '1_PANEL_CONTROL'!$C$46/14, 0), 0), 0)</f>
        <v>0</v>
      </c>
      <c r="AY88" s="33">
        <f>IF(AY$8&gt;='1_PANEL_CONTROL'!$D$46, IF('1_PANEL_CONTROL'!$C$32=14, IF(OR(MOD(AY$8,12)=6, MOD(AY$8,12)=0), '1_PANEL_CONTROL'!$C$46/14, 0), 0), 0)</f>
        <v>0</v>
      </c>
      <c r="AZ88" s="33">
        <f>IF(AZ$8&gt;='1_PANEL_CONTROL'!$D$46, IF('1_PANEL_CONTROL'!$C$32=14, IF(OR(MOD(AZ$8,12)=6, MOD(AZ$8,12)=0), '1_PANEL_CONTROL'!$C$46/14, 0), 0), 0)</f>
        <v>0</v>
      </c>
      <c r="BA88" s="33">
        <f>IF(BA$8&gt;='1_PANEL_CONTROL'!$D$46, IF('1_PANEL_CONTROL'!$C$32=14, IF(OR(MOD(BA$8,12)=6, MOD(BA$8,12)=0), '1_PANEL_CONTROL'!$C$46/14, 0), 0), 0)</f>
        <v>0</v>
      </c>
      <c r="BB88" s="33">
        <f>IF(BB$8&gt;='1_PANEL_CONTROL'!$D$46, IF('1_PANEL_CONTROL'!$C$32=14, IF(OR(MOD(BB$8,12)=6, MOD(BB$8,12)=0), '1_PANEL_CONTROL'!$C$46/14, 0), 0), 0)</f>
        <v>0</v>
      </c>
      <c r="BC88" s="33">
        <f>IF(BC$8&gt;='1_PANEL_CONTROL'!$D$46, IF('1_PANEL_CONTROL'!$C$32=14, IF(OR(MOD(BC$8,12)=6, MOD(BC$8,12)=0), '1_PANEL_CONTROL'!$C$46/14, 0), 0), 0)</f>
        <v>0</v>
      </c>
      <c r="BD88" s="33">
        <f>IF(BD$8&gt;='1_PANEL_CONTROL'!$D$46, IF('1_PANEL_CONTROL'!$C$32=14, IF(OR(MOD(BD$8,12)=6, MOD(BD$8,12)=0), '1_PANEL_CONTROL'!$C$46/14, 0), 0), 0)</f>
        <v>0</v>
      </c>
      <c r="BE88" s="33">
        <f>IF(BE$8&gt;='1_PANEL_CONTROL'!$D$46, IF('1_PANEL_CONTROL'!$C$32=14, IF(OR(MOD(BE$8,12)=6, MOD(BE$8,12)=0), '1_PANEL_CONTROL'!$C$46/14, 0), 0), 0)</f>
        <v>0</v>
      </c>
      <c r="BF88" s="33">
        <f>IF(BF$8&gt;='1_PANEL_CONTROL'!$D$46, IF('1_PANEL_CONTROL'!$C$32=14, IF(OR(MOD(BF$8,12)=6, MOD(BF$8,12)=0), '1_PANEL_CONTROL'!$C$46/14, 0), 0), 0)</f>
        <v>0</v>
      </c>
      <c r="BG88" s="33">
        <f>IF(BG$8&gt;='1_PANEL_CONTROL'!$D$46, IF('1_PANEL_CONTROL'!$C$32=14, IF(OR(MOD(BG$8,12)=6, MOD(BG$8,12)=0), '1_PANEL_CONTROL'!$C$46/14, 0), 0), 0)</f>
        <v>0</v>
      </c>
      <c r="BH88" s="33">
        <f>IF(BH$8&gt;='1_PANEL_CONTROL'!$D$46, IF('1_PANEL_CONTROL'!$C$32=14, IF(OR(MOD(BH$8,12)=6, MOD(BH$8,12)=0), '1_PANEL_CONTROL'!$C$46/14, 0), 0), 0)</f>
        <v>0</v>
      </c>
      <c r="BI88" s="33">
        <f>IF(BI$8&gt;='1_PANEL_CONTROL'!$D$46, IF('1_PANEL_CONTROL'!$C$32=14, IF(OR(MOD(BI$8,12)=6, MOD(BI$8,12)=0), '1_PANEL_CONTROL'!$C$46/14, 0), 0), 0)</f>
        <v>0</v>
      </c>
      <c r="BJ88" s="33">
        <f>IF(BJ$8&gt;='1_PANEL_CONTROL'!$D$46, IF('1_PANEL_CONTROL'!$C$32=14, IF(OR(MOD(BJ$8,12)=6, MOD(BJ$8,12)=0), '1_PANEL_CONTROL'!$C$46/14, 0), 0), 0)</f>
        <v>0</v>
      </c>
      <c r="BK88" s="33">
        <f>IF(BK$8&gt;='1_PANEL_CONTROL'!$D$46, IF('1_PANEL_CONTROL'!$C$32=14, IF(OR(MOD(BK$8,12)=6, MOD(BK$8,12)=0), '1_PANEL_CONTROL'!$C$46/14, 0), 0), 0)</f>
        <v>0</v>
      </c>
      <c r="BL88" s="33">
        <f>IF(BL$8&gt;='1_PANEL_CONTROL'!$D$46, IF('1_PANEL_CONTROL'!$C$32=14, IF(OR(MOD(BL$8,12)=6, MOD(BL$8,12)=0), '1_PANEL_CONTROL'!$C$46/14, 0), 0), 0)</f>
        <v>0</v>
      </c>
      <c r="BM88" s="33">
        <f>IF(BM$8&gt;='1_PANEL_CONTROL'!$D$46, IF('1_PANEL_CONTROL'!$C$32=14, IF(OR(MOD(BM$8,12)=6, MOD(BM$8,12)=0), '1_PANEL_CONTROL'!$C$46/14, 0), 0), 0)</f>
        <v>0</v>
      </c>
      <c r="BN88" s="33">
        <f>IF(BN$8&gt;='1_PANEL_CONTROL'!$D$46, IF('1_PANEL_CONTROL'!$C$32=14, IF(OR(MOD(BN$8,12)=6, MOD(BN$8,12)=0), '1_PANEL_CONTROL'!$C$46/14, 0), 0), 0)</f>
        <v>0</v>
      </c>
      <c r="BO88" s="33">
        <f>IF(BO$8&gt;='1_PANEL_CONTROL'!$D$46, IF('1_PANEL_CONTROL'!$C$32=14, IF(OR(MOD(BO$8,12)=6, MOD(BO$8,12)=0), '1_PANEL_CONTROL'!$C$46/14, 0), 0), 0)</f>
        <v>0</v>
      </c>
      <c r="BP88" s="33">
        <f>IF(BP$8&gt;='1_PANEL_CONTROL'!$D$46, IF('1_PANEL_CONTROL'!$C$32=14, IF(OR(MOD(BP$8,12)=6, MOD(BP$8,12)=0), '1_PANEL_CONTROL'!$C$46/14, 0), 0), 0)</f>
        <v>0</v>
      </c>
      <c r="BQ88" s="33">
        <f>IF(BQ$8&gt;='1_PANEL_CONTROL'!$D$46, IF('1_PANEL_CONTROL'!$C$32=14, IF(OR(MOD(BQ$8,12)=6, MOD(BQ$8,12)=0), '1_PANEL_CONTROL'!$C$46/14, 0), 0), 0)</f>
        <v>0</v>
      </c>
      <c r="BR88" s="33">
        <f>IF(BR$8&gt;='1_PANEL_CONTROL'!$D$46, IF('1_PANEL_CONTROL'!$C$32=14, IF(OR(MOD(BR$8,12)=6, MOD(BR$8,12)=0), '1_PANEL_CONTROL'!$C$46/14, 0), 0), 0)</f>
        <v>0</v>
      </c>
      <c r="BS88" s="33">
        <f>IF(BS$8&gt;='1_PANEL_CONTROL'!$D$46, IF('1_PANEL_CONTROL'!$C$32=14, IF(OR(MOD(BS$8,12)=6, MOD(BS$8,12)=0), '1_PANEL_CONTROL'!$C$46/14, 0), 0), 0)</f>
        <v>0</v>
      </c>
      <c r="BT88" s="33">
        <f>IF(BT$8&gt;='1_PANEL_CONTROL'!$D$46, IF('1_PANEL_CONTROL'!$C$32=14, IF(OR(MOD(BT$8,12)=6, MOD(BT$8,12)=0), '1_PANEL_CONTROL'!$C$46/14, 0), 0), 0)</f>
        <v>0</v>
      </c>
      <c r="BU88" s="33">
        <f>IF(BU$8&gt;='1_PANEL_CONTROL'!$D$46, IF('1_PANEL_CONTROL'!$C$32=14, IF(OR(MOD(BU$8,12)=6, MOD(BU$8,12)=0), '1_PANEL_CONTROL'!$C$46/14, 0), 0), 0)</f>
        <v>0</v>
      </c>
      <c r="BV88" s="33">
        <f>IF(BV$8&gt;='1_PANEL_CONTROL'!$D$46, IF('1_PANEL_CONTROL'!$C$32=14, IF(OR(MOD(BV$8,12)=6, MOD(BV$8,12)=0), '1_PANEL_CONTROL'!$C$46/14, 0), 0), 0)</f>
        <v>0</v>
      </c>
      <c r="BW88" s="33">
        <f>IF(BW$8&gt;='1_PANEL_CONTROL'!$D$46, IF('1_PANEL_CONTROL'!$C$32=14, IF(OR(MOD(BW$8,12)=6, MOD(BW$8,12)=0), '1_PANEL_CONTROL'!$C$46/14, 0), 0), 0)</f>
        <v>0</v>
      </c>
      <c r="BX88" s="33">
        <f>IF(BX$8&gt;='1_PANEL_CONTROL'!$D$46, IF('1_PANEL_CONTROL'!$C$32=14, IF(OR(MOD(BX$8,12)=6, MOD(BX$8,12)=0), '1_PANEL_CONTROL'!$C$46/14, 0), 0), 0)</f>
        <v>0</v>
      </c>
      <c r="BY88" s="33">
        <f>IF(BY$8&gt;='1_PANEL_CONTROL'!$D$46, IF('1_PANEL_CONTROL'!$C$32=14, IF(OR(MOD(BY$8,12)=6, MOD(BY$8,12)=0), '1_PANEL_CONTROL'!$C$46/14, 0), 0), 0)</f>
        <v>0</v>
      </c>
      <c r="BZ88" s="33">
        <f>IF(BZ$8&gt;='1_PANEL_CONTROL'!$D$46, IF('1_PANEL_CONTROL'!$C$32=14, IF(OR(MOD(BZ$8,12)=6, MOD(BZ$8,12)=0), '1_PANEL_CONTROL'!$C$46/14, 0), 0), 0)</f>
        <v>0</v>
      </c>
      <c r="CA88" s="33">
        <f>IF(CA$8&gt;='1_PANEL_CONTROL'!$D$46, IF('1_PANEL_CONTROL'!$C$32=14, IF(OR(MOD(CA$8,12)=6, MOD(CA$8,12)=0), '1_PANEL_CONTROL'!$C$46/14, 0), 0), 0)</f>
        <v>0</v>
      </c>
      <c r="CB88" s="33">
        <f>IF(CB$8&gt;='1_PANEL_CONTROL'!$D$46, IF('1_PANEL_CONTROL'!$C$32=14, IF(OR(MOD(CB$8,12)=6, MOD(CB$8,12)=0), '1_PANEL_CONTROL'!$C$46/14, 0), 0), 0)</f>
        <v>0</v>
      </c>
      <c r="CC88" s="33">
        <f>IF(CC$8&gt;='1_PANEL_CONTROL'!$D$46, IF('1_PANEL_CONTROL'!$C$32=14, IF(OR(MOD(CC$8,12)=6, MOD(CC$8,12)=0), '1_PANEL_CONTROL'!$C$46/14, 0), 0), 0)</f>
        <v>0</v>
      </c>
      <c r="CD88" s="33">
        <f>IF(CD$8&gt;='1_PANEL_CONTROL'!$D$46, IF('1_PANEL_CONTROL'!$C$32=14, IF(OR(MOD(CD$8,12)=6, MOD(CD$8,12)=0), '1_PANEL_CONTROL'!$C$46/14, 0), 0), 0)</f>
        <v>0</v>
      </c>
      <c r="CE88" s="33">
        <f>IF(CE$8&gt;='1_PANEL_CONTROL'!$D$46, IF('1_PANEL_CONTROL'!$C$32=14, IF(OR(MOD(CE$8,12)=6, MOD(CE$8,12)=0), '1_PANEL_CONTROL'!$C$46/14, 0), 0), 0)</f>
        <v>0</v>
      </c>
      <c r="CF88" s="33">
        <f>IF(CF$8&gt;='1_PANEL_CONTROL'!$D$46, IF('1_PANEL_CONTROL'!$C$32=14, IF(OR(MOD(CF$8,12)=6, MOD(CF$8,12)=0), '1_PANEL_CONTROL'!$C$46/14, 0), 0), 0)</f>
        <v>0</v>
      </c>
      <c r="CG88" s="33">
        <f>IF(CG$8&gt;='1_PANEL_CONTROL'!$D$46, IF('1_PANEL_CONTROL'!$C$32=14, IF(OR(MOD(CG$8,12)=6, MOD(CG$8,12)=0), '1_PANEL_CONTROL'!$C$46/14, 0), 0), 0)</f>
        <v>0</v>
      </c>
      <c r="CH88" s="33">
        <f>IF(CH$8&gt;='1_PANEL_CONTROL'!$D$46, IF('1_PANEL_CONTROL'!$C$32=14, IF(OR(MOD(CH$8,12)=6, MOD(CH$8,12)=0), '1_PANEL_CONTROL'!$C$46/14, 0), 0), 0)</f>
        <v>0</v>
      </c>
      <c r="CI88" s="33">
        <f>IF(CI$8&gt;='1_PANEL_CONTROL'!$D$46, IF('1_PANEL_CONTROL'!$C$32=14, IF(OR(MOD(CI$8,12)=6, MOD(CI$8,12)=0), '1_PANEL_CONTROL'!$C$46/14, 0), 0), 0)</f>
        <v>0</v>
      </c>
    </row>
    <row r="89" spans="1:87" ht="16">
      <c r="A89" s="6" t="s">
        <v>584</v>
      </c>
      <c r="B89" s="30" t="s">
        <v>465</v>
      </c>
      <c r="C89" s="15"/>
      <c r="D89" s="33">
        <f t="shared" ref="D89:AI89" si="81">D87+D88</f>
        <v>0</v>
      </c>
      <c r="E89" s="33">
        <f t="shared" si="81"/>
        <v>0</v>
      </c>
      <c r="F89" s="33">
        <f t="shared" si="81"/>
        <v>0</v>
      </c>
      <c r="G89" s="33">
        <f t="shared" si="81"/>
        <v>0</v>
      </c>
      <c r="H89" s="33">
        <f t="shared" si="81"/>
        <v>0</v>
      </c>
      <c r="I89" s="33">
        <f t="shared" si="81"/>
        <v>0</v>
      </c>
      <c r="J89" s="33">
        <f t="shared" si="81"/>
        <v>0</v>
      </c>
      <c r="K89" s="33">
        <f t="shared" si="81"/>
        <v>0</v>
      </c>
      <c r="L89" s="33">
        <f t="shared" si="81"/>
        <v>0</v>
      </c>
      <c r="M89" s="33">
        <f t="shared" si="81"/>
        <v>0</v>
      </c>
      <c r="N89" s="33">
        <f t="shared" si="81"/>
        <v>0</v>
      </c>
      <c r="O89" s="33">
        <f t="shared" si="81"/>
        <v>0</v>
      </c>
      <c r="P89" s="33">
        <f t="shared" si="81"/>
        <v>0</v>
      </c>
      <c r="Q89" s="33">
        <f t="shared" si="81"/>
        <v>0</v>
      </c>
      <c r="R89" s="33">
        <f t="shared" si="81"/>
        <v>0</v>
      </c>
      <c r="S89" s="33">
        <f t="shared" si="81"/>
        <v>0</v>
      </c>
      <c r="T89" s="33">
        <f t="shared" si="81"/>
        <v>0</v>
      </c>
      <c r="U89" s="33">
        <f t="shared" si="81"/>
        <v>0</v>
      </c>
      <c r="V89" s="33">
        <f t="shared" si="81"/>
        <v>2333.3333333333335</v>
      </c>
      <c r="W89" s="33">
        <f t="shared" si="81"/>
        <v>2333.3333333333335</v>
      </c>
      <c r="X89" s="33">
        <f t="shared" si="81"/>
        <v>2333.3333333333335</v>
      </c>
      <c r="Y89" s="33">
        <f t="shared" si="81"/>
        <v>2333.3333333333335</v>
      </c>
      <c r="Z89" s="33">
        <f t="shared" si="81"/>
        <v>2333.3333333333335</v>
      </c>
      <c r="AA89" s="33">
        <f t="shared" si="81"/>
        <v>2333.3333333333335</v>
      </c>
      <c r="AB89" s="33">
        <f t="shared" si="81"/>
        <v>2333.3333333333335</v>
      </c>
      <c r="AC89" s="33">
        <f t="shared" si="81"/>
        <v>2333.3333333333335</v>
      </c>
      <c r="AD89" s="33">
        <f t="shared" si="81"/>
        <v>2333.3333333333335</v>
      </c>
      <c r="AE89" s="33">
        <f t="shared" si="81"/>
        <v>2333.3333333333335</v>
      </c>
      <c r="AF89" s="33">
        <f t="shared" si="81"/>
        <v>2333.3333333333335</v>
      </c>
      <c r="AG89" s="33">
        <f t="shared" si="81"/>
        <v>2333.3333333333335</v>
      </c>
      <c r="AH89" s="33">
        <f t="shared" si="81"/>
        <v>2333.3333333333335</v>
      </c>
      <c r="AI89" s="33">
        <f t="shared" si="81"/>
        <v>2333.3333333333335</v>
      </c>
      <c r="AJ89" s="33">
        <f t="shared" ref="AJ89:BO89" si="82">AJ87+AJ88</f>
        <v>2333.3333333333335</v>
      </c>
      <c r="AK89" s="33">
        <f t="shared" si="82"/>
        <v>2333.3333333333335</v>
      </c>
      <c r="AL89" s="33">
        <f t="shared" si="82"/>
        <v>2333.3333333333335</v>
      </c>
      <c r="AM89" s="33">
        <f t="shared" si="82"/>
        <v>2333.3333333333335</v>
      </c>
      <c r="AN89" s="33">
        <f t="shared" si="82"/>
        <v>2333.3333333333335</v>
      </c>
      <c r="AO89" s="33">
        <f t="shared" si="82"/>
        <v>2333.3333333333335</v>
      </c>
      <c r="AP89" s="33">
        <f t="shared" si="82"/>
        <v>2333.3333333333335</v>
      </c>
      <c r="AQ89" s="33">
        <f t="shared" si="82"/>
        <v>2333.3333333333335</v>
      </c>
      <c r="AR89" s="33">
        <f t="shared" si="82"/>
        <v>2333.3333333333335</v>
      </c>
      <c r="AS89" s="33">
        <f t="shared" si="82"/>
        <v>2333.3333333333335</v>
      </c>
      <c r="AT89" s="33">
        <f t="shared" si="82"/>
        <v>2333.3333333333335</v>
      </c>
      <c r="AU89" s="33">
        <f t="shared" si="82"/>
        <v>2333.3333333333335</v>
      </c>
      <c r="AV89" s="33">
        <f t="shared" si="82"/>
        <v>2333.3333333333335</v>
      </c>
      <c r="AW89" s="33">
        <f t="shared" si="82"/>
        <v>2333.3333333333335</v>
      </c>
      <c r="AX89" s="33">
        <f t="shared" si="82"/>
        <v>2333.3333333333335</v>
      </c>
      <c r="AY89" s="33">
        <f t="shared" si="82"/>
        <v>2333.3333333333335</v>
      </c>
      <c r="AZ89" s="33">
        <f t="shared" si="82"/>
        <v>2333.3333333333335</v>
      </c>
      <c r="BA89" s="33">
        <f t="shared" si="82"/>
        <v>2333.3333333333335</v>
      </c>
      <c r="BB89" s="33">
        <f t="shared" si="82"/>
        <v>2333.3333333333335</v>
      </c>
      <c r="BC89" s="33">
        <f t="shared" si="82"/>
        <v>2333.3333333333335</v>
      </c>
      <c r="BD89" s="33">
        <f t="shared" si="82"/>
        <v>2333.3333333333335</v>
      </c>
      <c r="BE89" s="33">
        <f t="shared" si="82"/>
        <v>2333.3333333333335</v>
      </c>
      <c r="BF89" s="33">
        <f t="shared" si="82"/>
        <v>2333.3333333333335</v>
      </c>
      <c r="BG89" s="33">
        <f t="shared" si="82"/>
        <v>2333.3333333333335</v>
      </c>
      <c r="BH89" s="33">
        <f t="shared" si="82"/>
        <v>2333.3333333333335</v>
      </c>
      <c r="BI89" s="33">
        <f t="shared" si="82"/>
        <v>2333.3333333333335</v>
      </c>
      <c r="BJ89" s="33">
        <f t="shared" si="82"/>
        <v>2333.3333333333335</v>
      </c>
      <c r="BK89" s="33">
        <f t="shared" si="82"/>
        <v>2333.3333333333335</v>
      </c>
      <c r="BL89" s="33">
        <f t="shared" si="82"/>
        <v>2333.3333333333335</v>
      </c>
      <c r="BM89" s="33">
        <f t="shared" si="82"/>
        <v>2333.3333333333335</v>
      </c>
      <c r="BN89" s="33">
        <f t="shared" si="82"/>
        <v>2333.3333333333335</v>
      </c>
      <c r="BO89" s="33">
        <f t="shared" si="82"/>
        <v>2333.3333333333335</v>
      </c>
      <c r="BP89" s="33">
        <f t="shared" ref="BP89:CU89" si="83">BP87+BP88</f>
        <v>2333.3333333333335</v>
      </c>
      <c r="BQ89" s="33">
        <f t="shared" si="83"/>
        <v>2333.3333333333335</v>
      </c>
      <c r="BR89" s="33">
        <f t="shared" si="83"/>
        <v>2333.3333333333335</v>
      </c>
      <c r="BS89" s="33">
        <f t="shared" si="83"/>
        <v>2333.3333333333335</v>
      </c>
      <c r="BT89" s="33">
        <f t="shared" si="83"/>
        <v>2333.3333333333335</v>
      </c>
      <c r="BU89" s="33">
        <f t="shared" si="83"/>
        <v>2333.3333333333335</v>
      </c>
      <c r="BV89" s="33">
        <f t="shared" si="83"/>
        <v>2333.3333333333335</v>
      </c>
      <c r="BW89" s="33">
        <f t="shared" si="83"/>
        <v>2333.3333333333335</v>
      </c>
      <c r="BX89" s="33">
        <f t="shared" si="83"/>
        <v>2333.3333333333335</v>
      </c>
      <c r="BY89" s="33">
        <f t="shared" si="83"/>
        <v>2333.3333333333335</v>
      </c>
      <c r="BZ89" s="33">
        <f t="shared" si="83"/>
        <v>2333.3333333333335</v>
      </c>
      <c r="CA89" s="33">
        <f t="shared" si="83"/>
        <v>2333.3333333333335</v>
      </c>
      <c r="CB89" s="33">
        <f t="shared" si="83"/>
        <v>2333.3333333333335</v>
      </c>
      <c r="CC89" s="33">
        <f t="shared" si="83"/>
        <v>2333.3333333333335</v>
      </c>
      <c r="CD89" s="33">
        <f t="shared" si="83"/>
        <v>2333.3333333333335</v>
      </c>
      <c r="CE89" s="33">
        <f t="shared" si="83"/>
        <v>2333.3333333333335</v>
      </c>
      <c r="CF89" s="33">
        <f t="shared" si="83"/>
        <v>2333.3333333333335</v>
      </c>
      <c r="CG89" s="33">
        <f t="shared" si="83"/>
        <v>2333.3333333333335</v>
      </c>
      <c r="CH89" s="33">
        <f t="shared" si="83"/>
        <v>2333.3333333333335</v>
      </c>
      <c r="CI89" s="33">
        <f t="shared" si="83"/>
        <v>2333.3333333333335</v>
      </c>
    </row>
    <row r="90" spans="1:87" ht="16">
      <c r="A90" s="6" t="s">
        <v>585</v>
      </c>
      <c r="B90" s="30" t="s">
        <v>465</v>
      </c>
      <c r="C90" s="15"/>
      <c r="D90" s="33">
        <f>IF(D$8&gt;='1_PANEL_CONTROL'!$D$46, '1_PANEL_CONTROL'!$C$46/12, 0)</f>
        <v>0</v>
      </c>
      <c r="E90" s="33">
        <f>IF(E$8&gt;='1_PANEL_CONTROL'!$D$46, '1_PANEL_CONTROL'!$C$46/12, 0)</f>
        <v>0</v>
      </c>
      <c r="F90" s="33">
        <f>IF(F$8&gt;='1_PANEL_CONTROL'!$D$46, '1_PANEL_CONTROL'!$C$46/12, 0)</f>
        <v>0</v>
      </c>
      <c r="G90" s="33">
        <f>IF(G$8&gt;='1_PANEL_CONTROL'!$D$46, '1_PANEL_CONTROL'!$C$46/12, 0)</f>
        <v>0</v>
      </c>
      <c r="H90" s="33">
        <f>IF(H$8&gt;='1_PANEL_CONTROL'!$D$46, '1_PANEL_CONTROL'!$C$46/12, 0)</f>
        <v>0</v>
      </c>
      <c r="I90" s="33">
        <f>IF(I$8&gt;='1_PANEL_CONTROL'!$D$46, '1_PANEL_CONTROL'!$C$46/12, 0)</f>
        <v>0</v>
      </c>
      <c r="J90" s="33">
        <f>IF(J$8&gt;='1_PANEL_CONTROL'!$D$46, '1_PANEL_CONTROL'!$C$46/12, 0)</f>
        <v>0</v>
      </c>
      <c r="K90" s="33">
        <f>IF(K$8&gt;='1_PANEL_CONTROL'!$D$46, '1_PANEL_CONTROL'!$C$46/12, 0)</f>
        <v>0</v>
      </c>
      <c r="L90" s="33">
        <f>IF(L$8&gt;='1_PANEL_CONTROL'!$D$46, '1_PANEL_CONTROL'!$C$46/12, 0)</f>
        <v>0</v>
      </c>
      <c r="M90" s="33">
        <f>IF(M$8&gt;='1_PANEL_CONTROL'!$D$46, '1_PANEL_CONTROL'!$C$46/12, 0)</f>
        <v>0</v>
      </c>
      <c r="N90" s="33">
        <f>IF(N$8&gt;='1_PANEL_CONTROL'!$D$46, '1_PANEL_CONTROL'!$C$46/12, 0)</f>
        <v>0</v>
      </c>
      <c r="O90" s="33">
        <f>IF(O$8&gt;='1_PANEL_CONTROL'!$D$46, '1_PANEL_CONTROL'!$C$46/12, 0)</f>
        <v>0</v>
      </c>
      <c r="P90" s="33">
        <f>IF(P$8&gt;='1_PANEL_CONTROL'!$D$46, '1_PANEL_CONTROL'!$C$46/12, 0)</f>
        <v>0</v>
      </c>
      <c r="Q90" s="33">
        <f>IF(Q$8&gt;='1_PANEL_CONTROL'!$D$46, '1_PANEL_CONTROL'!$C$46/12, 0)</f>
        <v>0</v>
      </c>
      <c r="R90" s="33">
        <f>IF(R$8&gt;='1_PANEL_CONTROL'!$D$46, '1_PANEL_CONTROL'!$C$46/12, 0)</f>
        <v>0</v>
      </c>
      <c r="S90" s="33">
        <f>IF(S$8&gt;='1_PANEL_CONTROL'!$D$46, '1_PANEL_CONTROL'!$C$46/12, 0)</f>
        <v>0</v>
      </c>
      <c r="T90" s="33">
        <f>IF(T$8&gt;='1_PANEL_CONTROL'!$D$46, '1_PANEL_CONTROL'!$C$46/12, 0)</f>
        <v>0</v>
      </c>
      <c r="U90" s="33">
        <f>IF(U$8&gt;='1_PANEL_CONTROL'!$D$46, '1_PANEL_CONTROL'!$C$46/12, 0)</f>
        <v>0</v>
      </c>
      <c r="V90" s="33">
        <f>IF(V$8&gt;='1_PANEL_CONTROL'!$D$46, '1_PANEL_CONTROL'!$C$46/12, 0)</f>
        <v>2333.3333333333335</v>
      </c>
      <c r="W90" s="33">
        <f>IF(W$8&gt;='1_PANEL_CONTROL'!$D$46, '1_PANEL_CONTROL'!$C$46/12, 0)</f>
        <v>2333.3333333333335</v>
      </c>
      <c r="X90" s="33">
        <f>IF(X$8&gt;='1_PANEL_CONTROL'!$D$46, '1_PANEL_CONTROL'!$C$46/12, 0)</f>
        <v>2333.3333333333335</v>
      </c>
      <c r="Y90" s="33">
        <f>IF(Y$8&gt;='1_PANEL_CONTROL'!$D$46, '1_PANEL_CONTROL'!$C$46/12, 0)</f>
        <v>2333.3333333333335</v>
      </c>
      <c r="Z90" s="33">
        <f>IF(Z$8&gt;='1_PANEL_CONTROL'!$D$46, '1_PANEL_CONTROL'!$C$46/12, 0)</f>
        <v>2333.3333333333335</v>
      </c>
      <c r="AA90" s="33">
        <f>IF(AA$8&gt;='1_PANEL_CONTROL'!$D$46, '1_PANEL_CONTROL'!$C$46/12, 0)</f>
        <v>2333.3333333333335</v>
      </c>
      <c r="AB90" s="33">
        <f>IF(AB$8&gt;='1_PANEL_CONTROL'!$D$46, '1_PANEL_CONTROL'!$C$46/12, 0)</f>
        <v>2333.3333333333335</v>
      </c>
      <c r="AC90" s="33">
        <f>IF(AC$8&gt;='1_PANEL_CONTROL'!$D$46, '1_PANEL_CONTROL'!$C$46/12, 0)</f>
        <v>2333.3333333333335</v>
      </c>
      <c r="AD90" s="33">
        <f>IF(AD$8&gt;='1_PANEL_CONTROL'!$D$46, '1_PANEL_CONTROL'!$C$46/12, 0)</f>
        <v>2333.3333333333335</v>
      </c>
      <c r="AE90" s="33">
        <f>IF(AE$8&gt;='1_PANEL_CONTROL'!$D$46, '1_PANEL_CONTROL'!$C$46/12, 0)</f>
        <v>2333.3333333333335</v>
      </c>
      <c r="AF90" s="33">
        <f>IF(AF$8&gt;='1_PANEL_CONTROL'!$D$46, '1_PANEL_CONTROL'!$C$46/12, 0)</f>
        <v>2333.3333333333335</v>
      </c>
      <c r="AG90" s="33">
        <f>IF(AG$8&gt;='1_PANEL_CONTROL'!$D$46, '1_PANEL_CONTROL'!$C$46/12, 0)</f>
        <v>2333.3333333333335</v>
      </c>
      <c r="AH90" s="33">
        <f>IF(AH$8&gt;='1_PANEL_CONTROL'!$D$46, '1_PANEL_CONTROL'!$C$46/12, 0)</f>
        <v>2333.3333333333335</v>
      </c>
      <c r="AI90" s="33">
        <f>IF(AI$8&gt;='1_PANEL_CONTROL'!$D$46, '1_PANEL_CONTROL'!$C$46/12, 0)</f>
        <v>2333.3333333333335</v>
      </c>
      <c r="AJ90" s="33">
        <f>IF(AJ$8&gt;='1_PANEL_CONTROL'!$D$46, '1_PANEL_CONTROL'!$C$46/12, 0)</f>
        <v>2333.3333333333335</v>
      </c>
      <c r="AK90" s="33">
        <f>IF(AK$8&gt;='1_PANEL_CONTROL'!$D$46, '1_PANEL_CONTROL'!$C$46/12, 0)</f>
        <v>2333.3333333333335</v>
      </c>
      <c r="AL90" s="33">
        <f>IF(AL$8&gt;='1_PANEL_CONTROL'!$D$46, '1_PANEL_CONTROL'!$C$46/12, 0)</f>
        <v>2333.3333333333335</v>
      </c>
      <c r="AM90" s="33">
        <f>IF(AM$8&gt;='1_PANEL_CONTROL'!$D$46, '1_PANEL_CONTROL'!$C$46/12, 0)</f>
        <v>2333.3333333333335</v>
      </c>
      <c r="AN90" s="33">
        <f>IF(AN$8&gt;='1_PANEL_CONTROL'!$D$46, '1_PANEL_CONTROL'!$C$46/12, 0)</f>
        <v>2333.3333333333335</v>
      </c>
      <c r="AO90" s="33">
        <f>IF(AO$8&gt;='1_PANEL_CONTROL'!$D$46, '1_PANEL_CONTROL'!$C$46/12, 0)</f>
        <v>2333.3333333333335</v>
      </c>
      <c r="AP90" s="33">
        <f>IF(AP$8&gt;='1_PANEL_CONTROL'!$D$46, '1_PANEL_CONTROL'!$C$46/12, 0)</f>
        <v>2333.3333333333335</v>
      </c>
      <c r="AQ90" s="33">
        <f>IF(AQ$8&gt;='1_PANEL_CONTROL'!$D$46, '1_PANEL_CONTROL'!$C$46/12, 0)</f>
        <v>2333.3333333333335</v>
      </c>
      <c r="AR90" s="33">
        <f>IF(AR$8&gt;='1_PANEL_CONTROL'!$D$46, '1_PANEL_CONTROL'!$C$46/12, 0)</f>
        <v>2333.3333333333335</v>
      </c>
      <c r="AS90" s="33">
        <f>IF(AS$8&gt;='1_PANEL_CONTROL'!$D$46, '1_PANEL_CONTROL'!$C$46/12, 0)</f>
        <v>2333.3333333333335</v>
      </c>
      <c r="AT90" s="33">
        <f>IF(AT$8&gt;='1_PANEL_CONTROL'!$D$46, '1_PANEL_CONTROL'!$C$46/12, 0)</f>
        <v>2333.3333333333335</v>
      </c>
      <c r="AU90" s="33">
        <f>IF(AU$8&gt;='1_PANEL_CONTROL'!$D$46, '1_PANEL_CONTROL'!$C$46/12, 0)</f>
        <v>2333.3333333333335</v>
      </c>
      <c r="AV90" s="33">
        <f>IF(AV$8&gt;='1_PANEL_CONTROL'!$D$46, '1_PANEL_CONTROL'!$C$46/12, 0)</f>
        <v>2333.3333333333335</v>
      </c>
      <c r="AW90" s="33">
        <f>IF(AW$8&gt;='1_PANEL_CONTROL'!$D$46, '1_PANEL_CONTROL'!$C$46/12, 0)</f>
        <v>2333.3333333333335</v>
      </c>
      <c r="AX90" s="33">
        <f>IF(AX$8&gt;='1_PANEL_CONTROL'!$D$46, '1_PANEL_CONTROL'!$C$46/12, 0)</f>
        <v>2333.3333333333335</v>
      </c>
      <c r="AY90" s="33">
        <f>IF(AY$8&gt;='1_PANEL_CONTROL'!$D$46, '1_PANEL_CONTROL'!$C$46/12, 0)</f>
        <v>2333.3333333333335</v>
      </c>
      <c r="AZ90" s="33">
        <f>IF(AZ$8&gt;='1_PANEL_CONTROL'!$D$46, '1_PANEL_CONTROL'!$C$46/12, 0)</f>
        <v>2333.3333333333335</v>
      </c>
      <c r="BA90" s="33">
        <f>IF(BA$8&gt;='1_PANEL_CONTROL'!$D$46, '1_PANEL_CONTROL'!$C$46/12, 0)</f>
        <v>2333.3333333333335</v>
      </c>
      <c r="BB90" s="33">
        <f>IF(BB$8&gt;='1_PANEL_CONTROL'!$D$46, '1_PANEL_CONTROL'!$C$46/12, 0)</f>
        <v>2333.3333333333335</v>
      </c>
      <c r="BC90" s="33">
        <f>IF(BC$8&gt;='1_PANEL_CONTROL'!$D$46, '1_PANEL_CONTROL'!$C$46/12, 0)</f>
        <v>2333.3333333333335</v>
      </c>
      <c r="BD90" s="33">
        <f>IF(BD$8&gt;='1_PANEL_CONTROL'!$D$46, '1_PANEL_CONTROL'!$C$46/12, 0)</f>
        <v>2333.3333333333335</v>
      </c>
      <c r="BE90" s="33">
        <f>IF(BE$8&gt;='1_PANEL_CONTROL'!$D$46, '1_PANEL_CONTROL'!$C$46/12, 0)</f>
        <v>2333.3333333333335</v>
      </c>
      <c r="BF90" s="33">
        <f>IF(BF$8&gt;='1_PANEL_CONTROL'!$D$46, '1_PANEL_CONTROL'!$C$46/12, 0)</f>
        <v>2333.3333333333335</v>
      </c>
      <c r="BG90" s="33">
        <f>IF(BG$8&gt;='1_PANEL_CONTROL'!$D$46, '1_PANEL_CONTROL'!$C$46/12, 0)</f>
        <v>2333.3333333333335</v>
      </c>
      <c r="BH90" s="33">
        <f>IF(BH$8&gt;='1_PANEL_CONTROL'!$D$46, '1_PANEL_CONTROL'!$C$46/12, 0)</f>
        <v>2333.3333333333335</v>
      </c>
      <c r="BI90" s="33">
        <f>IF(BI$8&gt;='1_PANEL_CONTROL'!$D$46, '1_PANEL_CONTROL'!$C$46/12, 0)</f>
        <v>2333.3333333333335</v>
      </c>
      <c r="BJ90" s="33">
        <f>IF(BJ$8&gt;='1_PANEL_CONTROL'!$D$46, '1_PANEL_CONTROL'!$C$46/12, 0)</f>
        <v>2333.3333333333335</v>
      </c>
      <c r="BK90" s="33">
        <f>IF(BK$8&gt;='1_PANEL_CONTROL'!$D$46, '1_PANEL_CONTROL'!$C$46/12, 0)</f>
        <v>2333.3333333333335</v>
      </c>
      <c r="BL90" s="33">
        <f>IF(BL$8&gt;='1_PANEL_CONTROL'!$D$46, '1_PANEL_CONTROL'!$C$46/12, 0)</f>
        <v>2333.3333333333335</v>
      </c>
      <c r="BM90" s="33">
        <f>IF(BM$8&gt;='1_PANEL_CONTROL'!$D$46, '1_PANEL_CONTROL'!$C$46/12, 0)</f>
        <v>2333.3333333333335</v>
      </c>
      <c r="BN90" s="33">
        <f>IF(BN$8&gt;='1_PANEL_CONTROL'!$D$46, '1_PANEL_CONTROL'!$C$46/12, 0)</f>
        <v>2333.3333333333335</v>
      </c>
      <c r="BO90" s="33">
        <f>IF(BO$8&gt;='1_PANEL_CONTROL'!$D$46, '1_PANEL_CONTROL'!$C$46/12, 0)</f>
        <v>2333.3333333333335</v>
      </c>
      <c r="BP90" s="33">
        <f>IF(BP$8&gt;='1_PANEL_CONTROL'!$D$46, '1_PANEL_CONTROL'!$C$46/12, 0)</f>
        <v>2333.3333333333335</v>
      </c>
      <c r="BQ90" s="33">
        <f>IF(BQ$8&gt;='1_PANEL_CONTROL'!$D$46, '1_PANEL_CONTROL'!$C$46/12, 0)</f>
        <v>2333.3333333333335</v>
      </c>
      <c r="BR90" s="33">
        <f>IF(BR$8&gt;='1_PANEL_CONTROL'!$D$46, '1_PANEL_CONTROL'!$C$46/12, 0)</f>
        <v>2333.3333333333335</v>
      </c>
      <c r="BS90" s="33">
        <f>IF(BS$8&gt;='1_PANEL_CONTROL'!$D$46, '1_PANEL_CONTROL'!$C$46/12, 0)</f>
        <v>2333.3333333333335</v>
      </c>
      <c r="BT90" s="33">
        <f>IF(BT$8&gt;='1_PANEL_CONTROL'!$D$46, '1_PANEL_CONTROL'!$C$46/12, 0)</f>
        <v>2333.3333333333335</v>
      </c>
      <c r="BU90" s="33">
        <f>IF(BU$8&gt;='1_PANEL_CONTROL'!$D$46, '1_PANEL_CONTROL'!$C$46/12, 0)</f>
        <v>2333.3333333333335</v>
      </c>
      <c r="BV90" s="33">
        <f>IF(BV$8&gt;='1_PANEL_CONTROL'!$D$46, '1_PANEL_CONTROL'!$C$46/12, 0)</f>
        <v>2333.3333333333335</v>
      </c>
      <c r="BW90" s="33">
        <f>IF(BW$8&gt;='1_PANEL_CONTROL'!$D$46, '1_PANEL_CONTROL'!$C$46/12, 0)</f>
        <v>2333.3333333333335</v>
      </c>
      <c r="BX90" s="33">
        <f>IF(BX$8&gt;='1_PANEL_CONTROL'!$D$46, '1_PANEL_CONTROL'!$C$46/12, 0)</f>
        <v>2333.3333333333335</v>
      </c>
      <c r="BY90" s="33">
        <f>IF(BY$8&gt;='1_PANEL_CONTROL'!$D$46, '1_PANEL_CONTROL'!$C$46/12, 0)</f>
        <v>2333.3333333333335</v>
      </c>
      <c r="BZ90" s="33">
        <f>IF(BZ$8&gt;='1_PANEL_CONTROL'!$D$46, '1_PANEL_CONTROL'!$C$46/12, 0)</f>
        <v>2333.3333333333335</v>
      </c>
      <c r="CA90" s="33">
        <f>IF(CA$8&gt;='1_PANEL_CONTROL'!$D$46, '1_PANEL_CONTROL'!$C$46/12, 0)</f>
        <v>2333.3333333333335</v>
      </c>
      <c r="CB90" s="33">
        <f>IF(CB$8&gt;='1_PANEL_CONTROL'!$D$46, '1_PANEL_CONTROL'!$C$46/12, 0)</f>
        <v>2333.3333333333335</v>
      </c>
      <c r="CC90" s="33">
        <f>IF(CC$8&gt;='1_PANEL_CONTROL'!$D$46, '1_PANEL_CONTROL'!$C$46/12, 0)</f>
        <v>2333.3333333333335</v>
      </c>
      <c r="CD90" s="33">
        <f>IF(CD$8&gt;='1_PANEL_CONTROL'!$D$46, '1_PANEL_CONTROL'!$C$46/12, 0)</f>
        <v>2333.3333333333335</v>
      </c>
      <c r="CE90" s="33">
        <f>IF(CE$8&gt;='1_PANEL_CONTROL'!$D$46, '1_PANEL_CONTROL'!$C$46/12, 0)</f>
        <v>2333.3333333333335</v>
      </c>
      <c r="CF90" s="33">
        <f>IF(CF$8&gt;='1_PANEL_CONTROL'!$D$46, '1_PANEL_CONTROL'!$C$46/12, 0)</f>
        <v>2333.3333333333335</v>
      </c>
      <c r="CG90" s="33">
        <f>IF(CG$8&gt;='1_PANEL_CONTROL'!$D$46, '1_PANEL_CONTROL'!$C$46/12, 0)</f>
        <v>2333.3333333333335</v>
      </c>
      <c r="CH90" s="33">
        <f>IF(CH$8&gt;='1_PANEL_CONTROL'!$D$46, '1_PANEL_CONTROL'!$C$46/12, 0)</f>
        <v>2333.3333333333335</v>
      </c>
      <c r="CI90" s="33">
        <f>IF(CI$8&gt;='1_PANEL_CONTROL'!$D$46, '1_PANEL_CONTROL'!$C$46/12, 0)</f>
        <v>2333.3333333333335</v>
      </c>
    </row>
    <row r="91" spans="1:87" ht="16">
      <c r="A91" s="6" t="s">
        <v>586</v>
      </c>
      <c r="B91" s="30" t="s">
        <v>465</v>
      </c>
      <c r="C91" s="15"/>
      <c r="D91" s="33">
        <f>IF(D$8&gt;='1_PANEL_CONTROL'!$D$46, MIN(MAX(D90, $D$6), $D$5), 0)</f>
        <v>0</v>
      </c>
      <c r="E91" s="33">
        <f>IF(E$8&gt;='1_PANEL_CONTROL'!$D$46, MIN(MAX(E90, $D$6), $D$5), 0)</f>
        <v>0</v>
      </c>
      <c r="F91" s="33">
        <f>IF(F$8&gt;='1_PANEL_CONTROL'!$D$46, MIN(MAX(F90, $D$6), $D$5), 0)</f>
        <v>0</v>
      </c>
      <c r="G91" s="33">
        <f>IF(G$8&gt;='1_PANEL_CONTROL'!$D$46, MIN(MAX(G90, $D$6), $D$5), 0)</f>
        <v>0</v>
      </c>
      <c r="H91" s="33">
        <f>IF(H$8&gt;='1_PANEL_CONTROL'!$D$46, MIN(MAX(H90, $D$6), $D$5), 0)</f>
        <v>0</v>
      </c>
      <c r="I91" s="33">
        <f>IF(I$8&gt;='1_PANEL_CONTROL'!$D$46, MIN(MAX(I90, $D$6), $D$5), 0)</f>
        <v>0</v>
      </c>
      <c r="J91" s="33">
        <f>IF(J$8&gt;='1_PANEL_CONTROL'!$D$46, MIN(MAX(J90, $D$6), $D$5), 0)</f>
        <v>0</v>
      </c>
      <c r="K91" s="33">
        <f>IF(K$8&gt;='1_PANEL_CONTROL'!$D$46, MIN(MAX(K90, $D$6), $D$5), 0)</f>
        <v>0</v>
      </c>
      <c r="L91" s="33">
        <f>IF(L$8&gt;='1_PANEL_CONTROL'!$D$46, MIN(MAX(L90, $D$6), $D$5), 0)</f>
        <v>0</v>
      </c>
      <c r="M91" s="33">
        <f>IF(M$8&gt;='1_PANEL_CONTROL'!$D$46, MIN(MAX(M90, $D$6), $D$5), 0)</f>
        <v>0</v>
      </c>
      <c r="N91" s="33">
        <f>IF(N$8&gt;='1_PANEL_CONTROL'!$D$46, MIN(MAX(N90, $D$6), $D$5), 0)</f>
        <v>0</v>
      </c>
      <c r="O91" s="33">
        <f>IF(O$8&gt;='1_PANEL_CONTROL'!$D$46, MIN(MAX(O90, $D$6), $D$5), 0)</f>
        <v>0</v>
      </c>
      <c r="P91" s="33">
        <f>IF(P$8&gt;='1_PANEL_CONTROL'!$D$46, MIN(MAX(P90, $D$6), $D$5), 0)</f>
        <v>0</v>
      </c>
      <c r="Q91" s="33">
        <f>IF(Q$8&gt;='1_PANEL_CONTROL'!$D$46, MIN(MAX(Q90, $D$6), $D$5), 0)</f>
        <v>0</v>
      </c>
      <c r="R91" s="33">
        <f>IF(R$8&gt;='1_PANEL_CONTROL'!$D$46, MIN(MAX(R90, $D$6), $D$5), 0)</f>
        <v>0</v>
      </c>
      <c r="S91" s="33">
        <f>IF(S$8&gt;='1_PANEL_CONTROL'!$D$46, MIN(MAX(S90, $D$6), $D$5), 0)</f>
        <v>0</v>
      </c>
      <c r="T91" s="33">
        <f>IF(T$8&gt;='1_PANEL_CONTROL'!$D$46, MIN(MAX(T90, $D$6), $D$5), 0)</f>
        <v>0</v>
      </c>
      <c r="U91" s="33">
        <f>IF(U$8&gt;='1_PANEL_CONTROL'!$D$46, MIN(MAX(U90, $D$6), $D$5), 0)</f>
        <v>0</v>
      </c>
      <c r="V91" s="33">
        <f>IF(V$8&gt;='1_PANEL_CONTROL'!$D$46, MIN(MAX(V90, $D$6), $D$5), 0)</f>
        <v>2333.3333333333335</v>
      </c>
      <c r="W91" s="33">
        <f>IF(W$8&gt;='1_PANEL_CONTROL'!$D$46, MIN(MAX(W90, $D$6), $D$5), 0)</f>
        <v>2333.3333333333335</v>
      </c>
      <c r="X91" s="33">
        <f>IF(X$8&gt;='1_PANEL_CONTROL'!$D$46, MIN(MAX(X90, $D$6), $D$5), 0)</f>
        <v>2333.3333333333335</v>
      </c>
      <c r="Y91" s="33">
        <f>IF(Y$8&gt;='1_PANEL_CONTROL'!$D$46, MIN(MAX(Y90, $D$6), $D$5), 0)</f>
        <v>2333.3333333333335</v>
      </c>
      <c r="Z91" s="33">
        <f>IF(Z$8&gt;='1_PANEL_CONTROL'!$D$46, MIN(MAX(Z90, $D$6), $D$5), 0)</f>
        <v>2333.3333333333335</v>
      </c>
      <c r="AA91" s="33">
        <f>IF(AA$8&gt;='1_PANEL_CONTROL'!$D$46, MIN(MAX(AA90, $D$6), $D$5), 0)</f>
        <v>2333.3333333333335</v>
      </c>
      <c r="AB91" s="33">
        <f>IF(AB$8&gt;='1_PANEL_CONTROL'!$D$46, MIN(MAX(AB90, $D$6), $D$5), 0)</f>
        <v>2333.3333333333335</v>
      </c>
      <c r="AC91" s="33">
        <f>IF(AC$8&gt;='1_PANEL_CONTROL'!$D$46, MIN(MAX(AC90, $D$6), $D$5), 0)</f>
        <v>2333.3333333333335</v>
      </c>
      <c r="AD91" s="33">
        <f>IF(AD$8&gt;='1_PANEL_CONTROL'!$D$46, MIN(MAX(AD90, $D$6), $D$5), 0)</f>
        <v>2333.3333333333335</v>
      </c>
      <c r="AE91" s="33">
        <f>IF(AE$8&gt;='1_PANEL_CONTROL'!$D$46, MIN(MAX(AE90, $D$6), $D$5), 0)</f>
        <v>2333.3333333333335</v>
      </c>
      <c r="AF91" s="33">
        <f>IF(AF$8&gt;='1_PANEL_CONTROL'!$D$46, MIN(MAX(AF90, $D$6), $D$5), 0)</f>
        <v>2333.3333333333335</v>
      </c>
      <c r="AG91" s="33">
        <f>IF(AG$8&gt;='1_PANEL_CONTROL'!$D$46, MIN(MAX(AG90, $D$6), $D$5), 0)</f>
        <v>2333.3333333333335</v>
      </c>
      <c r="AH91" s="33">
        <f>IF(AH$8&gt;='1_PANEL_CONTROL'!$D$46, MIN(MAX(AH90, $D$6), $D$5), 0)</f>
        <v>2333.3333333333335</v>
      </c>
      <c r="AI91" s="33">
        <f>IF(AI$8&gt;='1_PANEL_CONTROL'!$D$46, MIN(MAX(AI90, $D$6), $D$5), 0)</f>
        <v>2333.3333333333335</v>
      </c>
      <c r="AJ91" s="33">
        <f>IF(AJ$8&gt;='1_PANEL_CONTROL'!$D$46, MIN(MAX(AJ90, $D$6), $D$5), 0)</f>
        <v>2333.3333333333335</v>
      </c>
      <c r="AK91" s="33">
        <f>IF(AK$8&gt;='1_PANEL_CONTROL'!$D$46, MIN(MAX(AK90, $D$6), $D$5), 0)</f>
        <v>2333.3333333333335</v>
      </c>
      <c r="AL91" s="33">
        <f>IF(AL$8&gt;='1_PANEL_CONTROL'!$D$46, MIN(MAX(AL90, $D$6), $D$5), 0)</f>
        <v>2333.3333333333335</v>
      </c>
      <c r="AM91" s="33">
        <f>IF(AM$8&gt;='1_PANEL_CONTROL'!$D$46, MIN(MAX(AM90, $D$6), $D$5), 0)</f>
        <v>2333.3333333333335</v>
      </c>
      <c r="AN91" s="33">
        <f>IF(AN$8&gt;='1_PANEL_CONTROL'!$D$46, MIN(MAX(AN90, $D$6), $D$5), 0)</f>
        <v>2333.3333333333335</v>
      </c>
      <c r="AO91" s="33">
        <f>IF(AO$8&gt;='1_PANEL_CONTROL'!$D$46, MIN(MAX(AO90, $D$6), $D$5), 0)</f>
        <v>2333.3333333333335</v>
      </c>
      <c r="AP91" s="33">
        <f>IF(AP$8&gt;='1_PANEL_CONTROL'!$D$46, MIN(MAX(AP90, $D$6), $D$5), 0)</f>
        <v>2333.3333333333335</v>
      </c>
      <c r="AQ91" s="33">
        <f>IF(AQ$8&gt;='1_PANEL_CONTROL'!$D$46, MIN(MAX(AQ90, $D$6), $D$5), 0)</f>
        <v>2333.3333333333335</v>
      </c>
      <c r="AR91" s="33">
        <f>IF(AR$8&gt;='1_PANEL_CONTROL'!$D$46, MIN(MAX(AR90, $D$6), $D$5), 0)</f>
        <v>2333.3333333333335</v>
      </c>
      <c r="AS91" s="33">
        <f>IF(AS$8&gt;='1_PANEL_CONTROL'!$D$46, MIN(MAX(AS90, $D$6), $D$5), 0)</f>
        <v>2333.3333333333335</v>
      </c>
      <c r="AT91" s="33">
        <f>IF(AT$8&gt;='1_PANEL_CONTROL'!$D$46, MIN(MAX(AT90, $D$6), $D$5), 0)</f>
        <v>2333.3333333333335</v>
      </c>
      <c r="AU91" s="33">
        <f>IF(AU$8&gt;='1_PANEL_CONTROL'!$D$46, MIN(MAX(AU90, $D$6), $D$5), 0)</f>
        <v>2333.3333333333335</v>
      </c>
      <c r="AV91" s="33">
        <f>IF(AV$8&gt;='1_PANEL_CONTROL'!$D$46, MIN(MAX(AV90, $D$6), $D$5), 0)</f>
        <v>2333.3333333333335</v>
      </c>
      <c r="AW91" s="33">
        <f>IF(AW$8&gt;='1_PANEL_CONTROL'!$D$46, MIN(MAX(AW90, $D$6), $D$5), 0)</f>
        <v>2333.3333333333335</v>
      </c>
      <c r="AX91" s="33">
        <f>IF(AX$8&gt;='1_PANEL_CONTROL'!$D$46, MIN(MAX(AX90, $D$6), $D$5), 0)</f>
        <v>2333.3333333333335</v>
      </c>
      <c r="AY91" s="33">
        <f>IF(AY$8&gt;='1_PANEL_CONTROL'!$D$46, MIN(MAX(AY90, $D$6), $D$5), 0)</f>
        <v>2333.3333333333335</v>
      </c>
      <c r="AZ91" s="33">
        <f>IF(AZ$8&gt;='1_PANEL_CONTROL'!$D$46, MIN(MAX(AZ90, $D$6), $D$5), 0)</f>
        <v>2333.3333333333335</v>
      </c>
      <c r="BA91" s="33">
        <f>IF(BA$8&gt;='1_PANEL_CONTROL'!$D$46, MIN(MAX(BA90, $D$6), $D$5), 0)</f>
        <v>2333.3333333333335</v>
      </c>
      <c r="BB91" s="33">
        <f>IF(BB$8&gt;='1_PANEL_CONTROL'!$D$46, MIN(MAX(BB90, $D$6), $D$5), 0)</f>
        <v>2333.3333333333335</v>
      </c>
      <c r="BC91" s="33">
        <f>IF(BC$8&gt;='1_PANEL_CONTROL'!$D$46, MIN(MAX(BC90, $D$6), $D$5), 0)</f>
        <v>2333.3333333333335</v>
      </c>
      <c r="BD91" s="33">
        <f>IF(BD$8&gt;='1_PANEL_CONTROL'!$D$46, MIN(MAX(BD90, $D$6), $D$5), 0)</f>
        <v>2333.3333333333335</v>
      </c>
      <c r="BE91" s="33">
        <f>IF(BE$8&gt;='1_PANEL_CONTROL'!$D$46, MIN(MAX(BE90, $D$6), $D$5), 0)</f>
        <v>2333.3333333333335</v>
      </c>
      <c r="BF91" s="33">
        <f>IF(BF$8&gt;='1_PANEL_CONTROL'!$D$46, MIN(MAX(BF90, $D$6), $D$5), 0)</f>
        <v>2333.3333333333335</v>
      </c>
      <c r="BG91" s="33">
        <f>IF(BG$8&gt;='1_PANEL_CONTROL'!$D$46, MIN(MAX(BG90, $D$6), $D$5), 0)</f>
        <v>2333.3333333333335</v>
      </c>
      <c r="BH91" s="33">
        <f>IF(BH$8&gt;='1_PANEL_CONTROL'!$D$46, MIN(MAX(BH90, $D$6), $D$5), 0)</f>
        <v>2333.3333333333335</v>
      </c>
      <c r="BI91" s="33">
        <f>IF(BI$8&gt;='1_PANEL_CONTROL'!$D$46, MIN(MAX(BI90, $D$6), $D$5), 0)</f>
        <v>2333.3333333333335</v>
      </c>
      <c r="BJ91" s="33">
        <f>IF(BJ$8&gt;='1_PANEL_CONTROL'!$D$46, MIN(MAX(BJ90, $D$6), $D$5), 0)</f>
        <v>2333.3333333333335</v>
      </c>
      <c r="BK91" s="33">
        <f>IF(BK$8&gt;='1_PANEL_CONTROL'!$D$46, MIN(MAX(BK90, $D$6), $D$5), 0)</f>
        <v>2333.3333333333335</v>
      </c>
      <c r="BL91" s="33">
        <f>IF(BL$8&gt;='1_PANEL_CONTROL'!$D$46, MIN(MAX(BL90, $D$6), $D$5), 0)</f>
        <v>2333.3333333333335</v>
      </c>
      <c r="BM91" s="33">
        <f>IF(BM$8&gt;='1_PANEL_CONTROL'!$D$46, MIN(MAX(BM90, $D$6), $D$5), 0)</f>
        <v>2333.3333333333335</v>
      </c>
      <c r="BN91" s="33">
        <f>IF(BN$8&gt;='1_PANEL_CONTROL'!$D$46, MIN(MAX(BN90, $D$6), $D$5), 0)</f>
        <v>2333.3333333333335</v>
      </c>
      <c r="BO91" s="33">
        <f>IF(BO$8&gt;='1_PANEL_CONTROL'!$D$46, MIN(MAX(BO90, $D$6), $D$5), 0)</f>
        <v>2333.3333333333335</v>
      </c>
      <c r="BP91" s="33">
        <f>IF(BP$8&gt;='1_PANEL_CONTROL'!$D$46, MIN(MAX(BP90, $D$6), $D$5), 0)</f>
        <v>2333.3333333333335</v>
      </c>
      <c r="BQ91" s="33">
        <f>IF(BQ$8&gt;='1_PANEL_CONTROL'!$D$46, MIN(MAX(BQ90, $D$6), $D$5), 0)</f>
        <v>2333.3333333333335</v>
      </c>
      <c r="BR91" s="33">
        <f>IF(BR$8&gt;='1_PANEL_CONTROL'!$D$46, MIN(MAX(BR90, $D$6), $D$5), 0)</f>
        <v>2333.3333333333335</v>
      </c>
      <c r="BS91" s="33">
        <f>IF(BS$8&gt;='1_PANEL_CONTROL'!$D$46, MIN(MAX(BS90, $D$6), $D$5), 0)</f>
        <v>2333.3333333333335</v>
      </c>
      <c r="BT91" s="33">
        <f>IF(BT$8&gt;='1_PANEL_CONTROL'!$D$46, MIN(MAX(BT90, $D$6), $D$5), 0)</f>
        <v>2333.3333333333335</v>
      </c>
      <c r="BU91" s="33">
        <f>IF(BU$8&gt;='1_PANEL_CONTROL'!$D$46, MIN(MAX(BU90, $D$6), $D$5), 0)</f>
        <v>2333.3333333333335</v>
      </c>
      <c r="BV91" s="33">
        <f>IF(BV$8&gt;='1_PANEL_CONTROL'!$D$46, MIN(MAX(BV90, $D$6), $D$5), 0)</f>
        <v>2333.3333333333335</v>
      </c>
      <c r="BW91" s="33">
        <f>IF(BW$8&gt;='1_PANEL_CONTROL'!$D$46, MIN(MAX(BW90, $D$6), $D$5), 0)</f>
        <v>2333.3333333333335</v>
      </c>
      <c r="BX91" s="33">
        <f>IF(BX$8&gt;='1_PANEL_CONTROL'!$D$46, MIN(MAX(BX90, $D$6), $D$5), 0)</f>
        <v>2333.3333333333335</v>
      </c>
      <c r="BY91" s="33">
        <f>IF(BY$8&gt;='1_PANEL_CONTROL'!$D$46, MIN(MAX(BY90, $D$6), $D$5), 0)</f>
        <v>2333.3333333333335</v>
      </c>
      <c r="BZ91" s="33">
        <f>IF(BZ$8&gt;='1_PANEL_CONTROL'!$D$46, MIN(MAX(BZ90, $D$6), $D$5), 0)</f>
        <v>2333.3333333333335</v>
      </c>
      <c r="CA91" s="33">
        <f>IF(CA$8&gt;='1_PANEL_CONTROL'!$D$46, MIN(MAX(CA90, $D$6), $D$5), 0)</f>
        <v>2333.3333333333335</v>
      </c>
      <c r="CB91" s="33">
        <f>IF(CB$8&gt;='1_PANEL_CONTROL'!$D$46, MIN(MAX(CB90, $D$6), $D$5), 0)</f>
        <v>2333.3333333333335</v>
      </c>
      <c r="CC91" s="33">
        <f>IF(CC$8&gt;='1_PANEL_CONTROL'!$D$46, MIN(MAX(CC90, $D$6), $D$5), 0)</f>
        <v>2333.3333333333335</v>
      </c>
      <c r="CD91" s="33">
        <f>IF(CD$8&gt;='1_PANEL_CONTROL'!$D$46, MIN(MAX(CD90, $D$6), $D$5), 0)</f>
        <v>2333.3333333333335</v>
      </c>
      <c r="CE91" s="33">
        <f>IF(CE$8&gt;='1_PANEL_CONTROL'!$D$46, MIN(MAX(CE90, $D$6), $D$5), 0)</f>
        <v>2333.3333333333335</v>
      </c>
      <c r="CF91" s="33">
        <f>IF(CF$8&gt;='1_PANEL_CONTROL'!$D$46, MIN(MAX(CF90, $D$6), $D$5), 0)</f>
        <v>2333.3333333333335</v>
      </c>
      <c r="CG91" s="33">
        <f>IF(CG$8&gt;='1_PANEL_CONTROL'!$D$46, MIN(MAX(CG90, $D$6), $D$5), 0)</f>
        <v>2333.3333333333335</v>
      </c>
      <c r="CH91" s="33">
        <f>IF(CH$8&gt;='1_PANEL_CONTROL'!$D$46, MIN(MAX(CH90, $D$6), $D$5), 0)</f>
        <v>2333.3333333333335</v>
      </c>
      <c r="CI91" s="33">
        <f>IF(CI$8&gt;='1_PANEL_CONTROL'!$D$46, MIN(MAX(CI90, $D$6), $D$5), 0)</f>
        <v>2333.3333333333335</v>
      </c>
    </row>
    <row r="92" spans="1:87" ht="16">
      <c r="A92" s="6" t="s">
        <v>587</v>
      </c>
      <c r="B92" s="30" t="s">
        <v>465</v>
      </c>
      <c r="C92" s="15"/>
      <c r="D92" s="33">
        <f t="shared" ref="D92:AI92" si="84">D91*$B$5</f>
        <v>0</v>
      </c>
      <c r="E92" s="33">
        <f t="shared" si="84"/>
        <v>0</v>
      </c>
      <c r="F92" s="33">
        <f t="shared" si="84"/>
        <v>0</v>
      </c>
      <c r="G92" s="33">
        <f t="shared" si="84"/>
        <v>0</v>
      </c>
      <c r="H92" s="33">
        <f t="shared" si="84"/>
        <v>0</v>
      </c>
      <c r="I92" s="33">
        <f t="shared" si="84"/>
        <v>0</v>
      </c>
      <c r="J92" s="33">
        <f t="shared" si="84"/>
        <v>0</v>
      </c>
      <c r="K92" s="33">
        <f t="shared" si="84"/>
        <v>0</v>
      </c>
      <c r="L92" s="33">
        <f t="shared" si="84"/>
        <v>0</v>
      </c>
      <c r="M92" s="33">
        <f t="shared" si="84"/>
        <v>0</v>
      </c>
      <c r="N92" s="33">
        <f t="shared" si="84"/>
        <v>0</v>
      </c>
      <c r="O92" s="33">
        <f t="shared" si="84"/>
        <v>0</v>
      </c>
      <c r="P92" s="33">
        <f t="shared" si="84"/>
        <v>0</v>
      </c>
      <c r="Q92" s="33">
        <f t="shared" si="84"/>
        <v>0</v>
      </c>
      <c r="R92" s="33">
        <f t="shared" si="84"/>
        <v>0</v>
      </c>
      <c r="S92" s="33">
        <f t="shared" si="84"/>
        <v>0</v>
      </c>
      <c r="T92" s="33">
        <f t="shared" si="84"/>
        <v>0</v>
      </c>
      <c r="U92" s="33">
        <f t="shared" si="84"/>
        <v>0</v>
      </c>
      <c r="V92" s="33">
        <f t="shared" si="84"/>
        <v>749.00000000000011</v>
      </c>
      <c r="W92" s="33">
        <f t="shared" si="84"/>
        <v>749.00000000000011</v>
      </c>
      <c r="X92" s="33">
        <f t="shared" si="84"/>
        <v>749.00000000000011</v>
      </c>
      <c r="Y92" s="33">
        <f t="shared" si="84"/>
        <v>749.00000000000011</v>
      </c>
      <c r="Z92" s="33">
        <f t="shared" si="84"/>
        <v>749.00000000000011</v>
      </c>
      <c r="AA92" s="33">
        <f t="shared" si="84"/>
        <v>749.00000000000011</v>
      </c>
      <c r="AB92" s="33">
        <f t="shared" si="84"/>
        <v>749.00000000000011</v>
      </c>
      <c r="AC92" s="33">
        <f t="shared" si="84"/>
        <v>749.00000000000011</v>
      </c>
      <c r="AD92" s="33">
        <f t="shared" si="84"/>
        <v>749.00000000000011</v>
      </c>
      <c r="AE92" s="33">
        <f t="shared" si="84"/>
        <v>749.00000000000011</v>
      </c>
      <c r="AF92" s="33">
        <f t="shared" si="84"/>
        <v>749.00000000000011</v>
      </c>
      <c r="AG92" s="33">
        <f t="shared" si="84"/>
        <v>749.00000000000011</v>
      </c>
      <c r="AH92" s="33">
        <f t="shared" si="84"/>
        <v>749.00000000000011</v>
      </c>
      <c r="AI92" s="33">
        <f t="shared" si="84"/>
        <v>749.00000000000011</v>
      </c>
      <c r="AJ92" s="33">
        <f t="shared" ref="AJ92:BO92" si="85">AJ91*$B$5</f>
        <v>749.00000000000011</v>
      </c>
      <c r="AK92" s="33">
        <f t="shared" si="85"/>
        <v>749.00000000000011</v>
      </c>
      <c r="AL92" s="33">
        <f t="shared" si="85"/>
        <v>749.00000000000011</v>
      </c>
      <c r="AM92" s="33">
        <f t="shared" si="85"/>
        <v>749.00000000000011</v>
      </c>
      <c r="AN92" s="33">
        <f t="shared" si="85"/>
        <v>749.00000000000011</v>
      </c>
      <c r="AO92" s="33">
        <f t="shared" si="85"/>
        <v>749.00000000000011</v>
      </c>
      <c r="AP92" s="33">
        <f t="shared" si="85"/>
        <v>749.00000000000011</v>
      </c>
      <c r="AQ92" s="33">
        <f t="shared" si="85"/>
        <v>749.00000000000011</v>
      </c>
      <c r="AR92" s="33">
        <f t="shared" si="85"/>
        <v>749.00000000000011</v>
      </c>
      <c r="AS92" s="33">
        <f t="shared" si="85"/>
        <v>749.00000000000011</v>
      </c>
      <c r="AT92" s="33">
        <f t="shared" si="85"/>
        <v>749.00000000000011</v>
      </c>
      <c r="AU92" s="33">
        <f t="shared" si="85"/>
        <v>749.00000000000011</v>
      </c>
      <c r="AV92" s="33">
        <f t="shared" si="85"/>
        <v>749.00000000000011</v>
      </c>
      <c r="AW92" s="33">
        <f t="shared" si="85"/>
        <v>749.00000000000011</v>
      </c>
      <c r="AX92" s="33">
        <f t="shared" si="85"/>
        <v>749.00000000000011</v>
      </c>
      <c r="AY92" s="33">
        <f t="shared" si="85"/>
        <v>749.00000000000011</v>
      </c>
      <c r="AZ92" s="33">
        <f t="shared" si="85"/>
        <v>749.00000000000011</v>
      </c>
      <c r="BA92" s="33">
        <f t="shared" si="85"/>
        <v>749.00000000000011</v>
      </c>
      <c r="BB92" s="33">
        <f t="shared" si="85"/>
        <v>749.00000000000011</v>
      </c>
      <c r="BC92" s="33">
        <f t="shared" si="85"/>
        <v>749.00000000000011</v>
      </c>
      <c r="BD92" s="33">
        <f t="shared" si="85"/>
        <v>749.00000000000011</v>
      </c>
      <c r="BE92" s="33">
        <f t="shared" si="85"/>
        <v>749.00000000000011</v>
      </c>
      <c r="BF92" s="33">
        <f t="shared" si="85"/>
        <v>749.00000000000011</v>
      </c>
      <c r="BG92" s="33">
        <f t="shared" si="85"/>
        <v>749.00000000000011</v>
      </c>
      <c r="BH92" s="33">
        <f t="shared" si="85"/>
        <v>749.00000000000011</v>
      </c>
      <c r="BI92" s="33">
        <f t="shared" si="85"/>
        <v>749.00000000000011</v>
      </c>
      <c r="BJ92" s="33">
        <f t="shared" si="85"/>
        <v>749.00000000000011</v>
      </c>
      <c r="BK92" s="33">
        <f t="shared" si="85"/>
        <v>749.00000000000011</v>
      </c>
      <c r="BL92" s="33">
        <f t="shared" si="85"/>
        <v>749.00000000000011</v>
      </c>
      <c r="BM92" s="33">
        <f t="shared" si="85"/>
        <v>749.00000000000011</v>
      </c>
      <c r="BN92" s="33">
        <f t="shared" si="85"/>
        <v>749.00000000000011</v>
      </c>
      <c r="BO92" s="33">
        <f t="shared" si="85"/>
        <v>749.00000000000011</v>
      </c>
      <c r="BP92" s="33">
        <f t="shared" ref="BP92:CU92" si="86">BP91*$B$5</f>
        <v>749.00000000000011</v>
      </c>
      <c r="BQ92" s="33">
        <f t="shared" si="86"/>
        <v>749.00000000000011</v>
      </c>
      <c r="BR92" s="33">
        <f t="shared" si="86"/>
        <v>749.00000000000011</v>
      </c>
      <c r="BS92" s="33">
        <f t="shared" si="86"/>
        <v>749.00000000000011</v>
      </c>
      <c r="BT92" s="33">
        <f t="shared" si="86"/>
        <v>749.00000000000011</v>
      </c>
      <c r="BU92" s="33">
        <f t="shared" si="86"/>
        <v>749.00000000000011</v>
      </c>
      <c r="BV92" s="33">
        <f t="shared" si="86"/>
        <v>749.00000000000011</v>
      </c>
      <c r="BW92" s="33">
        <f t="shared" si="86"/>
        <v>749.00000000000011</v>
      </c>
      <c r="BX92" s="33">
        <f t="shared" si="86"/>
        <v>749.00000000000011</v>
      </c>
      <c r="BY92" s="33">
        <f t="shared" si="86"/>
        <v>749.00000000000011</v>
      </c>
      <c r="BZ92" s="33">
        <f t="shared" si="86"/>
        <v>749.00000000000011</v>
      </c>
      <c r="CA92" s="33">
        <f t="shared" si="86"/>
        <v>749.00000000000011</v>
      </c>
      <c r="CB92" s="33">
        <f t="shared" si="86"/>
        <v>749.00000000000011</v>
      </c>
      <c r="CC92" s="33">
        <f t="shared" si="86"/>
        <v>749.00000000000011</v>
      </c>
      <c r="CD92" s="33">
        <f t="shared" si="86"/>
        <v>749.00000000000011</v>
      </c>
      <c r="CE92" s="33">
        <f t="shared" si="86"/>
        <v>749.00000000000011</v>
      </c>
      <c r="CF92" s="33">
        <f t="shared" si="86"/>
        <v>749.00000000000011</v>
      </c>
      <c r="CG92" s="33">
        <f t="shared" si="86"/>
        <v>749.00000000000011</v>
      </c>
      <c r="CH92" s="33">
        <f t="shared" si="86"/>
        <v>749.00000000000011</v>
      </c>
      <c r="CI92" s="33">
        <f t="shared" si="86"/>
        <v>749.00000000000011</v>
      </c>
    </row>
    <row r="93" spans="1:87" ht="16">
      <c r="A93" s="6" t="s">
        <v>588</v>
      </c>
      <c r="B93" s="30" t="s">
        <v>465</v>
      </c>
      <c r="C93" s="15"/>
      <c r="D93" s="33">
        <f t="shared" ref="D93:AI93" si="87">D91*$B$6</f>
        <v>0</v>
      </c>
      <c r="E93" s="33">
        <f t="shared" si="87"/>
        <v>0</v>
      </c>
      <c r="F93" s="33">
        <f t="shared" si="87"/>
        <v>0</v>
      </c>
      <c r="G93" s="33">
        <f t="shared" si="87"/>
        <v>0</v>
      </c>
      <c r="H93" s="33">
        <f t="shared" si="87"/>
        <v>0</v>
      </c>
      <c r="I93" s="33">
        <f t="shared" si="87"/>
        <v>0</v>
      </c>
      <c r="J93" s="33">
        <f t="shared" si="87"/>
        <v>0</v>
      </c>
      <c r="K93" s="33">
        <f t="shared" si="87"/>
        <v>0</v>
      </c>
      <c r="L93" s="33">
        <f t="shared" si="87"/>
        <v>0</v>
      </c>
      <c r="M93" s="33">
        <f t="shared" si="87"/>
        <v>0</v>
      </c>
      <c r="N93" s="33">
        <f t="shared" si="87"/>
        <v>0</v>
      </c>
      <c r="O93" s="33">
        <f t="shared" si="87"/>
        <v>0</v>
      </c>
      <c r="P93" s="33">
        <f t="shared" si="87"/>
        <v>0</v>
      </c>
      <c r="Q93" s="33">
        <f t="shared" si="87"/>
        <v>0</v>
      </c>
      <c r="R93" s="33">
        <f t="shared" si="87"/>
        <v>0</v>
      </c>
      <c r="S93" s="33">
        <f t="shared" si="87"/>
        <v>0</v>
      </c>
      <c r="T93" s="33">
        <f t="shared" si="87"/>
        <v>0</v>
      </c>
      <c r="U93" s="33">
        <f t="shared" si="87"/>
        <v>0</v>
      </c>
      <c r="V93" s="33">
        <f t="shared" si="87"/>
        <v>150.96666666666667</v>
      </c>
      <c r="W93" s="33">
        <f t="shared" si="87"/>
        <v>150.96666666666667</v>
      </c>
      <c r="X93" s="33">
        <f t="shared" si="87"/>
        <v>150.96666666666667</v>
      </c>
      <c r="Y93" s="33">
        <f t="shared" si="87"/>
        <v>150.96666666666667</v>
      </c>
      <c r="Z93" s="33">
        <f t="shared" si="87"/>
        <v>150.96666666666667</v>
      </c>
      <c r="AA93" s="33">
        <f t="shared" si="87"/>
        <v>150.96666666666667</v>
      </c>
      <c r="AB93" s="33">
        <f t="shared" si="87"/>
        <v>150.96666666666667</v>
      </c>
      <c r="AC93" s="33">
        <f t="shared" si="87"/>
        <v>150.96666666666667</v>
      </c>
      <c r="AD93" s="33">
        <f t="shared" si="87"/>
        <v>150.96666666666667</v>
      </c>
      <c r="AE93" s="33">
        <f t="shared" si="87"/>
        <v>150.96666666666667</v>
      </c>
      <c r="AF93" s="33">
        <f t="shared" si="87"/>
        <v>150.96666666666667</v>
      </c>
      <c r="AG93" s="33">
        <f t="shared" si="87"/>
        <v>150.96666666666667</v>
      </c>
      <c r="AH93" s="33">
        <f t="shared" si="87"/>
        <v>150.96666666666667</v>
      </c>
      <c r="AI93" s="33">
        <f t="shared" si="87"/>
        <v>150.96666666666667</v>
      </c>
      <c r="AJ93" s="33">
        <f t="shared" ref="AJ93:BO93" si="88">AJ91*$B$6</f>
        <v>150.96666666666667</v>
      </c>
      <c r="AK93" s="33">
        <f t="shared" si="88"/>
        <v>150.96666666666667</v>
      </c>
      <c r="AL93" s="33">
        <f t="shared" si="88"/>
        <v>150.96666666666667</v>
      </c>
      <c r="AM93" s="33">
        <f t="shared" si="88"/>
        <v>150.96666666666667</v>
      </c>
      <c r="AN93" s="33">
        <f t="shared" si="88"/>
        <v>150.96666666666667</v>
      </c>
      <c r="AO93" s="33">
        <f t="shared" si="88"/>
        <v>150.96666666666667</v>
      </c>
      <c r="AP93" s="33">
        <f t="shared" si="88"/>
        <v>150.96666666666667</v>
      </c>
      <c r="AQ93" s="33">
        <f t="shared" si="88"/>
        <v>150.96666666666667</v>
      </c>
      <c r="AR93" s="33">
        <f t="shared" si="88"/>
        <v>150.96666666666667</v>
      </c>
      <c r="AS93" s="33">
        <f t="shared" si="88"/>
        <v>150.96666666666667</v>
      </c>
      <c r="AT93" s="33">
        <f t="shared" si="88"/>
        <v>150.96666666666667</v>
      </c>
      <c r="AU93" s="33">
        <f t="shared" si="88"/>
        <v>150.96666666666667</v>
      </c>
      <c r="AV93" s="33">
        <f t="shared" si="88"/>
        <v>150.96666666666667</v>
      </c>
      <c r="AW93" s="33">
        <f t="shared" si="88"/>
        <v>150.96666666666667</v>
      </c>
      <c r="AX93" s="33">
        <f t="shared" si="88"/>
        <v>150.96666666666667</v>
      </c>
      <c r="AY93" s="33">
        <f t="shared" si="88"/>
        <v>150.96666666666667</v>
      </c>
      <c r="AZ93" s="33">
        <f t="shared" si="88"/>
        <v>150.96666666666667</v>
      </c>
      <c r="BA93" s="33">
        <f t="shared" si="88"/>
        <v>150.96666666666667</v>
      </c>
      <c r="BB93" s="33">
        <f t="shared" si="88"/>
        <v>150.96666666666667</v>
      </c>
      <c r="BC93" s="33">
        <f t="shared" si="88"/>
        <v>150.96666666666667</v>
      </c>
      <c r="BD93" s="33">
        <f t="shared" si="88"/>
        <v>150.96666666666667</v>
      </c>
      <c r="BE93" s="33">
        <f t="shared" si="88"/>
        <v>150.96666666666667</v>
      </c>
      <c r="BF93" s="33">
        <f t="shared" si="88"/>
        <v>150.96666666666667</v>
      </c>
      <c r="BG93" s="33">
        <f t="shared" si="88"/>
        <v>150.96666666666667</v>
      </c>
      <c r="BH93" s="33">
        <f t="shared" si="88"/>
        <v>150.96666666666667</v>
      </c>
      <c r="BI93" s="33">
        <f t="shared" si="88"/>
        <v>150.96666666666667</v>
      </c>
      <c r="BJ93" s="33">
        <f t="shared" si="88"/>
        <v>150.96666666666667</v>
      </c>
      <c r="BK93" s="33">
        <f t="shared" si="88"/>
        <v>150.96666666666667</v>
      </c>
      <c r="BL93" s="33">
        <f t="shared" si="88"/>
        <v>150.96666666666667</v>
      </c>
      <c r="BM93" s="33">
        <f t="shared" si="88"/>
        <v>150.96666666666667</v>
      </c>
      <c r="BN93" s="33">
        <f t="shared" si="88"/>
        <v>150.96666666666667</v>
      </c>
      <c r="BO93" s="33">
        <f t="shared" si="88"/>
        <v>150.96666666666667</v>
      </c>
      <c r="BP93" s="33">
        <f t="shared" ref="BP93:CI93" si="89">BP91*$B$6</f>
        <v>150.96666666666667</v>
      </c>
      <c r="BQ93" s="33">
        <f t="shared" si="89"/>
        <v>150.96666666666667</v>
      </c>
      <c r="BR93" s="33">
        <f t="shared" si="89"/>
        <v>150.96666666666667</v>
      </c>
      <c r="BS93" s="33">
        <f t="shared" si="89"/>
        <v>150.96666666666667</v>
      </c>
      <c r="BT93" s="33">
        <f t="shared" si="89"/>
        <v>150.96666666666667</v>
      </c>
      <c r="BU93" s="33">
        <f t="shared" si="89"/>
        <v>150.96666666666667</v>
      </c>
      <c r="BV93" s="33">
        <f t="shared" si="89"/>
        <v>150.96666666666667</v>
      </c>
      <c r="BW93" s="33">
        <f t="shared" si="89"/>
        <v>150.96666666666667</v>
      </c>
      <c r="BX93" s="33">
        <f t="shared" si="89"/>
        <v>150.96666666666667</v>
      </c>
      <c r="BY93" s="33">
        <f t="shared" si="89"/>
        <v>150.96666666666667</v>
      </c>
      <c r="BZ93" s="33">
        <f t="shared" si="89"/>
        <v>150.96666666666667</v>
      </c>
      <c r="CA93" s="33">
        <f t="shared" si="89"/>
        <v>150.96666666666667</v>
      </c>
      <c r="CB93" s="33">
        <f t="shared" si="89"/>
        <v>150.96666666666667</v>
      </c>
      <c r="CC93" s="33">
        <f t="shared" si="89"/>
        <v>150.96666666666667</v>
      </c>
      <c r="CD93" s="33">
        <f t="shared" si="89"/>
        <v>150.96666666666667</v>
      </c>
      <c r="CE93" s="33">
        <f t="shared" si="89"/>
        <v>150.96666666666667</v>
      </c>
      <c r="CF93" s="33">
        <f t="shared" si="89"/>
        <v>150.96666666666667</v>
      </c>
      <c r="CG93" s="33">
        <f t="shared" si="89"/>
        <v>150.96666666666667</v>
      </c>
      <c r="CH93" s="33">
        <f t="shared" si="89"/>
        <v>150.96666666666667</v>
      </c>
      <c r="CI93" s="33">
        <f t="shared" si="89"/>
        <v>150.96666666666667</v>
      </c>
    </row>
    <row r="94" spans="1:87" ht="16">
      <c r="A94" s="6" t="s">
        <v>589</v>
      </c>
      <c r="B94" s="30" t="s">
        <v>465</v>
      </c>
      <c r="C94" s="15"/>
      <c r="D94" s="33">
        <f>D89*'1_PANEL_CONTROL'!$E$46</f>
        <v>0</v>
      </c>
      <c r="E94" s="33">
        <f>E89*'1_PANEL_CONTROL'!$E$46</f>
        <v>0</v>
      </c>
      <c r="F94" s="33">
        <f>F89*'1_PANEL_CONTROL'!$E$46</f>
        <v>0</v>
      </c>
      <c r="G94" s="33">
        <f>G89*'1_PANEL_CONTROL'!$E$46</f>
        <v>0</v>
      </c>
      <c r="H94" s="33">
        <f>H89*'1_PANEL_CONTROL'!$E$46</f>
        <v>0</v>
      </c>
      <c r="I94" s="33">
        <f>I89*'1_PANEL_CONTROL'!$E$46</f>
        <v>0</v>
      </c>
      <c r="J94" s="33">
        <f>J89*'1_PANEL_CONTROL'!$E$46</f>
        <v>0</v>
      </c>
      <c r="K94" s="33">
        <f>K89*'1_PANEL_CONTROL'!$E$46</f>
        <v>0</v>
      </c>
      <c r="L94" s="33">
        <f>L89*'1_PANEL_CONTROL'!$E$46</f>
        <v>0</v>
      </c>
      <c r="M94" s="33">
        <f>M89*'1_PANEL_CONTROL'!$E$46</f>
        <v>0</v>
      </c>
      <c r="N94" s="33">
        <f>N89*'1_PANEL_CONTROL'!$E$46</f>
        <v>0</v>
      </c>
      <c r="O94" s="33">
        <f>O89*'1_PANEL_CONTROL'!$E$46</f>
        <v>0</v>
      </c>
      <c r="P94" s="33">
        <f>P89*'1_PANEL_CONTROL'!$E$46</f>
        <v>0</v>
      </c>
      <c r="Q94" s="33">
        <f>Q89*'1_PANEL_CONTROL'!$E$46</f>
        <v>0</v>
      </c>
      <c r="R94" s="33">
        <f>R89*'1_PANEL_CONTROL'!$E$46</f>
        <v>0</v>
      </c>
      <c r="S94" s="33">
        <f>S89*'1_PANEL_CONTROL'!$E$46</f>
        <v>0</v>
      </c>
      <c r="T94" s="33">
        <f>T89*'1_PANEL_CONTROL'!$E$46</f>
        <v>0</v>
      </c>
      <c r="U94" s="33">
        <f>U89*'1_PANEL_CONTROL'!$E$46</f>
        <v>0</v>
      </c>
      <c r="V94" s="33">
        <f>V89*'1_PANEL_CONTROL'!$E$46</f>
        <v>350</v>
      </c>
      <c r="W94" s="33">
        <f>W89*'1_PANEL_CONTROL'!$E$46</f>
        <v>350</v>
      </c>
      <c r="X94" s="33">
        <f>X89*'1_PANEL_CONTROL'!$E$46</f>
        <v>350</v>
      </c>
      <c r="Y94" s="33">
        <f>Y89*'1_PANEL_CONTROL'!$E$46</f>
        <v>350</v>
      </c>
      <c r="Z94" s="33">
        <f>Z89*'1_PANEL_CONTROL'!$E$46</f>
        <v>350</v>
      </c>
      <c r="AA94" s="33">
        <f>AA89*'1_PANEL_CONTROL'!$E$46</f>
        <v>350</v>
      </c>
      <c r="AB94" s="33">
        <f>AB89*'1_PANEL_CONTROL'!$E$46</f>
        <v>350</v>
      </c>
      <c r="AC94" s="33">
        <f>AC89*'1_PANEL_CONTROL'!$E$46</f>
        <v>350</v>
      </c>
      <c r="AD94" s="33">
        <f>AD89*'1_PANEL_CONTROL'!$E$46</f>
        <v>350</v>
      </c>
      <c r="AE94" s="33">
        <f>AE89*'1_PANEL_CONTROL'!$E$46</f>
        <v>350</v>
      </c>
      <c r="AF94" s="33">
        <f>AF89*'1_PANEL_CONTROL'!$E$46</f>
        <v>350</v>
      </c>
      <c r="AG94" s="33">
        <f>AG89*'1_PANEL_CONTROL'!$E$46</f>
        <v>350</v>
      </c>
      <c r="AH94" s="33">
        <f>AH89*'1_PANEL_CONTROL'!$E$46</f>
        <v>350</v>
      </c>
      <c r="AI94" s="33">
        <f>AI89*'1_PANEL_CONTROL'!$E$46</f>
        <v>350</v>
      </c>
      <c r="AJ94" s="33">
        <f>AJ89*'1_PANEL_CONTROL'!$E$46</f>
        <v>350</v>
      </c>
      <c r="AK94" s="33">
        <f>AK89*'1_PANEL_CONTROL'!$E$46</f>
        <v>350</v>
      </c>
      <c r="AL94" s="33">
        <f>AL89*'1_PANEL_CONTROL'!$E$46</f>
        <v>350</v>
      </c>
      <c r="AM94" s="33">
        <f>AM89*'1_PANEL_CONTROL'!$E$46</f>
        <v>350</v>
      </c>
      <c r="AN94" s="33">
        <f>AN89*'1_PANEL_CONTROL'!$E$46</f>
        <v>350</v>
      </c>
      <c r="AO94" s="33">
        <f>AO89*'1_PANEL_CONTROL'!$E$46</f>
        <v>350</v>
      </c>
      <c r="AP94" s="33">
        <f>AP89*'1_PANEL_CONTROL'!$E$46</f>
        <v>350</v>
      </c>
      <c r="AQ94" s="33">
        <f>AQ89*'1_PANEL_CONTROL'!$E$46</f>
        <v>350</v>
      </c>
      <c r="AR94" s="33">
        <f>AR89*'1_PANEL_CONTROL'!$E$46</f>
        <v>350</v>
      </c>
      <c r="AS94" s="33">
        <f>AS89*'1_PANEL_CONTROL'!$E$46</f>
        <v>350</v>
      </c>
      <c r="AT94" s="33">
        <f>AT89*'1_PANEL_CONTROL'!$E$46</f>
        <v>350</v>
      </c>
      <c r="AU94" s="33">
        <f>AU89*'1_PANEL_CONTROL'!$E$46</f>
        <v>350</v>
      </c>
      <c r="AV94" s="33">
        <f>AV89*'1_PANEL_CONTROL'!$E$46</f>
        <v>350</v>
      </c>
      <c r="AW94" s="33">
        <f>AW89*'1_PANEL_CONTROL'!$E$46</f>
        <v>350</v>
      </c>
      <c r="AX94" s="33">
        <f>AX89*'1_PANEL_CONTROL'!$E$46</f>
        <v>350</v>
      </c>
      <c r="AY94" s="33">
        <f>AY89*'1_PANEL_CONTROL'!$E$46</f>
        <v>350</v>
      </c>
      <c r="AZ94" s="33">
        <f>AZ89*'1_PANEL_CONTROL'!$E$46</f>
        <v>350</v>
      </c>
      <c r="BA94" s="33">
        <f>BA89*'1_PANEL_CONTROL'!$E$46</f>
        <v>350</v>
      </c>
      <c r="BB94" s="33">
        <f>BB89*'1_PANEL_CONTROL'!$E$46</f>
        <v>350</v>
      </c>
      <c r="BC94" s="33">
        <f>BC89*'1_PANEL_CONTROL'!$E$46</f>
        <v>350</v>
      </c>
      <c r="BD94" s="33">
        <f>BD89*'1_PANEL_CONTROL'!$E$46</f>
        <v>350</v>
      </c>
      <c r="BE94" s="33">
        <f>BE89*'1_PANEL_CONTROL'!$E$46</f>
        <v>350</v>
      </c>
      <c r="BF94" s="33">
        <f>BF89*'1_PANEL_CONTROL'!$E$46</f>
        <v>350</v>
      </c>
      <c r="BG94" s="33">
        <f>BG89*'1_PANEL_CONTROL'!$E$46</f>
        <v>350</v>
      </c>
      <c r="BH94" s="33">
        <f>BH89*'1_PANEL_CONTROL'!$E$46</f>
        <v>350</v>
      </c>
      <c r="BI94" s="33">
        <f>BI89*'1_PANEL_CONTROL'!$E$46</f>
        <v>350</v>
      </c>
      <c r="BJ94" s="33">
        <f>BJ89*'1_PANEL_CONTROL'!$E$46</f>
        <v>350</v>
      </c>
      <c r="BK94" s="33">
        <f>BK89*'1_PANEL_CONTROL'!$E$46</f>
        <v>350</v>
      </c>
      <c r="BL94" s="33">
        <f>BL89*'1_PANEL_CONTROL'!$E$46</f>
        <v>350</v>
      </c>
      <c r="BM94" s="33">
        <f>BM89*'1_PANEL_CONTROL'!$E$46</f>
        <v>350</v>
      </c>
      <c r="BN94" s="33">
        <f>BN89*'1_PANEL_CONTROL'!$E$46</f>
        <v>350</v>
      </c>
      <c r="BO94" s="33">
        <f>BO89*'1_PANEL_CONTROL'!$E$46</f>
        <v>350</v>
      </c>
      <c r="BP94" s="33">
        <f>BP89*'1_PANEL_CONTROL'!$E$46</f>
        <v>350</v>
      </c>
      <c r="BQ94" s="33">
        <f>BQ89*'1_PANEL_CONTROL'!$E$46</f>
        <v>350</v>
      </c>
      <c r="BR94" s="33">
        <f>BR89*'1_PANEL_CONTROL'!$E$46</f>
        <v>350</v>
      </c>
      <c r="BS94" s="33">
        <f>BS89*'1_PANEL_CONTROL'!$E$46</f>
        <v>350</v>
      </c>
      <c r="BT94" s="33">
        <f>BT89*'1_PANEL_CONTROL'!$E$46</f>
        <v>350</v>
      </c>
      <c r="BU94" s="33">
        <f>BU89*'1_PANEL_CONTROL'!$E$46</f>
        <v>350</v>
      </c>
      <c r="BV94" s="33">
        <f>BV89*'1_PANEL_CONTROL'!$E$46</f>
        <v>350</v>
      </c>
      <c r="BW94" s="33">
        <f>BW89*'1_PANEL_CONTROL'!$E$46</f>
        <v>350</v>
      </c>
      <c r="BX94" s="33">
        <f>BX89*'1_PANEL_CONTROL'!$E$46</f>
        <v>350</v>
      </c>
      <c r="BY94" s="33">
        <f>BY89*'1_PANEL_CONTROL'!$E$46</f>
        <v>350</v>
      </c>
      <c r="BZ94" s="33">
        <f>BZ89*'1_PANEL_CONTROL'!$E$46</f>
        <v>350</v>
      </c>
      <c r="CA94" s="33">
        <f>CA89*'1_PANEL_CONTROL'!$E$46</f>
        <v>350</v>
      </c>
      <c r="CB94" s="33">
        <f>CB89*'1_PANEL_CONTROL'!$E$46</f>
        <v>350</v>
      </c>
      <c r="CC94" s="33">
        <f>CC89*'1_PANEL_CONTROL'!$E$46</f>
        <v>350</v>
      </c>
      <c r="CD94" s="33">
        <f>CD89*'1_PANEL_CONTROL'!$E$46</f>
        <v>350</v>
      </c>
      <c r="CE94" s="33">
        <f>CE89*'1_PANEL_CONTROL'!$E$46</f>
        <v>350</v>
      </c>
      <c r="CF94" s="33">
        <f>CF89*'1_PANEL_CONTROL'!$E$46</f>
        <v>350</v>
      </c>
      <c r="CG94" s="33">
        <f>CG89*'1_PANEL_CONTROL'!$E$46</f>
        <v>350</v>
      </c>
      <c r="CH94" s="33">
        <f>CH89*'1_PANEL_CONTROL'!$E$46</f>
        <v>350</v>
      </c>
      <c r="CI94" s="33">
        <f>CI89*'1_PANEL_CONTROL'!$E$46</f>
        <v>350</v>
      </c>
    </row>
    <row r="95" spans="1:87" ht="16">
      <c r="A95" s="6" t="s">
        <v>590</v>
      </c>
      <c r="B95" s="30" t="s">
        <v>465</v>
      </c>
      <c r="C95" s="15"/>
      <c r="D95" s="33">
        <f t="shared" ref="D95:AI95" si="90">D89-D93-D94</f>
        <v>0</v>
      </c>
      <c r="E95" s="33">
        <f t="shared" si="90"/>
        <v>0</v>
      </c>
      <c r="F95" s="33">
        <f t="shared" si="90"/>
        <v>0</v>
      </c>
      <c r="G95" s="33">
        <f t="shared" si="90"/>
        <v>0</v>
      </c>
      <c r="H95" s="33">
        <f t="shared" si="90"/>
        <v>0</v>
      </c>
      <c r="I95" s="33">
        <f t="shared" si="90"/>
        <v>0</v>
      </c>
      <c r="J95" s="33">
        <f t="shared" si="90"/>
        <v>0</v>
      </c>
      <c r="K95" s="33">
        <f t="shared" si="90"/>
        <v>0</v>
      </c>
      <c r="L95" s="33">
        <f t="shared" si="90"/>
        <v>0</v>
      </c>
      <c r="M95" s="33">
        <f t="shared" si="90"/>
        <v>0</v>
      </c>
      <c r="N95" s="33">
        <f t="shared" si="90"/>
        <v>0</v>
      </c>
      <c r="O95" s="33">
        <f t="shared" si="90"/>
        <v>0</v>
      </c>
      <c r="P95" s="33">
        <f t="shared" si="90"/>
        <v>0</v>
      </c>
      <c r="Q95" s="33">
        <f t="shared" si="90"/>
        <v>0</v>
      </c>
      <c r="R95" s="33">
        <f t="shared" si="90"/>
        <v>0</v>
      </c>
      <c r="S95" s="33">
        <f t="shared" si="90"/>
        <v>0</v>
      </c>
      <c r="T95" s="33">
        <f t="shared" si="90"/>
        <v>0</v>
      </c>
      <c r="U95" s="33">
        <f t="shared" si="90"/>
        <v>0</v>
      </c>
      <c r="V95" s="33">
        <f t="shared" si="90"/>
        <v>1832.3666666666668</v>
      </c>
      <c r="W95" s="33">
        <f t="shared" si="90"/>
        <v>1832.3666666666668</v>
      </c>
      <c r="X95" s="33">
        <f t="shared" si="90"/>
        <v>1832.3666666666668</v>
      </c>
      <c r="Y95" s="33">
        <f t="shared" si="90"/>
        <v>1832.3666666666668</v>
      </c>
      <c r="Z95" s="33">
        <f t="shared" si="90"/>
        <v>1832.3666666666668</v>
      </c>
      <c r="AA95" s="33">
        <f t="shared" si="90"/>
        <v>1832.3666666666668</v>
      </c>
      <c r="AB95" s="33">
        <f t="shared" si="90"/>
        <v>1832.3666666666668</v>
      </c>
      <c r="AC95" s="33">
        <f t="shared" si="90"/>
        <v>1832.3666666666668</v>
      </c>
      <c r="AD95" s="33">
        <f t="shared" si="90"/>
        <v>1832.3666666666668</v>
      </c>
      <c r="AE95" s="33">
        <f t="shared" si="90"/>
        <v>1832.3666666666668</v>
      </c>
      <c r="AF95" s="33">
        <f t="shared" si="90"/>
        <v>1832.3666666666668</v>
      </c>
      <c r="AG95" s="33">
        <f t="shared" si="90"/>
        <v>1832.3666666666668</v>
      </c>
      <c r="AH95" s="33">
        <f t="shared" si="90"/>
        <v>1832.3666666666668</v>
      </c>
      <c r="AI95" s="33">
        <f t="shared" si="90"/>
        <v>1832.3666666666668</v>
      </c>
      <c r="AJ95" s="33">
        <f t="shared" ref="AJ95:BO95" si="91">AJ89-AJ93-AJ94</f>
        <v>1832.3666666666668</v>
      </c>
      <c r="AK95" s="33">
        <f t="shared" si="91"/>
        <v>1832.3666666666668</v>
      </c>
      <c r="AL95" s="33">
        <f t="shared" si="91"/>
        <v>1832.3666666666668</v>
      </c>
      <c r="AM95" s="33">
        <f t="shared" si="91"/>
        <v>1832.3666666666668</v>
      </c>
      <c r="AN95" s="33">
        <f t="shared" si="91"/>
        <v>1832.3666666666668</v>
      </c>
      <c r="AO95" s="33">
        <f t="shared" si="91"/>
        <v>1832.3666666666668</v>
      </c>
      <c r="AP95" s="33">
        <f t="shared" si="91"/>
        <v>1832.3666666666668</v>
      </c>
      <c r="AQ95" s="33">
        <f t="shared" si="91"/>
        <v>1832.3666666666668</v>
      </c>
      <c r="AR95" s="33">
        <f t="shared" si="91"/>
        <v>1832.3666666666668</v>
      </c>
      <c r="AS95" s="33">
        <f t="shared" si="91"/>
        <v>1832.3666666666668</v>
      </c>
      <c r="AT95" s="33">
        <f t="shared" si="91"/>
        <v>1832.3666666666668</v>
      </c>
      <c r="AU95" s="33">
        <f t="shared" si="91"/>
        <v>1832.3666666666668</v>
      </c>
      <c r="AV95" s="33">
        <f t="shared" si="91"/>
        <v>1832.3666666666668</v>
      </c>
      <c r="AW95" s="33">
        <f t="shared" si="91"/>
        <v>1832.3666666666668</v>
      </c>
      <c r="AX95" s="33">
        <f t="shared" si="91"/>
        <v>1832.3666666666668</v>
      </c>
      <c r="AY95" s="33">
        <f t="shared" si="91"/>
        <v>1832.3666666666668</v>
      </c>
      <c r="AZ95" s="33">
        <f t="shared" si="91"/>
        <v>1832.3666666666668</v>
      </c>
      <c r="BA95" s="33">
        <f t="shared" si="91"/>
        <v>1832.3666666666668</v>
      </c>
      <c r="BB95" s="33">
        <f t="shared" si="91"/>
        <v>1832.3666666666668</v>
      </c>
      <c r="BC95" s="33">
        <f t="shared" si="91"/>
        <v>1832.3666666666668</v>
      </c>
      <c r="BD95" s="33">
        <f t="shared" si="91"/>
        <v>1832.3666666666668</v>
      </c>
      <c r="BE95" s="33">
        <f t="shared" si="91"/>
        <v>1832.3666666666668</v>
      </c>
      <c r="BF95" s="33">
        <f t="shared" si="91"/>
        <v>1832.3666666666668</v>
      </c>
      <c r="BG95" s="33">
        <f t="shared" si="91"/>
        <v>1832.3666666666668</v>
      </c>
      <c r="BH95" s="33">
        <f t="shared" si="91"/>
        <v>1832.3666666666668</v>
      </c>
      <c r="BI95" s="33">
        <f t="shared" si="91"/>
        <v>1832.3666666666668</v>
      </c>
      <c r="BJ95" s="33">
        <f t="shared" si="91"/>
        <v>1832.3666666666668</v>
      </c>
      <c r="BK95" s="33">
        <f t="shared" si="91"/>
        <v>1832.3666666666668</v>
      </c>
      <c r="BL95" s="33">
        <f t="shared" si="91"/>
        <v>1832.3666666666668</v>
      </c>
      <c r="BM95" s="33">
        <f t="shared" si="91"/>
        <v>1832.3666666666668</v>
      </c>
      <c r="BN95" s="33">
        <f t="shared" si="91"/>
        <v>1832.3666666666668</v>
      </c>
      <c r="BO95" s="33">
        <f t="shared" si="91"/>
        <v>1832.3666666666668</v>
      </c>
      <c r="BP95" s="33">
        <f t="shared" ref="BP95:CU95" si="92">BP89-BP93-BP94</f>
        <v>1832.3666666666668</v>
      </c>
      <c r="BQ95" s="33">
        <f t="shared" si="92"/>
        <v>1832.3666666666668</v>
      </c>
      <c r="BR95" s="33">
        <f t="shared" si="92"/>
        <v>1832.3666666666668</v>
      </c>
      <c r="BS95" s="33">
        <f t="shared" si="92"/>
        <v>1832.3666666666668</v>
      </c>
      <c r="BT95" s="33">
        <f t="shared" si="92"/>
        <v>1832.3666666666668</v>
      </c>
      <c r="BU95" s="33">
        <f t="shared" si="92"/>
        <v>1832.3666666666668</v>
      </c>
      <c r="BV95" s="33">
        <f t="shared" si="92"/>
        <v>1832.3666666666668</v>
      </c>
      <c r="BW95" s="33">
        <f t="shared" si="92"/>
        <v>1832.3666666666668</v>
      </c>
      <c r="BX95" s="33">
        <f t="shared" si="92"/>
        <v>1832.3666666666668</v>
      </c>
      <c r="BY95" s="33">
        <f t="shared" si="92"/>
        <v>1832.3666666666668</v>
      </c>
      <c r="BZ95" s="33">
        <f t="shared" si="92"/>
        <v>1832.3666666666668</v>
      </c>
      <c r="CA95" s="33">
        <f t="shared" si="92"/>
        <v>1832.3666666666668</v>
      </c>
      <c r="CB95" s="33">
        <f t="shared" si="92"/>
        <v>1832.3666666666668</v>
      </c>
      <c r="CC95" s="33">
        <f t="shared" si="92"/>
        <v>1832.3666666666668</v>
      </c>
      <c r="CD95" s="33">
        <f t="shared" si="92"/>
        <v>1832.3666666666668</v>
      </c>
      <c r="CE95" s="33">
        <f t="shared" si="92"/>
        <v>1832.3666666666668</v>
      </c>
      <c r="CF95" s="33">
        <f t="shared" si="92"/>
        <v>1832.3666666666668</v>
      </c>
      <c r="CG95" s="33">
        <f t="shared" si="92"/>
        <v>1832.3666666666668</v>
      </c>
      <c r="CH95" s="33">
        <f t="shared" si="92"/>
        <v>1832.3666666666668</v>
      </c>
      <c r="CI95" s="33">
        <f t="shared" si="92"/>
        <v>1832.3666666666668</v>
      </c>
    </row>
    <row r="96" spans="1:87" ht="16">
      <c r="A96" s="5" t="s">
        <v>591</v>
      </c>
      <c r="B96" s="30" t="s">
        <v>465</v>
      </c>
      <c r="C96" s="15"/>
      <c r="D96" s="36">
        <f t="shared" ref="D96:AI96" si="93">D89+D92</f>
        <v>0</v>
      </c>
      <c r="E96" s="36">
        <f t="shared" si="93"/>
        <v>0</v>
      </c>
      <c r="F96" s="36">
        <f t="shared" si="93"/>
        <v>0</v>
      </c>
      <c r="G96" s="36">
        <f t="shared" si="93"/>
        <v>0</v>
      </c>
      <c r="H96" s="36">
        <f t="shared" si="93"/>
        <v>0</v>
      </c>
      <c r="I96" s="36">
        <f t="shared" si="93"/>
        <v>0</v>
      </c>
      <c r="J96" s="36">
        <f t="shared" si="93"/>
        <v>0</v>
      </c>
      <c r="K96" s="36">
        <f t="shared" si="93"/>
        <v>0</v>
      </c>
      <c r="L96" s="36">
        <f t="shared" si="93"/>
        <v>0</v>
      </c>
      <c r="M96" s="36">
        <f t="shared" si="93"/>
        <v>0</v>
      </c>
      <c r="N96" s="36">
        <f t="shared" si="93"/>
        <v>0</v>
      </c>
      <c r="O96" s="36">
        <f t="shared" si="93"/>
        <v>0</v>
      </c>
      <c r="P96" s="36">
        <f t="shared" si="93"/>
        <v>0</v>
      </c>
      <c r="Q96" s="36">
        <f t="shared" si="93"/>
        <v>0</v>
      </c>
      <c r="R96" s="36">
        <f t="shared" si="93"/>
        <v>0</v>
      </c>
      <c r="S96" s="36">
        <f t="shared" si="93"/>
        <v>0</v>
      </c>
      <c r="T96" s="36">
        <f t="shared" si="93"/>
        <v>0</v>
      </c>
      <c r="U96" s="36">
        <f t="shared" si="93"/>
        <v>0</v>
      </c>
      <c r="V96" s="36">
        <f t="shared" si="93"/>
        <v>3082.3333333333335</v>
      </c>
      <c r="W96" s="36">
        <f t="shared" si="93"/>
        <v>3082.3333333333335</v>
      </c>
      <c r="X96" s="36">
        <f t="shared" si="93"/>
        <v>3082.3333333333335</v>
      </c>
      <c r="Y96" s="36">
        <f t="shared" si="93"/>
        <v>3082.3333333333335</v>
      </c>
      <c r="Z96" s="36">
        <f t="shared" si="93"/>
        <v>3082.3333333333335</v>
      </c>
      <c r="AA96" s="36">
        <f t="shared" si="93"/>
        <v>3082.3333333333335</v>
      </c>
      <c r="AB96" s="36">
        <f t="shared" si="93"/>
        <v>3082.3333333333335</v>
      </c>
      <c r="AC96" s="36">
        <f t="shared" si="93"/>
        <v>3082.3333333333335</v>
      </c>
      <c r="AD96" s="36">
        <f t="shared" si="93"/>
        <v>3082.3333333333335</v>
      </c>
      <c r="AE96" s="36">
        <f t="shared" si="93"/>
        <v>3082.3333333333335</v>
      </c>
      <c r="AF96" s="36">
        <f t="shared" si="93"/>
        <v>3082.3333333333335</v>
      </c>
      <c r="AG96" s="36">
        <f t="shared" si="93"/>
        <v>3082.3333333333335</v>
      </c>
      <c r="AH96" s="36">
        <f t="shared" si="93"/>
        <v>3082.3333333333335</v>
      </c>
      <c r="AI96" s="36">
        <f t="shared" si="93"/>
        <v>3082.3333333333335</v>
      </c>
      <c r="AJ96" s="36">
        <f t="shared" ref="AJ96:BO96" si="94">AJ89+AJ92</f>
        <v>3082.3333333333335</v>
      </c>
      <c r="AK96" s="36">
        <f t="shared" si="94"/>
        <v>3082.3333333333335</v>
      </c>
      <c r="AL96" s="36">
        <f t="shared" si="94"/>
        <v>3082.3333333333335</v>
      </c>
      <c r="AM96" s="36">
        <f t="shared" si="94"/>
        <v>3082.3333333333335</v>
      </c>
      <c r="AN96" s="36">
        <f t="shared" si="94"/>
        <v>3082.3333333333335</v>
      </c>
      <c r="AO96" s="36">
        <f t="shared" si="94"/>
        <v>3082.3333333333335</v>
      </c>
      <c r="AP96" s="36">
        <f t="shared" si="94"/>
        <v>3082.3333333333335</v>
      </c>
      <c r="AQ96" s="36">
        <f t="shared" si="94"/>
        <v>3082.3333333333335</v>
      </c>
      <c r="AR96" s="36">
        <f t="shared" si="94"/>
        <v>3082.3333333333335</v>
      </c>
      <c r="AS96" s="36">
        <f t="shared" si="94"/>
        <v>3082.3333333333335</v>
      </c>
      <c r="AT96" s="36">
        <f t="shared" si="94"/>
        <v>3082.3333333333335</v>
      </c>
      <c r="AU96" s="36">
        <f t="shared" si="94"/>
        <v>3082.3333333333335</v>
      </c>
      <c r="AV96" s="36">
        <f t="shared" si="94"/>
        <v>3082.3333333333335</v>
      </c>
      <c r="AW96" s="36">
        <f t="shared" si="94"/>
        <v>3082.3333333333335</v>
      </c>
      <c r="AX96" s="36">
        <f t="shared" si="94"/>
        <v>3082.3333333333335</v>
      </c>
      <c r="AY96" s="36">
        <f t="shared" si="94"/>
        <v>3082.3333333333335</v>
      </c>
      <c r="AZ96" s="36">
        <f t="shared" si="94"/>
        <v>3082.3333333333335</v>
      </c>
      <c r="BA96" s="36">
        <f t="shared" si="94"/>
        <v>3082.3333333333335</v>
      </c>
      <c r="BB96" s="36">
        <f t="shared" si="94"/>
        <v>3082.3333333333335</v>
      </c>
      <c r="BC96" s="36">
        <f t="shared" si="94"/>
        <v>3082.3333333333335</v>
      </c>
      <c r="BD96" s="36">
        <f t="shared" si="94"/>
        <v>3082.3333333333335</v>
      </c>
      <c r="BE96" s="36">
        <f t="shared" si="94"/>
        <v>3082.3333333333335</v>
      </c>
      <c r="BF96" s="36">
        <f t="shared" si="94"/>
        <v>3082.3333333333335</v>
      </c>
      <c r="BG96" s="36">
        <f t="shared" si="94"/>
        <v>3082.3333333333335</v>
      </c>
      <c r="BH96" s="36">
        <f t="shared" si="94"/>
        <v>3082.3333333333335</v>
      </c>
      <c r="BI96" s="36">
        <f t="shared" si="94"/>
        <v>3082.3333333333335</v>
      </c>
      <c r="BJ96" s="36">
        <f t="shared" si="94"/>
        <v>3082.3333333333335</v>
      </c>
      <c r="BK96" s="36">
        <f t="shared" si="94"/>
        <v>3082.3333333333335</v>
      </c>
      <c r="BL96" s="36">
        <f t="shared" si="94"/>
        <v>3082.3333333333335</v>
      </c>
      <c r="BM96" s="36">
        <f t="shared" si="94"/>
        <v>3082.3333333333335</v>
      </c>
      <c r="BN96" s="36">
        <f t="shared" si="94"/>
        <v>3082.3333333333335</v>
      </c>
      <c r="BO96" s="36">
        <f t="shared" si="94"/>
        <v>3082.3333333333335</v>
      </c>
      <c r="BP96" s="36">
        <f t="shared" ref="BP96:CI96" si="95">BP89+BP92</f>
        <v>3082.3333333333335</v>
      </c>
      <c r="BQ96" s="36">
        <f t="shared" si="95"/>
        <v>3082.3333333333335</v>
      </c>
      <c r="BR96" s="36">
        <f t="shared" si="95"/>
        <v>3082.3333333333335</v>
      </c>
      <c r="BS96" s="36">
        <f t="shared" si="95"/>
        <v>3082.3333333333335</v>
      </c>
      <c r="BT96" s="36">
        <f t="shared" si="95"/>
        <v>3082.3333333333335</v>
      </c>
      <c r="BU96" s="36">
        <f t="shared" si="95"/>
        <v>3082.3333333333335</v>
      </c>
      <c r="BV96" s="36">
        <f t="shared" si="95"/>
        <v>3082.3333333333335</v>
      </c>
      <c r="BW96" s="36">
        <f t="shared" si="95"/>
        <v>3082.3333333333335</v>
      </c>
      <c r="BX96" s="36">
        <f t="shared" si="95"/>
        <v>3082.3333333333335</v>
      </c>
      <c r="BY96" s="36">
        <f t="shared" si="95"/>
        <v>3082.3333333333335</v>
      </c>
      <c r="BZ96" s="36">
        <f t="shared" si="95"/>
        <v>3082.3333333333335</v>
      </c>
      <c r="CA96" s="36">
        <f t="shared" si="95"/>
        <v>3082.3333333333335</v>
      </c>
      <c r="CB96" s="36">
        <f t="shared" si="95"/>
        <v>3082.3333333333335</v>
      </c>
      <c r="CC96" s="36">
        <f t="shared" si="95"/>
        <v>3082.3333333333335</v>
      </c>
      <c r="CD96" s="36">
        <f t="shared" si="95"/>
        <v>3082.3333333333335</v>
      </c>
      <c r="CE96" s="36">
        <f t="shared" si="95"/>
        <v>3082.3333333333335</v>
      </c>
      <c r="CF96" s="36">
        <f t="shared" si="95"/>
        <v>3082.3333333333335</v>
      </c>
      <c r="CG96" s="36">
        <f t="shared" si="95"/>
        <v>3082.3333333333335</v>
      </c>
      <c r="CH96" s="36">
        <f t="shared" si="95"/>
        <v>3082.3333333333335</v>
      </c>
      <c r="CI96" s="36">
        <f t="shared" si="95"/>
        <v>3082.3333333333335</v>
      </c>
    </row>
    <row r="98" spans="1:87" ht="16.5">
      <c r="A98" s="45" t="s">
        <v>592</v>
      </c>
    </row>
    <row r="99" spans="1:87" ht="16">
      <c r="A99" s="5" t="s">
        <v>593</v>
      </c>
      <c r="B99" s="30" t="s">
        <v>465</v>
      </c>
      <c r="C99" s="15"/>
      <c r="D99" s="33">
        <f t="shared" ref="D99:AI99" si="96">SUM(D10,D21,D32,D43,D54,D65,D76,D87)</f>
        <v>6000</v>
      </c>
      <c r="E99" s="33">
        <f t="shared" si="96"/>
        <v>6000</v>
      </c>
      <c r="F99" s="33">
        <f t="shared" si="96"/>
        <v>6000</v>
      </c>
      <c r="G99" s="33">
        <f t="shared" si="96"/>
        <v>6000</v>
      </c>
      <c r="H99" s="33">
        <f t="shared" si="96"/>
        <v>6000</v>
      </c>
      <c r="I99" s="33">
        <f t="shared" si="96"/>
        <v>6000</v>
      </c>
      <c r="J99" s="33">
        <f t="shared" si="96"/>
        <v>6000</v>
      </c>
      <c r="K99" s="33">
        <f t="shared" si="96"/>
        <v>6000</v>
      </c>
      <c r="L99" s="33">
        <f t="shared" si="96"/>
        <v>6000</v>
      </c>
      <c r="M99" s="33">
        <f t="shared" si="96"/>
        <v>6000</v>
      </c>
      <c r="N99" s="33">
        <f t="shared" si="96"/>
        <v>6000</v>
      </c>
      <c r="O99" s="33">
        <f t="shared" si="96"/>
        <v>6000</v>
      </c>
      <c r="P99" s="33">
        <f t="shared" si="96"/>
        <v>18750</v>
      </c>
      <c r="Q99" s="33">
        <f t="shared" si="96"/>
        <v>18750</v>
      </c>
      <c r="R99" s="33">
        <f t="shared" si="96"/>
        <v>18750</v>
      </c>
      <c r="S99" s="33">
        <f t="shared" si="96"/>
        <v>18750</v>
      </c>
      <c r="T99" s="33">
        <f t="shared" si="96"/>
        <v>18750</v>
      </c>
      <c r="U99" s="33">
        <f t="shared" si="96"/>
        <v>18750</v>
      </c>
      <c r="V99" s="33">
        <f t="shared" si="96"/>
        <v>21083.333333333332</v>
      </c>
      <c r="W99" s="33">
        <f t="shared" si="96"/>
        <v>21083.333333333332</v>
      </c>
      <c r="X99" s="33">
        <f t="shared" si="96"/>
        <v>21083.333333333332</v>
      </c>
      <c r="Y99" s="33">
        <f t="shared" si="96"/>
        <v>21083.333333333332</v>
      </c>
      <c r="Z99" s="33">
        <f t="shared" si="96"/>
        <v>21083.333333333332</v>
      </c>
      <c r="AA99" s="33">
        <f t="shared" si="96"/>
        <v>21083.333333333332</v>
      </c>
      <c r="AB99" s="33">
        <f t="shared" si="96"/>
        <v>24583.333333333332</v>
      </c>
      <c r="AC99" s="33">
        <f t="shared" si="96"/>
        <v>24583.333333333332</v>
      </c>
      <c r="AD99" s="33">
        <f t="shared" si="96"/>
        <v>24583.333333333332</v>
      </c>
      <c r="AE99" s="33">
        <f t="shared" si="96"/>
        <v>24583.333333333332</v>
      </c>
      <c r="AF99" s="33">
        <f t="shared" si="96"/>
        <v>24583.333333333332</v>
      </c>
      <c r="AG99" s="33">
        <f t="shared" si="96"/>
        <v>24583.333333333332</v>
      </c>
      <c r="AH99" s="33">
        <f t="shared" si="96"/>
        <v>24583.333333333332</v>
      </c>
      <c r="AI99" s="33">
        <f t="shared" si="96"/>
        <v>24583.333333333332</v>
      </c>
      <c r="AJ99" s="33">
        <f t="shared" ref="AJ99:BO99" si="97">SUM(AJ10,AJ21,AJ32,AJ43,AJ54,AJ65,AJ76,AJ87)</f>
        <v>24583.333333333332</v>
      </c>
      <c r="AK99" s="33">
        <f t="shared" si="97"/>
        <v>24583.333333333332</v>
      </c>
      <c r="AL99" s="33">
        <f t="shared" si="97"/>
        <v>24583.333333333332</v>
      </c>
      <c r="AM99" s="33">
        <f t="shared" si="97"/>
        <v>24583.333333333332</v>
      </c>
      <c r="AN99" s="33">
        <f t="shared" si="97"/>
        <v>24583.333333333332</v>
      </c>
      <c r="AO99" s="33">
        <f t="shared" si="97"/>
        <v>24583.333333333332</v>
      </c>
      <c r="AP99" s="33">
        <f t="shared" si="97"/>
        <v>24583.333333333332</v>
      </c>
      <c r="AQ99" s="33">
        <f t="shared" si="97"/>
        <v>24583.333333333332</v>
      </c>
      <c r="AR99" s="33">
        <f t="shared" si="97"/>
        <v>24583.333333333332</v>
      </c>
      <c r="AS99" s="33">
        <f t="shared" si="97"/>
        <v>24583.333333333332</v>
      </c>
      <c r="AT99" s="33">
        <f t="shared" si="97"/>
        <v>24583.333333333332</v>
      </c>
      <c r="AU99" s="33">
        <f t="shared" si="97"/>
        <v>24583.333333333332</v>
      </c>
      <c r="AV99" s="33">
        <f t="shared" si="97"/>
        <v>24583.333333333332</v>
      </c>
      <c r="AW99" s="33">
        <f t="shared" si="97"/>
        <v>24583.333333333332</v>
      </c>
      <c r="AX99" s="33">
        <f t="shared" si="97"/>
        <v>24583.333333333332</v>
      </c>
      <c r="AY99" s="33">
        <f t="shared" si="97"/>
        <v>24583.333333333332</v>
      </c>
      <c r="AZ99" s="33">
        <f t="shared" si="97"/>
        <v>24583.333333333332</v>
      </c>
      <c r="BA99" s="33">
        <f t="shared" si="97"/>
        <v>24583.333333333332</v>
      </c>
      <c r="BB99" s="33">
        <f t="shared" si="97"/>
        <v>24583.333333333332</v>
      </c>
      <c r="BC99" s="33">
        <f t="shared" si="97"/>
        <v>24583.333333333332</v>
      </c>
      <c r="BD99" s="33">
        <f t="shared" si="97"/>
        <v>24583.333333333332</v>
      </c>
      <c r="BE99" s="33">
        <f t="shared" si="97"/>
        <v>24583.333333333332</v>
      </c>
      <c r="BF99" s="33">
        <f t="shared" si="97"/>
        <v>24583.333333333332</v>
      </c>
      <c r="BG99" s="33">
        <f t="shared" si="97"/>
        <v>24583.333333333332</v>
      </c>
      <c r="BH99" s="33">
        <f t="shared" si="97"/>
        <v>24583.333333333332</v>
      </c>
      <c r="BI99" s="33">
        <f t="shared" si="97"/>
        <v>24583.333333333332</v>
      </c>
      <c r="BJ99" s="33">
        <f t="shared" si="97"/>
        <v>24583.333333333332</v>
      </c>
      <c r="BK99" s="33">
        <f t="shared" si="97"/>
        <v>24583.333333333332</v>
      </c>
      <c r="BL99" s="33">
        <f t="shared" si="97"/>
        <v>24583.333333333332</v>
      </c>
      <c r="BM99" s="33">
        <f t="shared" si="97"/>
        <v>24583.333333333332</v>
      </c>
      <c r="BN99" s="33">
        <f t="shared" si="97"/>
        <v>24583.333333333332</v>
      </c>
      <c r="BO99" s="33">
        <f t="shared" si="97"/>
        <v>24583.333333333332</v>
      </c>
      <c r="BP99" s="33">
        <f t="shared" ref="BP99:CI99" si="98">SUM(BP10,BP21,BP32,BP43,BP54,BP65,BP76,BP87)</f>
        <v>24583.333333333332</v>
      </c>
      <c r="BQ99" s="33">
        <f t="shared" si="98"/>
        <v>24583.333333333332</v>
      </c>
      <c r="BR99" s="33">
        <f t="shared" si="98"/>
        <v>24583.333333333332</v>
      </c>
      <c r="BS99" s="33">
        <f t="shared" si="98"/>
        <v>24583.333333333332</v>
      </c>
      <c r="BT99" s="33">
        <f t="shared" si="98"/>
        <v>24583.333333333332</v>
      </c>
      <c r="BU99" s="33">
        <f t="shared" si="98"/>
        <v>24583.333333333332</v>
      </c>
      <c r="BV99" s="33">
        <f t="shared" si="98"/>
        <v>24583.333333333332</v>
      </c>
      <c r="BW99" s="33">
        <f t="shared" si="98"/>
        <v>24583.333333333332</v>
      </c>
      <c r="BX99" s="33">
        <f t="shared" si="98"/>
        <v>24583.333333333332</v>
      </c>
      <c r="BY99" s="33">
        <f t="shared" si="98"/>
        <v>24583.333333333332</v>
      </c>
      <c r="BZ99" s="33">
        <f t="shared" si="98"/>
        <v>24583.333333333332</v>
      </c>
      <c r="CA99" s="33">
        <f t="shared" si="98"/>
        <v>24583.333333333332</v>
      </c>
      <c r="CB99" s="33">
        <f t="shared" si="98"/>
        <v>24583.333333333332</v>
      </c>
      <c r="CC99" s="33">
        <f t="shared" si="98"/>
        <v>24583.333333333332</v>
      </c>
      <c r="CD99" s="33">
        <f t="shared" si="98"/>
        <v>24583.333333333332</v>
      </c>
      <c r="CE99" s="33">
        <f t="shared" si="98"/>
        <v>24583.333333333332</v>
      </c>
      <c r="CF99" s="33">
        <f t="shared" si="98"/>
        <v>24583.333333333332</v>
      </c>
      <c r="CG99" s="33">
        <f t="shared" si="98"/>
        <v>24583.333333333332</v>
      </c>
      <c r="CH99" s="33">
        <f t="shared" si="98"/>
        <v>24583.333333333332</v>
      </c>
      <c r="CI99" s="33">
        <f t="shared" si="98"/>
        <v>24583.333333333332</v>
      </c>
    </row>
    <row r="100" spans="1:87" ht="16">
      <c r="A100" s="5" t="s">
        <v>594</v>
      </c>
      <c r="B100" s="30" t="s">
        <v>465</v>
      </c>
      <c r="C100" s="15"/>
      <c r="D100" s="33">
        <f t="shared" ref="D100:AI100" si="99">SUM(D11,D22,D33,D44,D55,D66,D77,D88)</f>
        <v>0</v>
      </c>
      <c r="E100" s="33">
        <f t="shared" si="99"/>
        <v>0</v>
      </c>
      <c r="F100" s="33">
        <f t="shared" si="99"/>
        <v>0</v>
      </c>
      <c r="G100" s="33">
        <f t="shared" si="99"/>
        <v>0</v>
      </c>
      <c r="H100" s="33">
        <f t="shared" si="99"/>
        <v>0</v>
      </c>
      <c r="I100" s="33">
        <f t="shared" si="99"/>
        <v>0</v>
      </c>
      <c r="J100" s="33">
        <f t="shared" si="99"/>
        <v>0</v>
      </c>
      <c r="K100" s="33">
        <f t="shared" si="99"/>
        <v>0</v>
      </c>
      <c r="L100" s="33">
        <f t="shared" si="99"/>
        <v>0</v>
      </c>
      <c r="M100" s="33">
        <f t="shared" si="99"/>
        <v>0</v>
      </c>
      <c r="N100" s="33">
        <f t="shared" si="99"/>
        <v>0</v>
      </c>
      <c r="O100" s="33">
        <f t="shared" si="99"/>
        <v>0</v>
      </c>
      <c r="P100" s="33">
        <f t="shared" si="99"/>
        <v>0</v>
      </c>
      <c r="Q100" s="33">
        <f t="shared" si="99"/>
        <v>0</v>
      </c>
      <c r="R100" s="33">
        <f t="shared" si="99"/>
        <v>0</v>
      </c>
      <c r="S100" s="33">
        <f t="shared" si="99"/>
        <v>0</v>
      </c>
      <c r="T100" s="33">
        <f t="shared" si="99"/>
        <v>0</v>
      </c>
      <c r="U100" s="33">
        <f t="shared" si="99"/>
        <v>0</v>
      </c>
      <c r="V100" s="33">
        <f t="shared" si="99"/>
        <v>0</v>
      </c>
      <c r="W100" s="33">
        <f t="shared" si="99"/>
        <v>0</v>
      </c>
      <c r="X100" s="33">
        <f t="shared" si="99"/>
        <v>0</v>
      </c>
      <c r="Y100" s="33">
        <f t="shared" si="99"/>
        <v>0</v>
      </c>
      <c r="Z100" s="33">
        <f t="shared" si="99"/>
        <v>0</v>
      </c>
      <c r="AA100" s="33">
        <f t="shared" si="99"/>
        <v>0</v>
      </c>
      <c r="AB100" s="33">
        <f t="shared" si="99"/>
        <v>0</v>
      </c>
      <c r="AC100" s="33">
        <f t="shared" si="99"/>
        <v>0</v>
      </c>
      <c r="AD100" s="33">
        <f t="shared" si="99"/>
        <v>0</v>
      </c>
      <c r="AE100" s="33">
        <f t="shared" si="99"/>
        <v>0</v>
      </c>
      <c r="AF100" s="33">
        <f t="shared" si="99"/>
        <v>0</v>
      </c>
      <c r="AG100" s="33">
        <f t="shared" si="99"/>
        <v>0</v>
      </c>
      <c r="AH100" s="33">
        <f t="shared" si="99"/>
        <v>0</v>
      </c>
      <c r="AI100" s="33">
        <f t="shared" si="99"/>
        <v>0</v>
      </c>
      <c r="AJ100" s="33">
        <f t="shared" ref="AJ100:BO100" si="100">SUM(AJ11,AJ22,AJ33,AJ44,AJ55,AJ66,AJ77,AJ88)</f>
        <v>0</v>
      </c>
      <c r="AK100" s="33">
        <f t="shared" si="100"/>
        <v>0</v>
      </c>
      <c r="AL100" s="33">
        <f t="shared" si="100"/>
        <v>0</v>
      </c>
      <c r="AM100" s="33">
        <f t="shared" si="100"/>
        <v>0</v>
      </c>
      <c r="AN100" s="33">
        <f t="shared" si="100"/>
        <v>0</v>
      </c>
      <c r="AO100" s="33">
        <f t="shared" si="100"/>
        <v>0</v>
      </c>
      <c r="AP100" s="33">
        <f t="shared" si="100"/>
        <v>0</v>
      </c>
      <c r="AQ100" s="33">
        <f t="shared" si="100"/>
        <v>0</v>
      </c>
      <c r="AR100" s="33">
        <f t="shared" si="100"/>
        <v>0</v>
      </c>
      <c r="AS100" s="33">
        <f t="shared" si="100"/>
        <v>0</v>
      </c>
      <c r="AT100" s="33">
        <f t="shared" si="100"/>
        <v>0</v>
      </c>
      <c r="AU100" s="33">
        <f t="shared" si="100"/>
        <v>0</v>
      </c>
      <c r="AV100" s="33">
        <f t="shared" si="100"/>
        <v>0</v>
      </c>
      <c r="AW100" s="33">
        <f t="shared" si="100"/>
        <v>0</v>
      </c>
      <c r="AX100" s="33">
        <f t="shared" si="100"/>
        <v>0</v>
      </c>
      <c r="AY100" s="33">
        <f t="shared" si="100"/>
        <v>0</v>
      </c>
      <c r="AZ100" s="33">
        <f t="shared" si="100"/>
        <v>0</v>
      </c>
      <c r="BA100" s="33">
        <f t="shared" si="100"/>
        <v>0</v>
      </c>
      <c r="BB100" s="33">
        <f t="shared" si="100"/>
        <v>0</v>
      </c>
      <c r="BC100" s="33">
        <f t="shared" si="100"/>
        <v>0</v>
      </c>
      <c r="BD100" s="33">
        <f t="shared" si="100"/>
        <v>0</v>
      </c>
      <c r="BE100" s="33">
        <f t="shared" si="100"/>
        <v>0</v>
      </c>
      <c r="BF100" s="33">
        <f t="shared" si="100"/>
        <v>0</v>
      </c>
      <c r="BG100" s="33">
        <f t="shared" si="100"/>
        <v>0</v>
      </c>
      <c r="BH100" s="33">
        <f t="shared" si="100"/>
        <v>0</v>
      </c>
      <c r="BI100" s="33">
        <f t="shared" si="100"/>
        <v>0</v>
      </c>
      <c r="BJ100" s="33">
        <f t="shared" si="100"/>
        <v>0</v>
      </c>
      <c r="BK100" s="33">
        <f t="shared" si="100"/>
        <v>0</v>
      </c>
      <c r="BL100" s="33">
        <f t="shared" si="100"/>
        <v>0</v>
      </c>
      <c r="BM100" s="33">
        <f t="shared" si="100"/>
        <v>0</v>
      </c>
      <c r="BN100" s="33">
        <f t="shared" si="100"/>
        <v>0</v>
      </c>
      <c r="BO100" s="33">
        <f t="shared" si="100"/>
        <v>0</v>
      </c>
      <c r="BP100" s="33">
        <f t="shared" ref="BP100:CI100" si="101">SUM(BP11,BP22,BP33,BP44,BP55,BP66,BP77,BP88)</f>
        <v>0</v>
      </c>
      <c r="BQ100" s="33">
        <f t="shared" si="101"/>
        <v>0</v>
      </c>
      <c r="BR100" s="33">
        <f t="shared" si="101"/>
        <v>0</v>
      </c>
      <c r="BS100" s="33">
        <f t="shared" si="101"/>
        <v>0</v>
      </c>
      <c r="BT100" s="33">
        <f t="shared" si="101"/>
        <v>0</v>
      </c>
      <c r="BU100" s="33">
        <f t="shared" si="101"/>
        <v>0</v>
      </c>
      <c r="BV100" s="33">
        <f t="shared" si="101"/>
        <v>0</v>
      </c>
      <c r="BW100" s="33">
        <f t="shared" si="101"/>
        <v>0</v>
      </c>
      <c r="BX100" s="33">
        <f t="shared" si="101"/>
        <v>0</v>
      </c>
      <c r="BY100" s="33">
        <f t="shared" si="101"/>
        <v>0</v>
      </c>
      <c r="BZ100" s="33">
        <f t="shared" si="101"/>
        <v>0</v>
      </c>
      <c r="CA100" s="33">
        <f t="shared" si="101"/>
        <v>0</v>
      </c>
      <c r="CB100" s="33">
        <f t="shared" si="101"/>
        <v>0</v>
      </c>
      <c r="CC100" s="33">
        <f t="shared" si="101"/>
        <v>0</v>
      </c>
      <c r="CD100" s="33">
        <f t="shared" si="101"/>
        <v>0</v>
      </c>
      <c r="CE100" s="33">
        <f t="shared" si="101"/>
        <v>0</v>
      </c>
      <c r="CF100" s="33">
        <f t="shared" si="101"/>
        <v>0</v>
      </c>
      <c r="CG100" s="33">
        <f t="shared" si="101"/>
        <v>0</v>
      </c>
      <c r="CH100" s="33">
        <f t="shared" si="101"/>
        <v>0</v>
      </c>
      <c r="CI100" s="33">
        <f t="shared" si="101"/>
        <v>0</v>
      </c>
    </row>
    <row r="101" spans="1:87" ht="16">
      <c r="A101" s="5" t="s">
        <v>595</v>
      </c>
      <c r="B101" s="30" t="s">
        <v>465</v>
      </c>
      <c r="C101" s="15"/>
      <c r="D101" s="33">
        <f t="shared" ref="D101:AI101" si="102">SUM(D12,D23,D34,D45,D56,D67,D78,D89)</f>
        <v>6000</v>
      </c>
      <c r="E101" s="33">
        <f t="shared" si="102"/>
        <v>6000</v>
      </c>
      <c r="F101" s="33">
        <f t="shared" si="102"/>
        <v>6000</v>
      </c>
      <c r="G101" s="33">
        <f t="shared" si="102"/>
        <v>6000</v>
      </c>
      <c r="H101" s="33">
        <f t="shared" si="102"/>
        <v>6000</v>
      </c>
      <c r="I101" s="33">
        <f t="shared" si="102"/>
        <v>6000</v>
      </c>
      <c r="J101" s="33">
        <f t="shared" si="102"/>
        <v>6000</v>
      </c>
      <c r="K101" s="33">
        <f t="shared" si="102"/>
        <v>6000</v>
      </c>
      <c r="L101" s="33">
        <f t="shared" si="102"/>
        <v>6000</v>
      </c>
      <c r="M101" s="33">
        <f t="shared" si="102"/>
        <v>6000</v>
      </c>
      <c r="N101" s="33">
        <f t="shared" si="102"/>
        <v>6000</v>
      </c>
      <c r="O101" s="33">
        <f t="shared" si="102"/>
        <v>6000</v>
      </c>
      <c r="P101" s="33">
        <f t="shared" si="102"/>
        <v>18750</v>
      </c>
      <c r="Q101" s="33">
        <f t="shared" si="102"/>
        <v>18750</v>
      </c>
      <c r="R101" s="33">
        <f t="shared" si="102"/>
        <v>18750</v>
      </c>
      <c r="S101" s="33">
        <f t="shared" si="102"/>
        <v>18750</v>
      </c>
      <c r="T101" s="33">
        <f t="shared" si="102"/>
        <v>18750</v>
      </c>
      <c r="U101" s="33">
        <f t="shared" si="102"/>
        <v>18750</v>
      </c>
      <c r="V101" s="33">
        <f t="shared" si="102"/>
        <v>21083.333333333332</v>
      </c>
      <c r="W101" s="33">
        <f t="shared" si="102"/>
        <v>21083.333333333332</v>
      </c>
      <c r="X101" s="33">
        <f t="shared" si="102"/>
        <v>21083.333333333332</v>
      </c>
      <c r="Y101" s="33">
        <f t="shared" si="102"/>
        <v>21083.333333333332</v>
      </c>
      <c r="Z101" s="33">
        <f t="shared" si="102"/>
        <v>21083.333333333332</v>
      </c>
      <c r="AA101" s="33">
        <f t="shared" si="102"/>
        <v>21083.333333333332</v>
      </c>
      <c r="AB101" s="33">
        <f t="shared" si="102"/>
        <v>24583.333333333332</v>
      </c>
      <c r="AC101" s="33">
        <f t="shared" si="102"/>
        <v>24583.333333333332</v>
      </c>
      <c r="AD101" s="33">
        <f t="shared" si="102"/>
        <v>24583.333333333332</v>
      </c>
      <c r="AE101" s="33">
        <f t="shared" si="102"/>
        <v>24583.333333333332</v>
      </c>
      <c r="AF101" s="33">
        <f t="shared" si="102"/>
        <v>24583.333333333332</v>
      </c>
      <c r="AG101" s="33">
        <f t="shared" si="102"/>
        <v>24583.333333333332</v>
      </c>
      <c r="AH101" s="33">
        <f t="shared" si="102"/>
        <v>24583.333333333332</v>
      </c>
      <c r="AI101" s="33">
        <f t="shared" si="102"/>
        <v>24583.333333333332</v>
      </c>
      <c r="AJ101" s="33">
        <f t="shared" ref="AJ101:BO101" si="103">SUM(AJ12,AJ23,AJ34,AJ45,AJ56,AJ67,AJ78,AJ89)</f>
        <v>24583.333333333332</v>
      </c>
      <c r="AK101" s="33">
        <f t="shared" si="103"/>
        <v>24583.333333333332</v>
      </c>
      <c r="AL101" s="33">
        <f t="shared" si="103"/>
        <v>24583.333333333332</v>
      </c>
      <c r="AM101" s="33">
        <f t="shared" si="103"/>
        <v>24583.333333333332</v>
      </c>
      <c r="AN101" s="33">
        <f t="shared" si="103"/>
        <v>24583.333333333332</v>
      </c>
      <c r="AO101" s="33">
        <f t="shared" si="103"/>
        <v>24583.333333333332</v>
      </c>
      <c r="AP101" s="33">
        <f t="shared" si="103"/>
        <v>24583.333333333332</v>
      </c>
      <c r="AQ101" s="33">
        <f t="shared" si="103"/>
        <v>24583.333333333332</v>
      </c>
      <c r="AR101" s="33">
        <f t="shared" si="103"/>
        <v>24583.333333333332</v>
      </c>
      <c r="AS101" s="33">
        <f t="shared" si="103"/>
        <v>24583.333333333332</v>
      </c>
      <c r="AT101" s="33">
        <f t="shared" si="103"/>
        <v>24583.333333333332</v>
      </c>
      <c r="AU101" s="33">
        <f t="shared" si="103"/>
        <v>24583.333333333332</v>
      </c>
      <c r="AV101" s="33">
        <f t="shared" si="103"/>
        <v>24583.333333333332</v>
      </c>
      <c r="AW101" s="33">
        <f t="shared" si="103"/>
        <v>24583.333333333332</v>
      </c>
      <c r="AX101" s="33">
        <f t="shared" si="103"/>
        <v>24583.333333333332</v>
      </c>
      <c r="AY101" s="33">
        <f t="shared" si="103"/>
        <v>24583.333333333332</v>
      </c>
      <c r="AZ101" s="33">
        <f t="shared" si="103"/>
        <v>24583.333333333332</v>
      </c>
      <c r="BA101" s="33">
        <f t="shared" si="103"/>
        <v>24583.333333333332</v>
      </c>
      <c r="BB101" s="33">
        <f t="shared" si="103"/>
        <v>24583.333333333332</v>
      </c>
      <c r="BC101" s="33">
        <f t="shared" si="103"/>
        <v>24583.333333333332</v>
      </c>
      <c r="BD101" s="33">
        <f t="shared" si="103"/>
        <v>24583.333333333332</v>
      </c>
      <c r="BE101" s="33">
        <f t="shared" si="103"/>
        <v>24583.333333333332</v>
      </c>
      <c r="BF101" s="33">
        <f t="shared" si="103"/>
        <v>24583.333333333332</v>
      </c>
      <c r="BG101" s="33">
        <f t="shared" si="103"/>
        <v>24583.333333333332</v>
      </c>
      <c r="BH101" s="33">
        <f t="shared" si="103"/>
        <v>24583.333333333332</v>
      </c>
      <c r="BI101" s="33">
        <f t="shared" si="103"/>
        <v>24583.333333333332</v>
      </c>
      <c r="BJ101" s="33">
        <f t="shared" si="103"/>
        <v>24583.333333333332</v>
      </c>
      <c r="BK101" s="33">
        <f t="shared" si="103"/>
        <v>24583.333333333332</v>
      </c>
      <c r="BL101" s="33">
        <f t="shared" si="103"/>
        <v>24583.333333333332</v>
      </c>
      <c r="BM101" s="33">
        <f t="shared" si="103"/>
        <v>24583.333333333332</v>
      </c>
      <c r="BN101" s="33">
        <f t="shared" si="103"/>
        <v>24583.333333333332</v>
      </c>
      <c r="BO101" s="33">
        <f t="shared" si="103"/>
        <v>24583.333333333332</v>
      </c>
      <c r="BP101" s="33">
        <f t="shared" ref="BP101:CI101" si="104">SUM(BP12,BP23,BP34,BP45,BP56,BP67,BP78,BP89)</f>
        <v>24583.333333333332</v>
      </c>
      <c r="BQ101" s="33">
        <f t="shared" si="104"/>
        <v>24583.333333333332</v>
      </c>
      <c r="BR101" s="33">
        <f t="shared" si="104"/>
        <v>24583.333333333332</v>
      </c>
      <c r="BS101" s="33">
        <f t="shared" si="104"/>
        <v>24583.333333333332</v>
      </c>
      <c r="BT101" s="33">
        <f t="shared" si="104"/>
        <v>24583.333333333332</v>
      </c>
      <c r="BU101" s="33">
        <f t="shared" si="104"/>
        <v>24583.333333333332</v>
      </c>
      <c r="BV101" s="33">
        <f t="shared" si="104"/>
        <v>24583.333333333332</v>
      </c>
      <c r="BW101" s="33">
        <f t="shared" si="104"/>
        <v>24583.333333333332</v>
      </c>
      <c r="BX101" s="33">
        <f t="shared" si="104"/>
        <v>24583.333333333332</v>
      </c>
      <c r="BY101" s="33">
        <f t="shared" si="104"/>
        <v>24583.333333333332</v>
      </c>
      <c r="BZ101" s="33">
        <f t="shared" si="104"/>
        <v>24583.333333333332</v>
      </c>
      <c r="CA101" s="33">
        <f t="shared" si="104"/>
        <v>24583.333333333332</v>
      </c>
      <c r="CB101" s="33">
        <f t="shared" si="104"/>
        <v>24583.333333333332</v>
      </c>
      <c r="CC101" s="33">
        <f t="shared" si="104"/>
        <v>24583.333333333332</v>
      </c>
      <c r="CD101" s="33">
        <f t="shared" si="104"/>
        <v>24583.333333333332</v>
      </c>
      <c r="CE101" s="33">
        <f t="shared" si="104"/>
        <v>24583.333333333332</v>
      </c>
      <c r="CF101" s="33">
        <f t="shared" si="104"/>
        <v>24583.333333333332</v>
      </c>
      <c r="CG101" s="33">
        <f t="shared" si="104"/>
        <v>24583.333333333332</v>
      </c>
      <c r="CH101" s="33">
        <f t="shared" si="104"/>
        <v>24583.333333333332</v>
      </c>
      <c r="CI101" s="33">
        <f t="shared" si="104"/>
        <v>24583.333333333332</v>
      </c>
    </row>
    <row r="102" spans="1:87" ht="16">
      <c r="A102" s="5" t="s">
        <v>596</v>
      </c>
      <c r="B102" s="30" t="s">
        <v>465</v>
      </c>
      <c r="C102" s="15"/>
      <c r="D102" s="33">
        <f t="shared" ref="D102:AI102" si="105">SUM(D13,D24,D35,D46,D57,D68,D79,D90)</f>
        <v>6000</v>
      </c>
      <c r="E102" s="33">
        <f t="shared" si="105"/>
        <v>6000</v>
      </c>
      <c r="F102" s="33">
        <f t="shared" si="105"/>
        <v>6000</v>
      </c>
      <c r="G102" s="33">
        <f t="shared" si="105"/>
        <v>6000</v>
      </c>
      <c r="H102" s="33">
        <f t="shared" si="105"/>
        <v>6000</v>
      </c>
      <c r="I102" s="33">
        <f t="shared" si="105"/>
        <v>6000</v>
      </c>
      <c r="J102" s="33">
        <f t="shared" si="105"/>
        <v>6000</v>
      </c>
      <c r="K102" s="33">
        <f t="shared" si="105"/>
        <v>6000</v>
      </c>
      <c r="L102" s="33">
        <f t="shared" si="105"/>
        <v>6000</v>
      </c>
      <c r="M102" s="33">
        <f t="shared" si="105"/>
        <v>6000</v>
      </c>
      <c r="N102" s="33">
        <f t="shared" si="105"/>
        <v>6000</v>
      </c>
      <c r="O102" s="33">
        <f t="shared" si="105"/>
        <v>6000</v>
      </c>
      <c r="P102" s="33">
        <f t="shared" si="105"/>
        <v>18750</v>
      </c>
      <c r="Q102" s="33">
        <f t="shared" si="105"/>
        <v>18750</v>
      </c>
      <c r="R102" s="33">
        <f t="shared" si="105"/>
        <v>18750</v>
      </c>
      <c r="S102" s="33">
        <f t="shared" si="105"/>
        <v>18750</v>
      </c>
      <c r="T102" s="33">
        <f t="shared" si="105"/>
        <v>18750</v>
      </c>
      <c r="U102" s="33">
        <f t="shared" si="105"/>
        <v>18750</v>
      </c>
      <c r="V102" s="33">
        <f t="shared" si="105"/>
        <v>21083.333333333332</v>
      </c>
      <c r="W102" s="33">
        <f t="shared" si="105"/>
        <v>21083.333333333332</v>
      </c>
      <c r="X102" s="33">
        <f t="shared" si="105"/>
        <v>21083.333333333332</v>
      </c>
      <c r="Y102" s="33">
        <f t="shared" si="105"/>
        <v>21083.333333333332</v>
      </c>
      <c r="Z102" s="33">
        <f t="shared" si="105"/>
        <v>21083.333333333332</v>
      </c>
      <c r="AA102" s="33">
        <f t="shared" si="105"/>
        <v>21083.333333333332</v>
      </c>
      <c r="AB102" s="33">
        <f t="shared" si="105"/>
        <v>24583.333333333332</v>
      </c>
      <c r="AC102" s="33">
        <f t="shared" si="105"/>
        <v>24583.333333333332</v>
      </c>
      <c r="AD102" s="33">
        <f t="shared" si="105"/>
        <v>24583.333333333332</v>
      </c>
      <c r="AE102" s="33">
        <f t="shared" si="105"/>
        <v>24583.333333333332</v>
      </c>
      <c r="AF102" s="33">
        <f t="shared" si="105"/>
        <v>24583.333333333332</v>
      </c>
      <c r="AG102" s="33">
        <f t="shared" si="105"/>
        <v>24583.333333333332</v>
      </c>
      <c r="AH102" s="33">
        <f t="shared" si="105"/>
        <v>24583.333333333332</v>
      </c>
      <c r="AI102" s="33">
        <f t="shared" si="105"/>
        <v>24583.333333333332</v>
      </c>
      <c r="AJ102" s="33">
        <f t="shared" ref="AJ102:BO102" si="106">SUM(AJ13,AJ24,AJ35,AJ46,AJ57,AJ68,AJ79,AJ90)</f>
        <v>24583.333333333332</v>
      </c>
      <c r="AK102" s="33">
        <f t="shared" si="106"/>
        <v>24583.333333333332</v>
      </c>
      <c r="AL102" s="33">
        <f t="shared" si="106"/>
        <v>24583.333333333332</v>
      </c>
      <c r="AM102" s="33">
        <f t="shared" si="106"/>
        <v>24583.333333333332</v>
      </c>
      <c r="AN102" s="33">
        <f t="shared" si="106"/>
        <v>24583.333333333332</v>
      </c>
      <c r="AO102" s="33">
        <f t="shared" si="106"/>
        <v>24583.333333333332</v>
      </c>
      <c r="AP102" s="33">
        <f t="shared" si="106"/>
        <v>24583.333333333332</v>
      </c>
      <c r="AQ102" s="33">
        <f t="shared" si="106"/>
        <v>24583.333333333332</v>
      </c>
      <c r="AR102" s="33">
        <f t="shared" si="106"/>
        <v>24583.333333333332</v>
      </c>
      <c r="AS102" s="33">
        <f t="shared" si="106"/>
        <v>24583.333333333332</v>
      </c>
      <c r="AT102" s="33">
        <f t="shared" si="106"/>
        <v>24583.333333333332</v>
      </c>
      <c r="AU102" s="33">
        <f t="shared" si="106"/>
        <v>24583.333333333332</v>
      </c>
      <c r="AV102" s="33">
        <f t="shared" si="106"/>
        <v>24583.333333333332</v>
      </c>
      <c r="AW102" s="33">
        <f t="shared" si="106"/>
        <v>24583.333333333332</v>
      </c>
      <c r="AX102" s="33">
        <f t="shared" si="106"/>
        <v>24583.333333333332</v>
      </c>
      <c r="AY102" s="33">
        <f t="shared" si="106"/>
        <v>24583.333333333332</v>
      </c>
      <c r="AZ102" s="33">
        <f t="shared" si="106"/>
        <v>24583.333333333332</v>
      </c>
      <c r="BA102" s="33">
        <f t="shared" si="106"/>
        <v>24583.333333333332</v>
      </c>
      <c r="BB102" s="33">
        <f t="shared" si="106"/>
        <v>24583.333333333332</v>
      </c>
      <c r="BC102" s="33">
        <f t="shared" si="106"/>
        <v>24583.333333333332</v>
      </c>
      <c r="BD102" s="33">
        <f t="shared" si="106"/>
        <v>24583.333333333332</v>
      </c>
      <c r="BE102" s="33">
        <f t="shared" si="106"/>
        <v>24583.333333333332</v>
      </c>
      <c r="BF102" s="33">
        <f t="shared" si="106"/>
        <v>24583.333333333332</v>
      </c>
      <c r="BG102" s="33">
        <f t="shared" si="106"/>
        <v>24583.333333333332</v>
      </c>
      <c r="BH102" s="33">
        <f t="shared" si="106"/>
        <v>24583.333333333332</v>
      </c>
      <c r="BI102" s="33">
        <f t="shared" si="106"/>
        <v>24583.333333333332</v>
      </c>
      <c r="BJ102" s="33">
        <f t="shared" si="106"/>
        <v>24583.333333333332</v>
      </c>
      <c r="BK102" s="33">
        <f t="shared" si="106"/>
        <v>24583.333333333332</v>
      </c>
      <c r="BL102" s="33">
        <f t="shared" si="106"/>
        <v>24583.333333333332</v>
      </c>
      <c r="BM102" s="33">
        <f t="shared" si="106"/>
        <v>24583.333333333332</v>
      </c>
      <c r="BN102" s="33">
        <f t="shared" si="106"/>
        <v>24583.333333333332</v>
      </c>
      <c r="BO102" s="33">
        <f t="shared" si="106"/>
        <v>24583.333333333332</v>
      </c>
      <c r="BP102" s="33">
        <f t="shared" ref="BP102:CI102" si="107">SUM(BP13,BP24,BP35,BP46,BP57,BP68,BP79,BP90)</f>
        <v>24583.333333333332</v>
      </c>
      <c r="BQ102" s="33">
        <f t="shared" si="107"/>
        <v>24583.333333333332</v>
      </c>
      <c r="BR102" s="33">
        <f t="shared" si="107"/>
        <v>24583.333333333332</v>
      </c>
      <c r="BS102" s="33">
        <f t="shared" si="107"/>
        <v>24583.333333333332</v>
      </c>
      <c r="BT102" s="33">
        <f t="shared" si="107"/>
        <v>24583.333333333332</v>
      </c>
      <c r="BU102" s="33">
        <f t="shared" si="107"/>
        <v>24583.333333333332</v>
      </c>
      <c r="BV102" s="33">
        <f t="shared" si="107"/>
        <v>24583.333333333332</v>
      </c>
      <c r="BW102" s="33">
        <f t="shared" si="107"/>
        <v>24583.333333333332</v>
      </c>
      <c r="BX102" s="33">
        <f t="shared" si="107"/>
        <v>24583.333333333332</v>
      </c>
      <c r="BY102" s="33">
        <f t="shared" si="107"/>
        <v>24583.333333333332</v>
      </c>
      <c r="BZ102" s="33">
        <f t="shared" si="107"/>
        <v>24583.333333333332</v>
      </c>
      <c r="CA102" s="33">
        <f t="shared" si="107"/>
        <v>24583.333333333332</v>
      </c>
      <c r="CB102" s="33">
        <f t="shared" si="107"/>
        <v>24583.333333333332</v>
      </c>
      <c r="CC102" s="33">
        <f t="shared" si="107"/>
        <v>24583.333333333332</v>
      </c>
      <c r="CD102" s="33">
        <f t="shared" si="107"/>
        <v>24583.333333333332</v>
      </c>
      <c r="CE102" s="33">
        <f t="shared" si="107"/>
        <v>24583.333333333332</v>
      </c>
      <c r="CF102" s="33">
        <f t="shared" si="107"/>
        <v>24583.333333333332</v>
      </c>
      <c r="CG102" s="33">
        <f t="shared" si="107"/>
        <v>24583.333333333332</v>
      </c>
      <c r="CH102" s="33">
        <f t="shared" si="107"/>
        <v>24583.333333333332</v>
      </c>
      <c r="CI102" s="33">
        <f t="shared" si="107"/>
        <v>24583.333333333332</v>
      </c>
    </row>
    <row r="103" spans="1:87" ht="16">
      <c r="A103" s="5" t="s">
        <v>597</v>
      </c>
      <c r="B103" s="30" t="s">
        <v>465</v>
      </c>
      <c r="C103" s="15"/>
      <c r="D103" s="33">
        <f t="shared" ref="D103:AI103" si="108">SUM(D14,D25,D36,D47,D58,D69,D80,D91)</f>
        <v>6000</v>
      </c>
      <c r="E103" s="33">
        <f t="shared" si="108"/>
        <v>6000</v>
      </c>
      <c r="F103" s="33">
        <f t="shared" si="108"/>
        <v>6000</v>
      </c>
      <c r="G103" s="33">
        <f t="shared" si="108"/>
        <v>6000</v>
      </c>
      <c r="H103" s="33">
        <f t="shared" si="108"/>
        <v>6000</v>
      </c>
      <c r="I103" s="33">
        <f t="shared" si="108"/>
        <v>6000</v>
      </c>
      <c r="J103" s="33">
        <f t="shared" si="108"/>
        <v>6000</v>
      </c>
      <c r="K103" s="33">
        <f t="shared" si="108"/>
        <v>6000</v>
      </c>
      <c r="L103" s="33">
        <f t="shared" si="108"/>
        <v>6000</v>
      </c>
      <c r="M103" s="33">
        <f t="shared" si="108"/>
        <v>6000</v>
      </c>
      <c r="N103" s="33">
        <f t="shared" si="108"/>
        <v>6000</v>
      </c>
      <c r="O103" s="33">
        <f t="shared" si="108"/>
        <v>6000</v>
      </c>
      <c r="P103" s="33">
        <f t="shared" si="108"/>
        <v>18750</v>
      </c>
      <c r="Q103" s="33">
        <f t="shared" si="108"/>
        <v>18750</v>
      </c>
      <c r="R103" s="33">
        <f t="shared" si="108"/>
        <v>18750</v>
      </c>
      <c r="S103" s="33">
        <f t="shared" si="108"/>
        <v>18750</v>
      </c>
      <c r="T103" s="33">
        <f t="shared" si="108"/>
        <v>18750</v>
      </c>
      <c r="U103" s="33">
        <f t="shared" si="108"/>
        <v>18750</v>
      </c>
      <c r="V103" s="33">
        <f t="shared" si="108"/>
        <v>21083.333333333332</v>
      </c>
      <c r="W103" s="33">
        <f t="shared" si="108"/>
        <v>21083.333333333332</v>
      </c>
      <c r="X103" s="33">
        <f t="shared" si="108"/>
        <v>21083.333333333332</v>
      </c>
      <c r="Y103" s="33">
        <f t="shared" si="108"/>
        <v>21083.333333333332</v>
      </c>
      <c r="Z103" s="33">
        <f t="shared" si="108"/>
        <v>21083.333333333332</v>
      </c>
      <c r="AA103" s="33">
        <f t="shared" si="108"/>
        <v>21083.333333333332</v>
      </c>
      <c r="AB103" s="33">
        <f t="shared" si="108"/>
        <v>24583.333333333332</v>
      </c>
      <c r="AC103" s="33">
        <f t="shared" si="108"/>
        <v>24583.333333333332</v>
      </c>
      <c r="AD103" s="33">
        <f t="shared" si="108"/>
        <v>24583.333333333332</v>
      </c>
      <c r="AE103" s="33">
        <f t="shared" si="108"/>
        <v>24583.333333333332</v>
      </c>
      <c r="AF103" s="33">
        <f t="shared" si="108"/>
        <v>24583.333333333332</v>
      </c>
      <c r="AG103" s="33">
        <f t="shared" si="108"/>
        <v>24583.333333333332</v>
      </c>
      <c r="AH103" s="33">
        <f t="shared" si="108"/>
        <v>24583.333333333332</v>
      </c>
      <c r="AI103" s="33">
        <f t="shared" si="108"/>
        <v>24583.333333333332</v>
      </c>
      <c r="AJ103" s="33">
        <f t="shared" ref="AJ103:BO103" si="109">SUM(AJ14,AJ25,AJ36,AJ47,AJ58,AJ69,AJ80,AJ91)</f>
        <v>24583.333333333332</v>
      </c>
      <c r="AK103" s="33">
        <f t="shared" si="109"/>
        <v>24583.333333333332</v>
      </c>
      <c r="AL103" s="33">
        <f t="shared" si="109"/>
        <v>24583.333333333332</v>
      </c>
      <c r="AM103" s="33">
        <f t="shared" si="109"/>
        <v>24583.333333333332</v>
      </c>
      <c r="AN103" s="33">
        <f t="shared" si="109"/>
        <v>24583.333333333332</v>
      </c>
      <c r="AO103" s="33">
        <f t="shared" si="109"/>
        <v>24583.333333333332</v>
      </c>
      <c r="AP103" s="33">
        <f t="shared" si="109"/>
        <v>24583.333333333332</v>
      </c>
      <c r="AQ103" s="33">
        <f t="shared" si="109"/>
        <v>24583.333333333332</v>
      </c>
      <c r="AR103" s="33">
        <f t="shared" si="109"/>
        <v>24583.333333333332</v>
      </c>
      <c r="AS103" s="33">
        <f t="shared" si="109"/>
        <v>24583.333333333332</v>
      </c>
      <c r="AT103" s="33">
        <f t="shared" si="109"/>
        <v>24583.333333333332</v>
      </c>
      <c r="AU103" s="33">
        <f t="shared" si="109"/>
        <v>24583.333333333332</v>
      </c>
      <c r="AV103" s="33">
        <f t="shared" si="109"/>
        <v>24583.333333333332</v>
      </c>
      <c r="AW103" s="33">
        <f t="shared" si="109"/>
        <v>24583.333333333332</v>
      </c>
      <c r="AX103" s="33">
        <f t="shared" si="109"/>
        <v>24583.333333333332</v>
      </c>
      <c r="AY103" s="33">
        <f t="shared" si="109"/>
        <v>24583.333333333332</v>
      </c>
      <c r="AZ103" s="33">
        <f t="shared" si="109"/>
        <v>24583.333333333332</v>
      </c>
      <c r="BA103" s="33">
        <f t="shared" si="109"/>
        <v>24583.333333333332</v>
      </c>
      <c r="BB103" s="33">
        <f t="shared" si="109"/>
        <v>24583.333333333332</v>
      </c>
      <c r="BC103" s="33">
        <f t="shared" si="109"/>
        <v>24583.333333333332</v>
      </c>
      <c r="BD103" s="33">
        <f t="shared" si="109"/>
        <v>24583.333333333332</v>
      </c>
      <c r="BE103" s="33">
        <f t="shared" si="109"/>
        <v>24583.333333333332</v>
      </c>
      <c r="BF103" s="33">
        <f t="shared" si="109"/>
        <v>24583.333333333332</v>
      </c>
      <c r="BG103" s="33">
        <f t="shared" si="109"/>
        <v>24583.333333333332</v>
      </c>
      <c r="BH103" s="33">
        <f t="shared" si="109"/>
        <v>24583.333333333332</v>
      </c>
      <c r="BI103" s="33">
        <f t="shared" si="109"/>
        <v>24583.333333333332</v>
      </c>
      <c r="BJ103" s="33">
        <f t="shared" si="109"/>
        <v>24583.333333333332</v>
      </c>
      <c r="BK103" s="33">
        <f t="shared" si="109"/>
        <v>24583.333333333332</v>
      </c>
      <c r="BL103" s="33">
        <f t="shared" si="109"/>
        <v>24583.333333333332</v>
      </c>
      <c r="BM103" s="33">
        <f t="shared" si="109"/>
        <v>24583.333333333332</v>
      </c>
      <c r="BN103" s="33">
        <f t="shared" si="109"/>
        <v>24583.333333333332</v>
      </c>
      <c r="BO103" s="33">
        <f t="shared" si="109"/>
        <v>24583.333333333332</v>
      </c>
      <c r="BP103" s="33">
        <f t="shared" ref="BP103:CI103" si="110">SUM(BP14,BP25,BP36,BP47,BP58,BP69,BP80,BP91)</f>
        <v>24583.333333333332</v>
      </c>
      <c r="BQ103" s="33">
        <f t="shared" si="110"/>
        <v>24583.333333333332</v>
      </c>
      <c r="BR103" s="33">
        <f t="shared" si="110"/>
        <v>24583.333333333332</v>
      </c>
      <c r="BS103" s="33">
        <f t="shared" si="110"/>
        <v>24583.333333333332</v>
      </c>
      <c r="BT103" s="33">
        <f t="shared" si="110"/>
        <v>24583.333333333332</v>
      </c>
      <c r="BU103" s="33">
        <f t="shared" si="110"/>
        <v>24583.333333333332</v>
      </c>
      <c r="BV103" s="33">
        <f t="shared" si="110"/>
        <v>24583.333333333332</v>
      </c>
      <c r="BW103" s="33">
        <f t="shared" si="110"/>
        <v>24583.333333333332</v>
      </c>
      <c r="BX103" s="33">
        <f t="shared" si="110"/>
        <v>24583.333333333332</v>
      </c>
      <c r="BY103" s="33">
        <f t="shared" si="110"/>
        <v>24583.333333333332</v>
      </c>
      <c r="BZ103" s="33">
        <f t="shared" si="110"/>
        <v>24583.333333333332</v>
      </c>
      <c r="CA103" s="33">
        <f t="shared" si="110"/>
        <v>24583.333333333332</v>
      </c>
      <c r="CB103" s="33">
        <f t="shared" si="110"/>
        <v>24583.333333333332</v>
      </c>
      <c r="CC103" s="33">
        <f t="shared" si="110"/>
        <v>24583.333333333332</v>
      </c>
      <c r="CD103" s="33">
        <f t="shared" si="110"/>
        <v>24583.333333333332</v>
      </c>
      <c r="CE103" s="33">
        <f t="shared" si="110"/>
        <v>24583.333333333332</v>
      </c>
      <c r="CF103" s="33">
        <f t="shared" si="110"/>
        <v>24583.333333333332</v>
      </c>
      <c r="CG103" s="33">
        <f t="shared" si="110"/>
        <v>24583.333333333332</v>
      </c>
      <c r="CH103" s="33">
        <f t="shared" si="110"/>
        <v>24583.333333333332</v>
      </c>
      <c r="CI103" s="33">
        <f t="shared" si="110"/>
        <v>24583.333333333332</v>
      </c>
    </row>
    <row r="104" spans="1:87" ht="16">
      <c r="A104" s="5" t="s">
        <v>598</v>
      </c>
      <c r="B104" s="30" t="s">
        <v>465</v>
      </c>
      <c r="C104" s="15"/>
      <c r="D104" s="33">
        <f t="shared" ref="D104:AI104" si="111">SUM(D15,D26,D37,D48,D59,D70,D81,D92)</f>
        <v>1794.76</v>
      </c>
      <c r="E104" s="33">
        <f t="shared" si="111"/>
        <v>1794.76</v>
      </c>
      <c r="F104" s="33">
        <f t="shared" si="111"/>
        <v>1794.76</v>
      </c>
      <c r="G104" s="33">
        <f t="shared" si="111"/>
        <v>1794.76</v>
      </c>
      <c r="H104" s="33">
        <f t="shared" si="111"/>
        <v>1794.76</v>
      </c>
      <c r="I104" s="33">
        <f t="shared" si="111"/>
        <v>1794.76</v>
      </c>
      <c r="J104" s="33">
        <f t="shared" si="111"/>
        <v>1794.76</v>
      </c>
      <c r="K104" s="33">
        <f t="shared" si="111"/>
        <v>1794.76</v>
      </c>
      <c r="L104" s="33">
        <f t="shared" si="111"/>
        <v>1794.76</v>
      </c>
      <c r="M104" s="33">
        <f t="shared" si="111"/>
        <v>1794.76</v>
      </c>
      <c r="N104" s="33">
        <f t="shared" si="111"/>
        <v>1794.76</v>
      </c>
      <c r="O104" s="33">
        <f t="shared" si="111"/>
        <v>1794.76</v>
      </c>
      <c r="P104" s="33">
        <f t="shared" si="111"/>
        <v>4443.01</v>
      </c>
      <c r="Q104" s="33">
        <f t="shared" si="111"/>
        <v>4443.01</v>
      </c>
      <c r="R104" s="33">
        <f t="shared" si="111"/>
        <v>4443.01</v>
      </c>
      <c r="S104" s="33">
        <f t="shared" si="111"/>
        <v>4443.01</v>
      </c>
      <c r="T104" s="33">
        <f t="shared" si="111"/>
        <v>4443.01</v>
      </c>
      <c r="U104" s="33">
        <f t="shared" si="111"/>
        <v>4443.01</v>
      </c>
      <c r="V104" s="33">
        <f t="shared" si="111"/>
        <v>5192.01</v>
      </c>
      <c r="W104" s="33">
        <f t="shared" si="111"/>
        <v>5192.01</v>
      </c>
      <c r="X104" s="33">
        <f t="shared" si="111"/>
        <v>5192.01</v>
      </c>
      <c r="Y104" s="33">
        <f t="shared" si="111"/>
        <v>5192.01</v>
      </c>
      <c r="Z104" s="33">
        <f t="shared" si="111"/>
        <v>5192.01</v>
      </c>
      <c r="AA104" s="33">
        <f t="shared" si="111"/>
        <v>5192.01</v>
      </c>
      <c r="AB104" s="33">
        <f t="shared" si="111"/>
        <v>5192.01</v>
      </c>
      <c r="AC104" s="33">
        <f t="shared" si="111"/>
        <v>5192.01</v>
      </c>
      <c r="AD104" s="33">
        <f t="shared" si="111"/>
        <v>5192.01</v>
      </c>
      <c r="AE104" s="33">
        <f t="shared" si="111"/>
        <v>5192.01</v>
      </c>
      <c r="AF104" s="33">
        <f t="shared" si="111"/>
        <v>5192.01</v>
      </c>
      <c r="AG104" s="33">
        <f t="shared" si="111"/>
        <v>5192.01</v>
      </c>
      <c r="AH104" s="33">
        <f t="shared" si="111"/>
        <v>5192.01</v>
      </c>
      <c r="AI104" s="33">
        <f t="shared" si="111"/>
        <v>5192.01</v>
      </c>
      <c r="AJ104" s="33">
        <f t="shared" ref="AJ104:BO104" si="112">SUM(AJ15,AJ26,AJ37,AJ48,AJ59,AJ70,AJ81,AJ92)</f>
        <v>5192.01</v>
      </c>
      <c r="AK104" s="33">
        <f t="shared" si="112"/>
        <v>5192.01</v>
      </c>
      <c r="AL104" s="33">
        <f t="shared" si="112"/>
        <v>5192.01</v>
      </c>
      <c r="AM104" s="33">
        <f t="shared" si="112"/>
        <v>5192.01</v>
      </c>
      <c r="AN104" s="33">
        <f t="shared" si="112"/>
        <v>5192.01</v>
      </c>
      <c r="AO104" s="33">
        <f t="shared" si="112"/>
        <v>5192.01</v>
      </c>
      <c r="AP104" s="33">
        <f t="shared" si="112"/>
        <v>5192.01</v>
      </c>
      <c r="AQ104" s="33">
        <f t="shared" si="112"/>
        <v>5192.01</v>
      </c>
      <c r="AR104" s="33">
        <f t="shared" si="112"/>
        <v>5192.01</v>
      </c>
      <c r="AS104" s="33">
        <f t="shared" si="112"/>
        <v>5192.01</v>
      </c>
      <c r="AT104" s="33">
        <f t="shared" si="112"/>
        <v>5192.01</v>
      </c>
      <c r="AU104" s="33">
        <f t="shared" si="112"/>
        <v>5192.01</v>
      </c>
      <c r="AV104" s="33">
        <f t="shared" si="112"/>
        <v>5192.01</v>
      </c>
      <c r="AW104" s="33">
        <f t="shared" si="112"/>
        <v>5192.01</v>
      </c>
      <c r="AX104" s="33">
        <f t="shared" si="112"/>
        <v>5192.01</v>
      </c>
      <c r="AY104" s="33">
        <f t="shared" si="112"/>
        <v>5192.01</v>
      </c>
      <c r="AZ104" s="33">
        <f t="shared" si="112"/>
        <v>5192.01</v>
      </c>
      <c r="BA104" s="33">
        <f t="shared" si="112"/>
        <v>5192.01</v>
      </c>
      <c r="BB104" s="33">
        <f t="shared" si="112"/>
        <v>5192.01</v>
      </c>
      <c r="BC104" s="33">
        <f t="shared" si="112"/>
        <v>5192.01</v>
      </c>
      <c r="BD104" s="33">
        <f t="shared" si="112"/>
        <v>5192.01</v>
      </c>
      <c r="BE104" s="33">
        <f t="shared" si="112"/>
        <v>5192.01</v>
      </c>
      <c r="BF104" s="33">
        <f t="shared" si="112"/>
        <v>5192.01</v>
      </c>
      <c r="BG104" s="33">
        <f t="shared" si="112"/>
        <v>5192.01</v>
      </c>
      <c r="BH104" s="33">
        <f t="shared" si="112"/>
        <v>5192.01</v>
      </c>
      <c r="BI104" s="33">
        <f t="shared" si="112"/>
        <v>5192.01</v>
      </c>
      <c r="BJ104" s="33">
        <f t="shared" si="112"/>
        <v>5192.01</v>
      </c>
      <c r="BK104" s="33">
        <f t="shared" si="112"/>
        <v>5192.01</v>
      </c>
      <c r="BL104" s="33">
        <f t="shared" si="112"/>
        <v>5192.01</v>
      </c>
      <c r="BM104" s="33">
        <f t="shared" si="112"/>
        <v>5192.01</v>
      </c>
      <c r="BN104" s="33">
        <f t="shared" si="112"/>
        <v>5192.01</v>
      </c>
      <c r="BO104" s="33">
        <f t="shared" si="112"/>
        <v>5192.01</v>
      </c>
      <c r="BP104" s="33">
        <f t="shared" ref="BP104:CI104" si="113">SUM(BP15,BP26,BP37,BP48,BP59,BP70,BP81,BP92)</f>
        <v>5192.01</v>
      </c>
      <c r="BQ104" s="33">
        <f t="shared" si="113"/>
        <v>5192.01</v>
      </c>
      <c r="BR104" s="33">
        <f t="shared" si="113"/>
        <v>5192.01</v>
      </c>
      <c r="BS104" s="33">
        <f t="shared" si="113"/>
        <v>5192.01</v>
      </c>
      <c r="BT104" s="33">
        <f t="shared" si="113"/>
        <v>5192.01</v>
      </c>
      <c r="BU104" s="33">
        <f t="shared" si="113"/>
        <v>5192.01</v>
      </c>
      <c r="BV104" s="33">
        <f t="shared" si="113"/>
        <v>5192.01</v>
      </c>
      <c r="BW104" s="33">
        <f t="shared" si="113"/>
        <v>5192.01</v>
      </c>
      <c r="BX104" s="33">
        <f t="shared" si="113"/>
        <v>5192.01</v>
      </c>
      <c r="BY104" s="33">
        <f t="shared" si="113"/>
        <v>5192.01</v>
      </c>
      <c r="BZ104" s="33">
        <f t="shared" si="113"/>
        <v>5192.01</v>
      </c>
      <c r="CA104" s="33">
        <f t="shared" si="113"/>
        <v>5192.01</v>
      </c>
      <c r="CB104" s="33">
        <f t="shared" si="113"/>
        <v>5192.01</v>
      </c>
      <c r="CC104" s="33">
        <f t="shared" si="113"/>
        <v>5192.01</v>
      </c>
      <c r="CD104" s="33">
        <f t="shared" si="113"/>
        <v>5192.01</v>
      </c>
      <c r="CE104" s="33">
        <f t="shared" si="113"/>
        <v>5192.01</v>
      </c>
      <c r="CF104" s="33">
        <f t="shared" si="113"/>
        <v>5192.01</v>
      </c>
      <c r="CG104" s="33">
        <f t="shared" si="113"/>
        <v>5192.01</v>
      </c>
      <c r="CH104" s="33">
        <f t="shared" si="113"/>
        <v>5192.01</v>
      </c>
      <c r="CI104" s="33">
        <f t="shared" si="113"/>
        <v>5192.01</v>
      </c>
    </row>
    <row r="105" spans="1:87" ht="16">
      <c r="A105" s="5" t="s">
        <v>599</v>
      </c>
      <c r="B105" s="30" t="s">
        <v>465</v>
      </c>
      <c r="C105" s="15"/>
      <c r="D105" s="33">
        <f t="shared" ref="D105:AI105" si="114">SUM(D16,D27,D38,D49,D60,D71,D82,D93)</f>
        <v>0</v>
      </c>
      <c r="E105" s="33">
        <f t="shared" si="114"/>
        <v>0</v>
      </c>
      <c r="F105" s="33">
        <f t="shared" si="114"/>
        <v>0</v>
      </c>
      <c r="G105" s="33">
        <f t="shared" si="114"/>
        <v>0</v>
      </c>
      <c r="H105" s="33">
        <f t="shared" si="114"/>
        <v>0</v>
      </c>
      <c r="I105" s="33">
        <f t="shared" si="114"/>
        <v>0</v>
      </c>
      <c r="J105" s="33">
        <f t="shared" si="114"/>
        <v>0</v>
      </c>
      <c r="K105" s="33">
        <f t="shared" si="114"/>
        <v>0</v>
      </c>
      <c r="L105" s="33">
        <f t="shared" si="114"/>
        <v>0</v>
      </c>
      <c r="M105" s="33">
        <f t="shared" si="114"/>
        <v>0</v>
      </c>
      <c r="N105" s="33">
        <f t="shared" si="114"/>
        <v>0</v>
      </c>
      <c r="O105" s="33">
        <f t="shared" si="114"/>
        <v>0</v>
      </c>
      <c r="P105" s="33">
        <f t="shared" si="114"/>
        <v>533.77499999999998</v>
      </c>
      <c r="Q105" s="33">
        <f t="shared" si="114"/>
        <v>533.77499999999998</v>
      </c>
      <c r="R105" s="33">
        <f t="shared" si="114"/>
        <v>533.77499999999998</v>
      </c>
      <c r="S105" s="33">
        <f t="shared" si="114"/>
        <v>533.77499999999998</v>
      </c>
      <c r="T105" s="33">
        <f t="shared" si="114"/>
        <v>533.77499999999998</v>
      </c>
      <c r="U105" s="33">
        <f t="shared" si="114"/>
        <v>533.77499999999998</v>
      </c>
      <c r="V105" s="33">
        <f t="shared" si="114"/>
        <v>684.74166666666667</v>
      </c>
      <c r="W105" s="33">
        <f t="shared" si="114"/>
        <v>684.74166666666667</v>
      </c>
      <c r="X105" s="33">
        <f t="shared" si="114"/>
        <v>684.74166666666667</v>
      </c>
      <c r="Y105" s="33">
        <f t="shared" si="114"/>
        <v>684.74166666666667</v>
      </c>
      <c r="Z105" s="33">
        <f t="shared" si="114"/>
        <v>684.74166666666667</v>
      </c>
      <c r="AA105" s="33">
        <f t="shared" si="114"/>
        <v>684.74166666666667</v>
      </c>
      <c r="AB105" s="33">
        <f t="shared" si="114"/>
        <v>684.74166666666667</v>
      </c>
      <c r="AC105" s="33">
        <f t="shared" si="114"/>
        <v>684.74166666666667</v>
      </c>
      <c r="AD105" s="33">
        <f t="shared" si="114"/>
        <v>684.74166666666667</v>
      </c>
      <c r="AE105" s="33">
        <f t="shared" si="114"/>
        <v>684.74166666666667</v>
      </c>
      <c r="AF105" s="33">
        <f t="shared" si="114"/>
        <v>684.74166666666667</v>
      </c>
      <c r="AG105" s="33">
        <f t="shared" si="114"/>
        <v>684.74166666666667</v>
      </c>
      <c r="AH105" s="33">
        <f t="shared" si="114"/>
        <v>684.74166666666667</v>
      </c>
      <c r="AI105" s="33">
        <f t="shared" si="114"/>
        <v>684.74166666666667</v>
      </c>
      <c r="AJ105" s="33">
        <f t="shared" ref="AJ105:BO105" si="115">SUM(AJ16,AJ27,AJ38,AJ49,AJ60,AJ71,AJ82,AJ93)</f>
        <v>684.74166666666667</v>
      </c>
      <c r="AK105" s="33">
        <f t="shared" si="115"/>
        <v>684.74166666666667</v>
      </c>
      <c r="AL105" s="33">
        <f t="shared" si="115"/>
        <v>684.74166666666667</v>
      </c>
      <c r="AM105" s="33">
        <f t="shared" si="115"/>
        <v>684.74166666666667</v>
      </c>
      <c r="AN105" s="33">
        <f t="shared" si="115"/>
        <v>684.74166666666667</v>
      </c>
      <c r="AO105" s="33">
        <f t="shared" si="115"/>
        <v>684.74166666666667</v>
      </c>
      <c r="AP105" s="33">
        <f t="shared" si="115"/>
        <v>684.74166666666667</v>
      </c>
      <c r="AQ105" s="33">
        <f t="shared" si="115"/>
        <v>684.74166666666667</v>
      </c>
      <c r="AR105" s="33">
        <f t="shared" si="115"/>
        <v>684.74166666666667</v>
      </c>
      <c r="AS105" s="33">
        <f t="shared" si="115"/>
        <v>684.74166666666667</v>
      </c>
      <c r="AT105" s="33">
        <f t="shared" si="115"/>
        <v>684.74166666666667</v>
      </c>
      <c r="AU105" s="33">
        <f t="shared" si="115"/>
        <v>684.74166666666667</v>
      </c>
      <c r="AV105" s="33">
        <f t="shared" si="115"/>
        <v>684.74166666666667</v>
      </c>
      <c r="AW105" s="33">
        <f t="shared" si="115"/>
        <v>684.74166666666667</v>
      </c>
      <c r="AX105" s="33">
        <f t="shared" si="115"/>
        <v>684.74166666666667</v>
      </c>
      <c r="AY105" s="33">
        <f t="shared" si="115"/>
        <v>684.74166666666667</v>
      </c>
      <c r="AZ105" s="33">
        <f t="shared" si="115"/>
        <v>684.74166666666667</v>
      </c>
      <c r="BA105" s="33">
        <f t="shared" si="115"/>
        <v>684.74166666666667</v>
      </c>
      <c r="BB105" s="33">
        <f t="shared" si="115"/>
        <v>684.74166666666667</v>
      </c>
      <c r="BC105" s="33">
        <f t="shared" si="115"/>
        <v>684.74166666666667</v>
      </c>
      <c r="BD105" s="33">
        <f t="shared" si="115"/>
        <v>684.74166666666667</v>
      </c>
      <c r="BE105" s="33">
        <f t="shared" si="115"/>
        <v>684.74166666666667</v>
      </c>
      <c r="BF105" s="33">
        <f t="shared" si="115"/>
        <v>684.74166666666667</v>
      </c>
      <c r="BG105" s="33">
        <f t="shared" si="115"/>
        <v>684.74166666666667</v>
      </c>
      <c r="BH105" s="33">
        <f t="shared" si="115"/>
        <v>684.74166666666667</v>
      </c>
      <c r="BI105" s="33">
        <f t="shared" si="115"/>
        <v>684.74166666666667</v>
      </c>
      <c r="BJ105" s="33">
        <f t="shared" si="115"/>
        <v>684.74166666666667</v>
      </c>
      <c r="BK105" s="33">
        <f t="shared" si="115"/>
        <v>684.74166666666667</v>
      </c>
      <c r="BL105" s="33">
        <f t="shared" si="115"/>
        <v>684.74166666666667</v>
      </c>
      <c r="BM105" s="33">
        <f t="shared" si="115"/>
        <v>684.74166666666667</v>
      </c>
      <c r="BN105" s="33">
        <f t="shared" si="115"/>
        <v>684.74166666666667</v>
      </c>
      <c r="BO105" s="33">
        <f t="shared" si="115"/>
        <v>684.74166666666667</v>
      </c>
      <c r="BP105" s="33">
        <f t="shared" ref="BP105:CI105" si="116">SUM(BP16,BP27,BP38,BP49,BP60,BP71,BP82,BP93)</f>
        <v>684.74166666666667</v>
      </c>
      <c r="BQ105" s="33">
        <f t="shared" si="116"/>
        <v>684.74166666666667</v>
      </c>
      <c r="BR105" s="33">
        <f t="shared" si="116"/>
        <v>684.74166666666667</v>
      </c>
      <c r="BS105" s="33">
        <f t="shared" si="116"/>
        <v>684.74166666666667</v>
      </c>
      <c r="BT105" s="33">
        <f t="shared" si="116"/>
        <v>684.74166666666667</v>
      </c>
      <c r="BU105" s="33">
        <f t="shared" si="116"/>
        <v>684.74166666666667</v>
      </c>
      <c r="BV105" s="33">
        <f t="shared" si="116"/>
        <v>684.74166666666667</v>
      </c>
      <c r="BW105" s="33">
        <f t="shared" si="116"/>
        <v>684.74166666666667</v>
      </c>
      <c r="BX105" s="33">
        <f t="shared" si="116"/>
        <v>684.74166666666667</v>
      </c>
      <c r="BY105" s="33">
        <f t="shared" si="116"/>
        <v>684.74166666666667</v>
      </c>
      <c r="BZ105" s="33">
        <f t="shared" si="116"/>
        <v>684.74166666666667</v>
      </c>
      <c r="CA105" s="33">
        <f t="shared" si="116"/>
        <v>684.74166666666667</v>
      </c>
      <c r="CB105" s="33">
        <f t="shared" si="116"/>
        <v>684.74166666666667</v>
      </c>
      <c r="CC105" s="33">
        <f t="shared" si="116"/>
        <v>684.74166666666667</v>
      </c>
      <c r="CD105" s="33">
        <f t="shared" si="116"/>
        <v>684.74166666666667</v>
      </c>
      <c r="CE105" s="33">
        <f t="shared" si="116"/>
        <v>684.74166666666667</v>
      </c>
      <c r="CF105" s="33">
        <f t="shared" si="116"/>
        <v>684.74166666666667</v>
      </c>
      <c r="CG105" s="33">
        <f t="shared" si="116"/>
        <v>684.74166666666667</v>
      </c>
      <c r="CH105" s="33">
        <f t="shared" si="116"/>
        <v>684.74166666666667</v>
      </c>
      <c r="CI105" s="33">
        <f t="shared" si="116"/>
        <v>684.74166666666667</v>
      </c>
    </row>
    <row r="106" spans="1:87" ht="16">
      <c r="A106" s="5" t="s">
        <v>600</v>
      </c>
      <c r="B106" s="30" t="s">
        <v>465</v>
      </c>
      <c r="C106" s="15"/>
      <c r="D106" s="33">
        <f t="shared" ref="D106:AI106" si="117">SUM(D17,D28,D39,D50,D61,D72,D83,D94)</f>
        <v>900</v>
      </c>
      <c r="E106" s="33">
        <f t="shared" si="117"/>
        <v>900</v>
      </c>
      <c r="F106" s="33">
        <f t="shared" si="117"/>
        <v>900</v>
      </c>
      <c r="G106" s="33">
        <f t="shared" si="117"/>
        <v>900</v>
      </c>
      <c r="H106" s="33">
        <f t="shared" si="117"/>
        <v>900</v>
      </c>
      <c r="I106" s="33">
        <f t="shared" si="117"/>
        <v>900</v>
      </c>
      <c r="J106" s="33">
        <f t="shared" si="117"/>
        <v>900</v>
      </c>
      <c r="K106" s="33">
        <f t="shared" si="117"/>
        <v>900</v>
      </c>
      <c r="L106" s="33">
        <f t="shared" si="117"/>
        <v>900</v>
      </c>
      <c r="M106" s="33">
        <f t="shared" si="117"/>
        <v>900</v>
      </c>
      <c r="N106" s="33">
        <f t="shared" si="117"/>
        <v>900</v>
      </c>
      <c r="O106" s="33">
        <f t="shared" si="117"/>
        <v>900</v>
      </c>
      <c r="P106" s="33">
        <f t="shared" si="117"/>
        <v>2792.5</v>
      </c>
      <c r="Q106" s="33">
        <f t="shared" si="117"/>
        <v>2792.5</v>
      </c>
      <c r="R106" s="33">
        <f t="shared" si="117"/>
        <v>2792.5</v>
      </c>
      <c r="S106" s="33">
        <f t="shared" si="117"/>
        <v>2792.5</v>
      </c>
      <c r="T106" s="33">
        <f t="shared" si="117"/>
        <v>2792.5</v>
      </c>
      <c r="U106" s="33">
        <f t="shared" si="117"/>
        <v>2792.5</v>
      </c>
      <c r="V106" s="33">
        <f t="shared" si="117"/>
        <v>3142.5</v>
      </c>
      <c r="W106" s="33">
        <f t="shared" si="117"/>
        <v>3142.5</v>
      </c>
      <c r="X106" s="33">
        <f t="shared" si="117"/>
        <v>3142.5</v>
      </c>
      <c r="Y106" s="33">
        <f t="shared" si="117"/>
        <v>3142.5</v>
      </c>
      <c r="Z106" s="33">
        <f t="shared" si="117"/>
        <v>3142.5</v>
      </c>
      <c r="AA106" s="33">
        <f t="shared" si="117"/>
        <v>3142.5</v>
      </c>
      <c r="AB106" s="33">
        <f t="shared" si="117"/>
        <v>3667.5</v>
      </c>
      <c r="AC106" s="33">
        <f t="shared" si="117"/>
        <v>3667.5</v>
      </c>
      <c r="AD106" s="33">
        <f t="shared" si="117"/>
        <v>3667.5</v>
      </c>
      <c r="AE106" s="33">
        <f t="shared" si="117"/>
        <v>3667.5</v>
      </c>
      <c r="AF106" s="33">
        <f t="shared" si="117"/>
        <v>3667.5</v>
      </c>
      <c r="AG106" s="33">
        <f t="shared" si="117"/>
        <v>3667.5</v>
      </c>
      <c r="AH106" s="33">
        <f t="shared" si="117"/>
        <v>3667.5</v>
      </c>
      <c r="AI106" s="33">
        <f t="shared" si="117"/>
        <v>3667.5</v>
      </c>
      <c r="AJ106" s="33">
        <f t="shared" ref="AJ106:BO106" si="118">SUM(AJ17,AJ28,AJ39,AJ50,AJ61,AJ72,AJ83,AJ94)</f>
        <v>3667.5</v>
      </c>
      <c r="AK106" s="33">
        <f t="shared" si="118"/>
        <v>3667.5</v>
      </c>
      <c r="AL106" s="33">
        <f t="shared" si="118"/>
        <v>3667.5</v>
      </c>
      <c r="AM106" s="33">
        <f t="shared" si="118"/>
        <v>3667.5</v>
      </c>
      <c r="AN106" s="33">
        <f t="shared" si="118"/>
        <v>3667.5</v>
      </c>
      <c r="AO106" s="33">
        <f t="shared" si="118"/>
        <v>3667.5</v>
      </c>
      <c r="AP106" s="33">
        <f t="shared" si="118"/>
        <v>3667.5</v>
      </c>
      <c r="AQ106" s="33">
        <f t="shared" si="118"/>
        <v>3667.5</v>
      </c>
      <c r="AR106" s="33">
        <f t="shared" si="118"/>
        <v>3667.5</v>
      </c>
      <c r="AS106" s="33">
        <f t="shared" si="118"/>
        <v>3667.5</v>
      </c>
      <c r="AT106" s="33">
        <f t="shared" si="118"/>
        <v>3667.5</v>
      </c>
      <c r="AU106" s="33">
        <f t="shared" si="118"/>
        <v>3667.5</v>
      </c>
      <c r="AV106" s="33">
        <f t="shared" si="118"/>
        <v>3667.5</v>
      </c>
      <c r="AW106" s="33">
        <f t="shared" si="118"/>
        <v>3667.5</v>
      </c>
      <c r="AX106" s="33">
        <f t="shared" si="118"/>
        <v>3667.5</v>
      </c>
      <c r="AY106" s="33">
        <f t="shared" si="118"/>
        <v>3667.5</v>
      </c>
      <c r="AZ106" s="33">
        <f t="shared" si="118"/>
        <v>3667.5</v>
      </c>
      <c r="BA106" s="33">
        <f t="shared" si="118"/>
        <v>3667.5</v>
      </c>
      <c r="BB106" s="33">
        <f t="shared" si="118"/>
        <v>3667.5</v>
      </c>
      <c r="BC106" s="33">
        <f t="shared" si="118"/>
        <v>3667.5</v>
      </c>
      <c r="BD106" s="33">
        <f t="shared" si="118"/>
        <v>3667.5</v>
      </c>
      <c r="BE106" s="33">
        <f t="shared" si="118"/>
        <v>3667.5</v>
      </c>
      <c r="BF106" s="33">
        <f t="shared" si="118"/>
        <v>3667.5</v>
      </c>
      <c r="BG106" s="33">
        <f t="shared" si="118"/>
        <v>3667.5</v>
      </c>
      <c r="BH106" s="33">
        <f t="shared" si="118"/>
        <v>3667.5</v>
      </c>
      <c r="BI106" s="33">
        <f t="shared" si="118"/>
        <v>3667.5</v>
      </c>
      <c r="BJ106" s="33">
        <f t="shared" si="118"/>
        <v>3667.5</v>
      </c>
      <c r="BK106" s="33">
        <f t="shared" si="118"/>
        <v>3667.5</v>
      </c>
      <c r="BL106" s="33">
        <f t="shared" si="118"/>
        <v>3667.5</v>
      </c>
      <c r="BM106" s="33">
        <f t="shared" si="118"/>
        <v>3667.5</v>
      </c>
      <c r="BN106" s="33">
        <f t="shared" si="118"/>
        <v>3667.5</v>
      </c>
      <c r="BO106" s="33">
        <f t="shared" si="118"/>
        <v>3667.5</v>
      </c>
      <c r="BP106" s="33">
        <f t="shared" ref="BP106:CI106" si="119">SUM(BP17,BP28,BP39,BP50,BP61,BP72,BP83,BP94)</f>
        <v>3667.5</v>
      </c>
      <c r="BQ106" s="33">
        <f t="shared" si="119"/>
        <v>3667.5</v>
      </c>
      <c r="BR106" s="33">
        <f t="shared" si="119"/>
        <v>3667.5</v>
      </c>
      <c r="BS106" s="33">
        <f t="shared" si="119"/>
        <v>3667.5</v>
      </c>
      <c r="BT106" s="33">
        <f t="shared" si="119"/>
        <v>3667.5</v>
      </c>
      <c r="BU106" s="33">
        <f t="shared" si="119"/>
        <v>3667.5</v>
      </c>
      <c r="BV106" s="33">
        <f t="shared" si="119"/>
        <v>3667.5</v>
      </c>
      <c r="BW106" s="33">
        <f t="shared" si="119"/>
        <v>3667.5</v>
      </c>
      <c r="BX106" s="33">
        <f t="shared" si="119"/>
        <v>3667.5</v>
      </c>
      <c r="BY106" s="33">
        <f t="shared" si="119"/>
        <v>3667.5</v>
      </c>
      <c r="BZ106" s="33">
        <f t="shared" si="119"/>
        <v>3667.5</v>
      </c>
      <c r="CA106" s="33">
        <f t="shared" si="119"/>
        <v>3667.5</v>
      </c>
      <c r="CB106" s="33">
        <f t="shared" si="119"/>
        <v>3667.5</v>
      </c>
      <c r="CC106" s="33">
        <f t="shared" si="119"/>
        <v>3667.5</v>
      </c>
      <c r="CD106" s="33">
        <f t="shared" si="119"/>
        <v>3667.5</v>
      </c>
      <c r="CE106" s="33">
        <f t="shared" si="119"/>
        <v>3667.5</v>
      </c>
      <c r="CF106" s="33">
        <f t="shared" si="119"/>
        <v>3667.5</v>
      </c>
      <c r="CG106" s="33">
        <f t="shared" si="119"/>
        <v>3667.5</v>
      </c>
      <c r="CH106" s="33">
        <f t="shared" si="119"/>
        <v>3667.5</v>
      </c>
      <c r="CI106" s="33">
        <f t="shared" si="119"/>
        <v>3667.5</v>
      </c>
    </row>
    <row r="107" spans="1:87" ht="16">
      <c r="A107" s="5" t="s">
        <v>601</v>
      </c>
      <c r="B107" s="30" t="s">
        <v>465</v>
      </c>
      <c r="C107" s="15"/>
      <c r="D107" s="33">
        <f t="shared" ref="D107:AI107" si="120">SUM(D18,D29,D40,D51,D62,D73,D84,D95)</f>
        <v>5100</v>
      </c>
      <c r="E107" s="33">
        <f t="shared" si="120"/>
        <v>5100</v>
      </c>
      <c r="F107" s="33">
        <f t="shared" si="120"/>
        <v>5100</v>
      </c>
      <c r="G107" s="33">
        <f t="shared" si="120"/>
        <v>5100</v>
      </c>
      <c r="H107" s="33">
        <f t="shared" si="120"/>
        <v>5100</v>
      </c>
      <c r="I107" s="33">
        <f t="shared" si="120"/>
        <v>5100</v>
      </c>
      <c r="J107" s="33">
        <f t="shared" si="120"/>
        <v>5100</v>
      </c>
      <c r="K107" s="33">
        <f t="shared" si="120"/>
        <v>5100</v>
      </c>
      <c r="L107" s="33">
        <f t="shared" si="120"/>
        <v>5100</v>
      </c>
      <c r="M107" s="33">
        <f t="shared" si="120"/>
        <v>5100</v>
      </c>
      <c r="N107" s="33">
        <f t="shared" si="120"/>
        <v>5100</v>
      </c>
      <c r="O107" s="33">
        <f t="shared" si="120"/>
        <v>5100</v>
      </c>
      <c r="P107" s="33">
        <f t="shared" si="120"/>
        <v>15423.725</v>
      </c>
      <c r="Q107" s="33">
        <f t="shared" si="120"/>
        <v>15423.725</v>
      </c>
      <c r="R107" s="33">
        <f t="shared" si="120"/>
        <v>15423.725</v>
      </c>
      <c r="S107" s="33">
        <f t="shared" si="120"/>
        <v>15423.725</v>
      </c>
      <c r="T107" s="33">
        <f t="shared" si="120"/>
        <v>15423.725</v>
      </c>
      <c r="U107" s="33">
        <f t="shared" si="120"/>
        <v>15423.725</v>
      </c>
      <c r="V107" s="33">
        <f t="shared" si="120"/>
        <v>17256.091666666667</v>
      </c>
      <c r="W107" s="33">
        <f t="shared" si="120"/>
        <v>17256.091666666667</v>
      </c>
      <c r="X107" s="33">
        <f t="shared" si="120"/>
        <v>17256.091666666667</v>
      </c>
      <c r="Y107" s="33">
        <f t="shared" si="120"/>
        <v>17256.091666666667</v>
      </c>
      <c r="Z107" s="33">
        <f t="shared" si="120"/>
        <v>17256.091666666667</v>
      </c>
      <c r="AA107" s="33">
        <f t="shared" si="120"/>
        <v>17256.091666666667</v>
      </c>
      <c r="AB107" s="33">
        <f t="shared" si="120"/>
        <v>20231.091666666667</v>
      </c>
      <c r="AC107" s="33">
        <f t="shared" si="120"/>
        <v>20231.091666666667</v>
      </c>
      <c r="AD107" s="33">
        <f t="shared" si="120"/>
        <v>20231.091666666667</v>
      </c>
      <c r="AE107" s="33">
        <f t="shared" si="120"/>
        <v>20231.091666666667</v>
      </c>
      <c r="AF107" s="33">
        <f t="shared" si="120"/>
        <v>20231.091666666667</v>
      </c>
      <c r="AG107" s="33">
        <f t="shared" si="120"/>
        <v>20231.091666666667</v>
      </c>
      <c r="AH107" s="33">
        <f t="shared" si="120"/>
        <v>20231.091666666667</v>
      </c>
      <c r="AI107" s="33">
        <f t="shared" si="120"/>
        <v>20231.091666666667</v>
      </c>
      <c r="AJ107" s="33">
        <f t="shared" ref="AJ107:BO107" si="121">SUM(AJ18,AJ29,AJ40,AJ51,AJ62,AJ73,AJ84,AJ95)</f>
        <v>20231.091666666667</v>
      </c>
      <c r="AK107" s="33">
        <f t="shared" si="121"/>
        <v>20231.091666666667</v>
      </c>
      <c r="AL107" s="33">
        <f t="shared" si="121"/>
        <v>20231.091666666667</v>
      </c>
      <c r="AM107" s="33">
        <f t="shared" si="121"/>
        <v>20231.091666666667</v>
      </c>
      <c r="AN107" s="33">
        <f t="shared" si="121"/>
        <v>20231.091666666667</v>
      </c>
      <c r="AO107" s="33">
        <f t="shared" si="121"/>
        <v>20231.091666666667</v>
      </c>
      <c r="AP107" s="33">
        <f t="shared" si="121"/>
        <v>20231.091666666667</v>
      </c>
      <c r="AQ107" s="33">
        <f t="shared" si="121"/>
        <v>20231.091666666667</v>
      </c>
      <c r="AR107" s="33">
        <f t="shared" si="121"/>
        <v>20231.091666666667</v>
      </c>
      <c r="AS107" s="33">
        <f t="shared" si="121"/>
        <v>20231.091666666667</v>
      </c>
      <c r="AT107" s="33">
        <f t="shared" si="121"/>
        <v>20231.091666666667</v>
      </c>
      <c r="AU107" s="33">
        <f t="shared" si="121"/>
        <v>20231.091666666667</v>
      </c>
      <c r="AV107" s="33">
        <f t="shared" si="121"/>
        <v>20231.091666666667</v>
      </c>
      <c r="AW107" s="33">
        <f t="shared" si="121"/>
        <v>20231.091666666667</v>
      </c>
      <c r="AX107" s="33">
        <f t="shared" si="121"/>
        <v>20231.091666666667</v>
      </c>
      <c r="AY107" s="33">
        <f t="shared" si="121"/>
        <v>20231.091666666667</v>
      </c>
      <c r="AZ107" s="33">
        <f t="shared" si="121"/>
        <v>20231.091666666667</v>
      </c>
      <c r="BA107" s="33">
        <f t="shared" si="121"/>
        <v>20231.091666666667</v>
      </c>
      <c r="BB107" s="33">
        <f t="shared" si="121"/>
        <v>20231.091666666667</v>
      </c>
      <c r="BC107" s="33">
        <f t="shared" si="121"/>
        <v>20231.091666666667</v>
      </c>
      <c r="BD107" s="33">
        <f t="shared" si="121"/>
        <v>20231.091666666667</v>
      </c>
      <c r="BE107" s="33">
        <f t="shared" si="121"/>
        <v>20231.091666666667</v>
      </c>
      <c r="BF107" s="33">
        <f t="shared" si="121"/>
        <v>20231.091666666667</v>
      </c>
      <c r="BG107" s="33">
        <f t="shared" si="121"/>
        <v>20231.091666666667</v>
      </c>
      <c r="BH107" s="33">
        <f t="shared" si="121"/>
        <v>20231.091666666667</v>
      </c>
      <c r="BI107" s="33">
        <f t="shared" si="121"/>
        <v>20231.091666666667</v>
      </c>
      <c r="BJ107" s="33">
        <f t="shared" si="121"/>
        <v>20231.091666666667</v>
      </c>
      <c r="BK107" s="33">
        <f t="shared" si="121"/>
        <v>20231.091666666667</v>
      </c>
      <c r="BL107" s="33">
        <f t="shared" si="121"/>
        <v>20231.091666666667</v>
      </c>
      <c r="BM107" s="33">
        <f t="shared" si="121"/>
        <v>20231.091666666667</v>
      </c>
      <c r="BN107" s="33">
        <f t="shared" si="121"/>
        <v>20231.091666666667</v>
      </c>
      <c r="BO107" s="33">
        <f t="shared" si="121"/>
        <v>20231.091666666667</v>
      </c>
      <c r="BP107" s="33">
        <f t="shared" ref="BP107:CI107" si="122">SUM(BP18,BP29,BP40,BP51,BP62,BP73,BP84,BP95)</f>
        <v>20231.091666666667</v>
      </c>
      <c r="BQ107" s="33">
        <f t="shared" si="122"/>
        <v>20231.091666666667</v>
      </c>
      <c r="BR107" s="33">
        <f t="shared" si="122"/>
        <v>20231.091666666667</v>
      </c>
      <c r="BS107" s="33">
        <f t="shared" si="122"/>
        <v>20231.091666666667</v>
      </c>
      <c r="BT107" s="33">
        <f t="shared" si="122"/>
        <v>20231.091666666667</v>
      </c>
      <c r="BU107" s="33">
        <f t="shared" si="122"/>
        <v>20231.091666666667</v>
      </c>
      <c r="BV107" s="33">
        <f t="shared" si="122"/>
        <v>20231.091666666667</v>
      </c>
      <c r="BW107" s="33">
        <f t="shared" si="122"/>
        <v>20231.091666666667</v>
      </c>
      <c r="BX107" s="33">
        <f t="shared" si="122"/>
        <v>20231.091666666667</v>
      </c>
      <c r="BY107" s="33">
        <f t="shared" si="122"/>
        <v>20231.091666666667</v>
      </c>
      <c r="BZ107" s="33">
        <f t="shared" si="122"/>
        <v>20231.091666666667</v>
      </c>
      <c r="CA107" s="33">
        <f t="shared" si="122"/>
        <v>20231.091666666667</v>
      </c>
      <c r="CB107" s="33">
        <f t="shared" si="122"/>
        <v>20231.091666666667</v>
      </c>
      <c r="CC107" s="33">
        <f t="shared" si="122"/>
        <v>20231.091666666667</v>
      </c>
      <c r="CD107" s="33">
        <f t="shared" si="122"/>
        <v>20231.091666666667</v>
      </c>
      <c r="CE107" s="33">
        <f t="shared" si="122"/>
        <v>20231.091666666667</v>
      </c>
      <c r="CF107" s="33">
        <f t="shared" si="122"/>
        <v>20231.091666666667</v>
      </c>
      <c r="CG107" s="33">
        <f t="shared" si="122"/>
        <v>20231.091666666667</v>
      </c>
      <c r="CH107" s="33">
        <f t="shared" si="122"/>
        <v>20231.091666666667</v>
      </c>
      <c r="CI107" s="33">
        <f t="shared" si="122"/>
        <v>20231.091666666667</v>
      </c>
    </row>
    <row r="108" spans="1:87" ht="16">
      <c r="A108" s="5" t="s">
        <v>602</v>
      </c>
      <c r="B108" s="30" t="s">
        <v>465</v>
      </c>
      <c r="C108" s="15"/>
      <c r="D108" s="36">
        <f t="shared" ref="D108:AI108" si="123">SUM(D19,D30,D41,D52,D63,D74,D85,D96)</f>
        <v>7794.76</v>
      </c>
      <c r="E108" s="36">
        <f t="shared" si="123"/>
        <v>7794.76</v>
      </c>
      <c r="F108" s="36">
        <f t="shared" si="123"/>
        <v>7794.76</v>
      </c>
      <c r="G108" s="36">
        <f t="shared" si="123"/>
        <v>7794.76</v>
      </c>
      <c r="H108" s="36">
        <f t="shared" si="123"/>
        <v>7794.76</v>
      </c>
      <c r="I108" s="36">
        <f t="shared" si="123"/>
        <v>7794.76</v>
      </c>
      <c r="J108" s="36">
        <f t="shared" si="123"/>
        <v>7794.76</v>
      </c>
      <c r="K108" s="36">
        <f t="shared" si="123"/>
        <v>7794.76</v>
      </c>
      <c r="L108" s="36">
        <f t="shared" si="123"/>
        <v>7794.76</v>
      </c>
      <c r="M108" s="36">
        <f t="shared" si="123"/>
        <v>7794.76</v>
      </c>
      <c r="N108" s="36">
        <f t="shared" si="123"/>
        <v>7794.76</v>
      </c>
      <c r="O108" s="36">
        <f t="shared" si="123"/>
        <v>7794.76</v>
      </c>
      <c r="P108" s="36">
        <f t="shared" si="123"/>
        <v>23193.010000000002</v>
      </c>
      <c r="Q108" s="36">
        <f t="shared" si="123"/>
        <v>23193.010000000002</v>
      </c>
      <c r="R108" s="36">
        <f t="shared" si="123"/>
        <v>23193.010000000002</v>
      </c>
      <c r="S108" s="36">
        <f t="shared" si="123"/>
        <v>23193.010000000002</v>
      </c>
      <c r="T108" s="36">
        <f t="shared" si="123"/>
        <v>23193.010000000002</v>
      </c>
      <c r="U108" s="36">
        <f t="shared" si="123"/>
        <v>23193.010000000002</v>
      </c>
      <c r="V108" s="36">
        <f t="shared" si="123"/>
        <v>26275.343333333334</v>
      </c>
      <c r="W108" s="36">
        <f t="shared" si="123"/>
        <v>26275.343333333334</v>
      </c>
      <c r="X108" s="36">
        <f t="shared" si="123"/>
        <v>26275.343333333334</v>
      </c>
      <c r="Y108" s="36">
        <f t="shared" si="123"/>
        <v>26275.343333333334</v>
      </c>
      <c r="Z108" s="36">
        <f t="shared" si="123"/>
        <v>26275.343333333334</v>
      </c>
      <c r="AA108" s="36">
        <f t="shared" si="123"/>
        <v>26275.343333333334</v>
      </c>
      <c r="AB108" s="36">
        <f t="shared" si="123"/>
        <v>29775.343333333334</v>
      </c>
      <c r="AC108" s="36">
        <f t="shared" si="123"/>
        <v>29775.343333333334</v>
      </c>
      <c r="AD108" s="36">
        <f t="shared" si="123"/>
        <v>29775.343333333334</v>
      </c>
      <c r="AE108" s="36">
        <f t="shared" si="123"/>
        <v>29775.343333333334</v>
      </c>
      <c r="AF108" s="36">
        <f t="shared" si="123"/>
        <v>29775.343333333334</v>
      </c>
      <c r="AG108" s="36">
        <f t="shared" si="123"/>
        <v>29775.343333333334</v>
      </c>
      <c r="AH108" s="36">
        <f t="shared" si="123"/>
        <v>29775.343333333334</v>
      </c>
      <c r="AI108" s="36">
        <f t="shared" si="123"/>
        <v>29775.343333333334</v>
      </c>
      <c r="AJ108" s="36">
        <f t="shared" ref="AJ108:BO108" si="124">SUM(AJ19,AJ30,AJ41,AJ52,AJ63,AJ74,AJ85,AJ96)</f>
        <v>29775.343333333334</v>
      </c>
      <c r="AK108" s="36">
        <f t="shared" si="124"/>
        <v>29775.343333333334</v>
      </c>
      <c r="AL108" s="36">
        <f t="shared" si="124"/>
        <v>29775.343333333334</v>
      </c>
      <c r="AM108" s="36">
        <f t="shared" si="124"/>
        <v>29775.343333333334</v>
      </c>
      <c r="AN108" s="36">
        <f t="shared" si="124"/>
        <v>29775.343333333334</v>
      </c>
      <c r="AO108" s="36">
        <f t="shared" si="124"/>
        <v>29775.343333333334</v>
      </c>
      <c r="AP108" s="36">
        <f t="shared" si="124"/>
        <v>29775.343333333334</v>
      </c>
      <c r="AQ108" s="36">
        <f t="shared" si="124"/>
        <v>29775.343333333334</v>
      </c>
      <c r="AR108" s="36">
        <f t="shared" si="124"/>
        <v>29775.343333333334</v>
      </c>
      <c r="AS108" s="36">
        <f t="shared" si="124"/>
        <v>29775.343333333334</v>
      </c>
      <c r="AT108" s="36">
        <f t="shared" si="124"/>
        <v>29775.343333333334</v>
      </c>
      <c r="AU108" s="36">
        <f t="shared" si="124"/>
        <v>29775.343333333334</v>
      </c>
      <c r="AV108" s="36">
        <f t="shared" si="124"/>
        <v>29775.343333333334</v>
      </c>
      <c r="AW108" s="36">
        <f t="shared" si="124"/>
        <v>29775.343333333334</v>
      </c>
      <c r="AX108" s="36">
        <f t="shared" si="124"/>
        <v>29775.343333333334</v>
      </c>
      <c r="AY108" s="36">
        <f t="shared" si="124"/>
        <v>29775.343333333334</v>
      </c>
      <c r="AZ108" s="36">
        <f t="shared" si="124"/>
        <v>29775.343333333334</v>
      </c>
      <c r="BA108" s="36">
        <f t="shared" si="124"/>
        <v>29775.343333333334</v>
      </c>
      <c r="BB108" s="36">
        <f t="shared" si="124"/>
        <v>29775.343333333334</v>
      </c>
      <c r="BC108" s="36">
        <f t="shared" si="124"/>
        <v>29775.343333333334</v>
      </c>
      <c r="BD108" s="36">
        <f t="shared" si="124"/>
        <v>29775.343333333334</v>
      </c>
      <c r="BE108" s="36">
        <f t="shared" si="124"/>
        <v>29775.343333333334</v>
      </c>
      <c r="BF108" s="36">
        <f t="shared" si="124"/>
        <v>29775.343333333334</v>
      </c>
      <c r="BG108" s="36">
        <f t="shared" si="124"/>
        <v>29775.343333333334</v>
      </c>
      <c r="BH108" s="36">
        <f t="shared" si="124"/>
        <v>29775.343333333334</v>
      </c>
      <c r="BI108" s="36">
        <f t="shared" si="124"/>
        <v>29775.343333333334</v>
      </c>
      <c r="BJ108" s="36">
        <f t="shared" si="124"/>
        <v>29775.343333333334</v>
      </c>
      <c r="BK108" s="36">
        <f t="shared" si="124"/>
        <v>29775.343333333334</v>
      </c>
      <c r="BL108" s="36">
        <f t="shared" si="124"/>
        <v>29775.343333333334</v>
      </c>
      <c r="BM108" s="36">
        <f t="shared" si="124"/>
        <v>29775.343333333334</v>
      </c>
      <c r="BN108" s="36">
        <f t="shared" si="124"/>
        <v>29775.343333333334</v>
      </c>
      <c r="BO108" s="36">
        <f t="shared" si="124"/>
        <v>29775.343333333334</v>
      </c>
      <c r="BP108" s="36">
        <f t="shared" ref="BP108:CI108" si="125">SUM(BP19,BP30,BP41,BP52,BP63,BP74,BP85,BP96)</f>
        <v>29775.343333333334</v>
      </c>
      <c r="BQ108" s="36">
        <f t="shared" si="125"/>
        <v>29775.343333333334</v>
      </c>
      <c r="BR108" s="36">
        <f t="shared" si="125"/>
        <v>29775.343333333334</v>
      </c>
      <c r="BS108" s="36">
        <f t="shared" si="125"/>
        <v>29775.343333333334</v>
      </c>
      <c r="BT108" s="36">
        <f t="shared" si="125"/>
        <v>29775.343333333334</v>
      </c>
      <c r="BU108" s="36">
        <f t="shared" si="125"/>
        <v>29775.343333333334</v>
      </c>
      <c r="BV108" s="36">
        <f t="shared" si="125"/>
        <v>29775.343333333334</v>
      </c>
      <c r="BW108" s="36">
        <f t="shared" si="125"/>
        <v>29775.343333333334</v>
      </c>
      <c r="BX108" s="36">
        <f t="shared" si="125"/>
        <v>29775.343333333334</v>
      </c>
      <c r="BY108" s="36">
        <f t="shared" si="125"/>
        <v>29775.343333333334</v>
      </c>
      <c r="BZ108" s="36">
        <f t="shared" si="125"/>
        <v>29775.343333333334</v>
      </c>
      <c r="CA108" s="36">
        <f t="shared" si="125"/>
        <v>29775.343333333334</v>
      </c>
      <c r="CB108" s="36">
        <f t="shared" si="125"/>
        <v>29775.343333333334</v>
      </c>
      <c r="CC108" s="36">
        <f t="shared" si="125"/>
        <v>29775.343333333334</v>
      </c>
      <c r="CD108" s="36">
        <f t="shared" si="125"/>
        <v>29775.343333333334</v>
      </c>
      <c r="CE108" s="36">
        <f t="shared" si="125"/>
        <v>29775.343333333334</v>
      </c>
      <c r="CF108" s="36">
        <f t="shared" si="125"/>
        <v>29775.343333333334</v>
      </c>
      <c r="CG108" s="36">
        <f t="shared" si="125"/>
        <v>29775.343333333334</v>
      </c>
      <c r="CH108" s="36">
        <f t="shared" si="125"/>
        <v>29775.343333333334</v>
      </c>
      <c r="CI108" s="36">
        <f t="shared" si="125"/>
        <v>29775.343333333334</v>
      </c>
    </row>
    <row r="110" spans="1:87" ht="16">
      <c r="A110" s="4" t="s">
        <v>603</v>
      </c>
    </row>
    <row r="111" spans="1:87" ht="16">
      <c r="A111" s="5" t="s">
        <v>604</v>
      </c>
      <c r="B111" s="5" t="s">
        <v>605</v>
      </c>
    </row>
    <row r="112" spans="1:87" ht="16">
      <c r="A112" s="6" t="str">
        <f>'1_PANEL_CONTROL'!B39</f>
        <v>CEO (Socio Fundador)</v>
      </c>
      <c r="B112" s="33">
        <f>SUM(D19:O19)</f>
        <v>23384.28</v>
      </c>
    </row>
    <row r="113" spans="1:2" ht="16">
      <c r="A113" s="6" t="str">
        <f>'1_PANEL_CONTROL'!B40</f>
        <v>CTO (Socio Fundador)</v>
      </c>
      <c r="B113" s="33">
        <f>SUM(D30:O30)</f>
        <v>23384.28</v>
      </c>
    </row>
    <row r="114" spans="1:2" ht="16">
      <c r="A114" s="6" t="str">
        <f>'1_PANEL_CONTROL'!B41</f>
        <v>CMO (Socio Fundador)</v>
      </c>
      <c r="B114" s="33">
        <f>SUM(D41:O41)</f>
        <v>23384.28</v>
      </c>
    </row>
    <row r="115" spans="1:2" ht="16">
      <c r="A115" s="6" t="str">
        <f>'1_PANEL_CONTROL'!B42</f>
        <v>COO (Socio Fundador)</v>
      </c>
      <c r="B115" s="33">
        <f>SUM(D52:O52)</f>
        <v>23384.28</v>
      </c>
    </row>
    <row r="116" spans="1:2" ht="16">
      <c r="A116" s="6" t="str">
        <f>'1_PANEL_CONTROL'!B43</f>
        <v>Senior Software &amp; Cloud Eng.</v>
      </c>
      <c r="B116" s="33">
        <f>SUM(D63:O63)</f>
        <v>0</v>
      </c>
    </row>
    <row r="117" spans="1:2" ht="16">
      <c r="A117" s="6" t="str">
        <f>'1_PANEL_CONTROL'!B44</f>
        <v>Customer Success Specialist</v>
      </c>
      <c r="B117" s="33">
        <f>SUM(D74:O74)</f>
        <v>0</v>
      </c>
    </row>
    <row r="118" spans="1:2" ht="16">
      <c r="A118" s="6" t="str">
        <f>'1_PANEL_CONTROL'!B45</f>
        <v>Sales &amp; Marketing B2B Spec.</v>
      </c>
      <c r="B118" s="33">
        <f>SUM(D85:O85)</f>
        <v>0</v>
      </c>
    </row>
    <row r="119" spans="1:2" ht="16">
      <c r="A119" s="6" t="str">
        <f>'1_PANEL_CONTROL'!B46</f>
        <v>Operations &amp; Logistics Mgr</v>
      </c>
      <c r="B119" s="33">
        <f>SUM(D96:O96)</f>
        <v>0</v>
      </c>
    </row>
    <row r="132" spans="2:8" ht="24" customHeight="1">
      <c r="B132" s="109" t="s">
        <v>606</v>
      </c>
      <c r="C132" s="110"/>
      <c r="D132" s="110"/>
      <c r="E132" s="110"/>
      <c r="F132" s="110"/>
      <c r="G132" s="110"/>
      <c r="H132" s="110"/>
    </row>
    <row r="133" spans="2:8" ht="19" customHeight="1">
      <c r="B133" s="102" t="s">
        <v>607</v>
      </c>
      <c r="C133" s="103"/>
      <c r="D133" s="103"/>
      <c r="E133" s="103"/>
      <c r="F133" s="103"/>
      <c r="G133" s="103"/>
      <c r="H133" s="104"/>
    </row>
    <row r="134" spans="2:8" ht="19" customHeight="1">
      <c r="B134" s="105"/>
      <c r="C134" s="103"/>
      <c r="D134" s="103"/>
      <c r="E134" s="103"/>
      <c r="F134" s="103"/>
      <c r="G134" s="103"/>
      <c r="H134" s="104"/>
    </row>
    <row r="135" spans="2:8" ht="19" customHeight="1">
      <c r="B135" s="105"/>
      <c r="C135" s="103"/>
      <c r="D135" s="103"/>
      <c r="E135" s="103"/>
      <c r="F135" s="103"/>
      <c r="G135" s="103"/>
      <c r="H135" s="104"/>
    </row>
    <row r="136" spans="2:8" ht="19" customHeight="1">
      <c r="B136" s="105"/>
      <c r="C136" s="103"/>
      <c r="D136" s="103"/>
      <c r="E136" s="103"/>
      <c r="F136" s="103"/>
      <c r="G136" s="103"/>
      <c r="H136" s="104"/>
    </row>
    <row r="137" spans="2:8" ht="19" customHeight="1">
      <c r="B137" s="105"/>
      <c r="C137" s="103"/>
      <c r="D137" s="103"/>
      <c r="E137" s="103"/>
      <c r="F137" s="103"/>
      <c r="G137" s="103"/>
      <c r="H137" s="104"/>
    </row>
    <row r="138" spans="2:8" ht="19" customHeight="1">
      <c r="B138" s="105"/>
      <c r="C138" s="103"/>
      <c r="D138" s="103"/>
      <c r="E138" s="103"/>
      <c r="F138" s="103"/>
      <c r="G138" s="103"/>
      <c r="H138" s="104"/>
    </row>
    <row r="139" spans="2:8" ht="19" customHeight="1">
      <c r="B139" s="105"/>
      <c r="C139" s="103"/>
      <c r="D139" s="103"/>
      <c r="E139" s="103"/>
      <c r="F139" s="103"/>
      <c r="G139" s="103"/>
      <c r="H139" s="104"/>
    </row>
    <row r="140" spans="2:8" ht="19" customHeight="1">
      <c r="B140" s="106"/>
      <c r="C140" s="107"/>
      <c r="D140" s="107"/>
      <c r="E140" s="107"/>
      <c r="F140" s="107"/>
      <c r="G140" s="107"/>
      <c r="H140" s="108"/>
    </row>
  </sheetData>
  <mergeCells count="3">
    <mergeCell ref="B132:H132"/>
    <mergeCell ref="B3:H3"/>
    <mergeCell ref="B133:H140"/>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59E0B"/>
  </sheetPr>
  <dimension ref="A4:CI57"/>
  <sheetViews>
    <sheetView workbookViewId="0">
      <pane xSplit="3" ySplit="7" topLeftCell="D8" activePane="bottomRight" state="frozen"/>
      <selection pane="topRight"/>
      <selection pane="bottomLeft"/>
      <selection pane="bottomRight"/>
    </sheetView>
  </sheetViews>
  <sheetFormatPr baseColWidth="10" defaultColWidth="8.7265625" defaultRowHeight="14.5"/>
  <cols>
    <col min="1" max="1" width="45" customWidth="1"/>
    <col min="2" max="2" width="12" customWidth="1"/>
    <col min="3" max="3" width="25" customWidth="1"/>
    <col min="4" max="87" width="12" customWidth="1"/>
  </cols>
  <sheetData>
    <row r="4" spans="1:87" ht="21">
      <c r="A4" s="28" t="s">
        <v>608</v>
      </c>
    </row>
    <row r="5" spans="1:87" ht="50" customHeight="1">
      <c r="A5" s="38" t="s">
        <v>296</v>
      </c>
      <c r="B5" s="130" t="str">
        <f>CHOOSE('1_PANEL_CONTROL'!$C$4, "🔴 1: NEGATIVO", "🟡 2: EQUILIBRIO", "🟢 3: POSITIVO")</f>
        <v>🟡 2: EQUILIBRIO</v>
      </c>
      <c r="C5" s="113"/>
      <c r="D5" s="116" t="str">
        <f>CHOOSE('1_PANEL_CONTROL'!$C$4, "[NEGATIVO] GASTOS DE EXPLOTACIÓN (OPEX). Inversión en Ads de " &amp; TEXT('8_COSTES_OPEX'!O20, "#.##0 €") &amp; " en el mes 12 y total de OPEX recurrente mensual de " &amp; TEXT('8_COSTES_OPEX'!O39, "#.##0 €") &amp; ".", "[EQUILIBRIO] GASTOS DE EXPLOTACIÓN (OPEX). El alquiler Aticco Coworking representa " &amp; TEXT('8_COSTES_OPEX'!D11, "#.##0 €") &amp; " y las licencias SEO Semrush suponen " &amp; TEXT('8_COSTES_OPEX'!D24, "#.##0 €") &amp; " mensuales.", "[POSITIVO] GASTOS DE EXPLOTACIÓN (OPEX). Alta inversión comercial en marketing digital para captar tráfico, sumando un OPEX acumulado en Año 1 de " &amp; TEXT(SUM('8_COSTES_OPEX'!$D$39:$O$39), "#.##0 €") &amp; ".")</f>
        <v>[EQUILIBRIO] GASTOS DE EXPLOTACIÓN (OPEX). El alquiler Aticco Coworking representa 2.160 € y las licencias SEO Semrush suponen 250 € mensuales.</v>
      </c>
      <c r="E5" s="112"/>
      <c r="F5" s="112"/>
      <c r="G5" s="112"/>
      <c r="H5" s="112"/>
      <c r="I5" s="112"/>
      <c r="J5" s="112"/>
      <c r="K5" s="112"/>
      <c r="L5" s="112"/>
      <c r="M5" s="112"/>
      <c r="N5" s="112"/>
      <c r="O5" s="113"/>
    </row>
    <row r="7" spans="1:87" ht="16">
      <c r="A7" t="s">
        <v>609</v>
      </c>
      <c r="B7" t="s">
        <v>367</v>
      </c>
      <c r="C7" t="s">
        <v>610</v>
      </c>
      <c r="D7" s="29" t="s">
        <v>369</v>
      </c>
      <c r="E7" s="29" t="s">
        <v>370</v>
      </c>
      <c r="F7" s="29" t="s">
        <v>371</v>
      </c>
      <c r="G7" s="29" t="s">
        <v>372</v>
      </c>
      <c r="H7" s="29" t="s">
        <v>373</v>
      </c>
      <c r="I7" s="29" t="s">
        <v>374</v>
      </c>
      <c r="J7" s="29" t="s">
        <v>375</v>
      </c>
      <c r="K7" s="29" t="s">
        <v>376</v>
      </c>
      <c r="L7" s="29" t="s">
        <v>377</v>
      </c>
      <c r="M7" s="29" t="s">
        <v>378</v>
      </c>
      <c r="N7" s="29" t="s">
        <v>379</v>
      </c>
      <c r="O7" s="29" t="s">
        <v>380</v>
      </c>
      <c r="P7" s="29" t="s">
        <v>381</v>
      </c>
      <c r="Q7" s="29" t="s">
        <v>382</v>
      </c>
      <c r="R7" s="29" t="s">
        <v>383</v>
      </c>
      <c r="S7" s="29" t="s">
        <v>384</v>
      </c>
      <c r="T7" s="29" t="s">
        <v>385</v>
      </c>
      <c r="U7" s="29" t="s">
        <v>386</v>
      </c>
      <c r="V7" s="29" t="s">
        <v>387</v>
      </c>
      <c r="W7" s="29" t="s">
        <v>388</v>
      </c>
      <c r="X7" s="29" t="s">
        <v>389</v>
      </c>
      <c r="Y7" s="29" t="s">
        <v>390</v>
      </c>
      <c r="Z7" s="29" t="s">
        <v>391</v>
      </c>
      <c r="AA7" s="29" t="s">
        <v>392</v>
      </c>
      <c r="AB7" s="29" t="s">
        <v>393</v>
      </c>
      <c r="AC7" s="29" t="s">
        <v>394</v>
      </c>
      <c r="AD7" s="29" t="s">
        <v>395</v>
      </c>
      <c r="AE7" s="29" t="s">
        <v>396</v>
      </c>
      <c r="AF7" s="29" t="s">
        <v>397</v>
      </c>
      <c r="AG7" s="29" t="s">
        <v>398</v>
      </c>
      <c r="AH7" s="29" t="s">
        <v>399</v>
      </c>
      <c r="AI7" s="29" t="s">
        <v>400</v>
      </c>
      <c r="AJ7" s="29" t="s">
        <v>401</v>
      </c>
      <c r="AK7" s="29" t="s">
        <v>402</v>
      </c>
      <c r="AL7" s="29" t="s">
        <v>403</v>
      </c>
      <c r="AM7" s="29" t="s">
        <v>404</v>
      </c>
      <c r="AN7" s="29" t="s">
        <v>405</v>
      </c>
      <c r="AO7" s="29" t="s">
        <v>406</v>
      </c>
      <c r="AP7" s="29" t="s">
        <v>407</v>
      </c>
      <c r="AQ7" s="29" t="s">
        <v>408</v>
      </c>
      <c r="AR7" s="29" t="s">
        <v>409</v>
      </c>
      <c r="AS7" s="29" t="s">
        <v>410</v>
      </c>
      <c r="AT7" s="29" t="s">
        <v>411</v>
      </c>
      <c r="AU7" s="29" t="s">
        <v>412</v>
      </c>
      <c r="AV7" s="29" t="s">
        <v>413</v>
      </c>
      <c r="AW7" s="29" t="s">
        <v>414</v>
      </c>
      <c r="AX7" s="29" t="s">
        <v>415</v>
      </c>
      <c r="AY7" s="29" t="s">
        <v>416</v>
      </c>
      <c r="AZ7" s="29" t="s">
        <v>417</v>
      </c>
      <c r="BA7" s="29" t="s">
        <v>418</v>
      </c>
      <c r="BB7" s="29" t="s">
        <v>419</v>
      </c>
      <c r="BC7" s="29" t="s">
        <v>420</v>
      </c>
      <c r="BD7" s="29" t="s">
        <v>421</v>
      </c>
      <c r="BE7" s="29" t="s">
        <v>422</v>
      </c>
      <c r="BF7" s="29" t="s">
        <v>423</v>
      </c>
      <c r="BG7" s="29" t="s">
        <v>424</v>
      </c>
      <c r="BH7" s="29" t="s">
        <v>425</v>
      </c>
      <c r="BI7" s="29" t="s">
        <v>426</v>
      </c>
      <c r="BJ7" s="29" t="s">
        <v>427</v>
      </c>
      <c r="BK7" s="29" t="s">
        <v>428</v>
      </c>
      <c r="BL7" s="29" t="s">
        <v>429</v>
      </c>
      <c r="BM7" s="29" t="s">
        <v>430</v>
      </c>
      <c r="BN7" s="29" t="s">
        <v>431</v>
      </c>
      <c r="BO7" s="29" t="s">
        <v>432</v>
      </c>
      <c r="BP7" s="29" t="s">
        <v>433</v>
      </c>
      <c r="BQ7" s="29" t="s">
        <v>434</v>
      </c>
      <c r="BR7" s="29" t="s">
        <v>435</v>
      </c>
      <c r="BS7" s="29" t="s">
        <v>436</v>
      </c>
      <c r="BT7" s="29" t="s">
        <v>437</v>
      </c>
      <c r="BU7" s="29" t="s">
        <v>438</v>
      </c>
      <c r="BV7" s="29" t="s">
        <v>439</v>
      </c>
      <c r="BW7" s="29" t="s">
        <v>440</v>
      </c>
      <c r="BX7" s="29" t="s">
        <v>441</v>
      </c>
      <c r="BY7" s="29" t="s">
        <v>442</v>
      </c>
      <c r="BZ7" s="29" t="s">
        <v>443</v>
      </c>
      <c r="CA7" s="29" t="s">
        <v>444</v>
      </c>
      <c r="CB7" s="29" t="s">
        <v>445</v>
      </c>
      <c r="CC7" s="29" t="s">
        <v>446</v>
      </c>
      <c r="CD7" s="29" t="s">
        <v>447</v>
      </c>
      <c r="CE7" s="29" t="s">
        <v>448</v>
      </c>
      <c r="CF7" s="29" t="s">
        <v>449</v>
      </c>
      <c r="CG7" s="29" t="s">
        <v>450</v>
      </c>
      <c r="CH7" s="29" t="s">
        <v>451</v>
      </c>
      <c r="CI7" s="29" t="s">
        <v>452</v>
      </c>
    </row>
    <row r="10" spans="1:87" ht="16.5">
      <c r="A10" s="6" t="s">
        <v>611</v>
      </c>
      <c r="B10" s="30" t="s">
        <v>465</v>
      </c>
      <c r="C10" s="17" t="s">
        <v>612</v>
      </c>
      <c r="D10" s="33">
        <f>'7_EQUIPO_RRHH'!D108</f>
        <v>7794.76</v>
      </c>
      <c r="E10" s="33">
        <f>'7_EQUIPO_RRHH'!E108</f>
        <v>7794.76</v>
      </c>
      <c r="F10" s="33">
        <f>'7_EQUIPO_RRHH'!F108</f>
        <v>7794.76</v>
      </c>
      <c r="G10" s="33">
        <f>'7_EQUIPO_RRHH'!G108</f>
        <v>7794.76</v>
      </c>
      <c r="H10" s="33">
        <f>'7_EQUIPO_RRHH'!H108</f>
        <v>7794.76</v>
      </c>
      <c r="I10" s="33">
        <f>'7_EQUIPO_RRHH'!I108</f>
        <v>7794.76</v>
      </c>
      <c r="J10" s="33">
        <f>'7_EQUIPO_RRHH'!J108</f>
        <v>7794.76</v>
      </c>
      <c r="K10" s="33">
        <f>'7_EQUIPO_RRHH'!K108</f>
        <v>7794.76</v>
      </c>
      <c r="L10" s="33">
        <f>'7_EQUIPO_RRHH'!L108</f>
        <v>7794.76</v>
      </c>
      <c r="M10" s="33">
        <f>'7_EQUIPO_RRHH'!M108</f>
        <v>7794.76</v>
      </c>
      <c r="N10" s="33">
        <f>'7_EQUIPO_RRHH'!N108</f>
        <v>7794.76</v>
      </c>
      <c r="O10" s="33">
        <f>'7_EQUIPO_RRHH'!O108</f>
        <v>7794.76</v>
      </c>
      <c r="P10" s="33">
        <f>'7_EQUIPO_RRHH'!P108</f>
        <v>23193.010000000002</v>
      </c>
      <c r="Q10" s="33">
        <f>'7_EQUIPO_RRHH'!Q108</f>
        <v>23193.010000000002</v>
      </c>
      <c r="R10" s="33">
        <f>'7_EQUIPO_RRHH'!R108</f>
        <v>23193.010000000002</v>
      </c>
      <c r="S10" s="33">
        <f>'7_EQUIPO_RRHH'!S108</f>
        <v>23193.010000000002</v>
      </c>
      <c r="T10" s="33">
        <f>'7_EQUIPO_RRHH'!T108</f>
        <v>23193.010000000002</v>
      </c>
      <c r="U10" s="33">
        <f>'7_EQUIPO_RRHH'!U108</f>
        <v>23193.010000000002</v>
      </c>
      <c r="V10" s="33">
        <f>'7_EQUIPO_RRHH'!V108</f>
        <v>26275.343333333334</v>
      </c>
      <c r="W10" s="33">
        <f>'7_EQUIPO_RRHH'!W108</f>
        <v>26275.343333333334</v>
      </c>
      <c r="X10" s="33">
        <f>'7_EQUIPO_RRHH'!X108</f>
        <v>26275.343333333334</v>
      </c>
      <c r="Y10" s="33">
        <f>'7_EQUIPO_RRHH'!Y108</f>
        <v>26275.343333333334</v>
      </c>
      <c r="Z10" s="33">
        <f>'7_EQUIPO_RRHH'!Z108</f>
        <v>26275.343333333334</v>
      </c>
      <c r="AA10" s="33">
        <f>'7_EQUIPO_RRHH'!AA108</f>
        <v>26275.343333333334</v>
      </c>
      <c r="AB10" s="33">
        <f>'7_EQUIPO_RRHH'!AB108</f>
        <v>29775.343333333334</v>
      </c>
      <c r="AC10" s="33">
        <f>'7_EQUIPO_RRHH'!AC108</f>
        <v>29775.343333333334</v>
      </c>
      <c r="AD10" s="33">
        <f>'7_EQUIPO_RRHH'!AD108</f>
        <v>29775.343333333334</v>
      </c>
      <c r="AE10" s="33">
        <f>'7_EQUIPO_RRHH'!AE108</f>
        <v>29775.343333333334</v>
      </c>
      <c r="AF10" s="33">
        <f>'7_EQUIPO_RRHH'!AF108</f>
        <v>29775.343333333334</v>
      </c>
      <c r="AG10" s="33">
        <f>'7_EQUIPO_RRHH'!AG108</f>
        <v>29775.343333333334</v>
      </c>
      <c r="AH10" s="33">
        <f>'7_EQUIPO_RRHH'!AH108</f>
        <v>29775.343333333334</v>
      </c>
      <c r="AI10" s="33">
        <f>'7_EQUIPO_RRHH'!AI108</f>
        <v>29775.343333333334</v>
      </c>
      <c r="AJ10" s="33">
        <f>'7_EQUIPO_RRHH'!AJ108</f>
        <v>29775.343333333334</v>
      </c>
      <c r="AK10" s="33">
        <f>'7_EQUIPO_RRHH'!AK108</f>
        <v>29775.343333333334</v>
      </c>
      <c r="AL10" s="33">
        <f>'7_EQUIPO_RRHH'!AL108</f>
        <v>29775.343333333334</v>
      </c>
      <c r="AM10" s="33">
        <f>'7_EQUIPO_RRHH'!AM108</f>
        <v>29775.343333333334</v>
      </c>
      <c r="AN10" s="33">
        <f>'7_EQUIPO_RRHH'!AN108</f>
        <v>29775.343333333334</v>
      </c>
      <c r="AO10" s="33">
        <f>'7_EQUIPO_RRHH'!AO108</f>
        <v>29775.343333333334</v>
      </c>
      <c r="AP10" s="33">
        <f>'7_EQUIPO_RRHH'!AP108</f>
        <v>29775.343333333334</v>
      </c>
      <c r="AQ10" s="33">
        <f>'7_EQUIPO_RRHH'!AQ108</f>
        <v>29775.343333333334</v>
      </c>
      <c r="AR10" s="33">
        <f>'7_EQUIPO_RRHH'!AR108</f>
        <v>29775.343333333334</v>
      </c>
      <c r="AS10" s="33">
        <f>'7_EQUIPO_RRHH'!AS108</f>
        <v>29775.343333333334</v>
      </c>
      <c r="AT10" s="33">
        <f>'7_EQUIPO_RRHH'!AT108</f>
        <v>29775.343333333334</v>
      </c>
      <c r="AU10" s="33">
        <f>'7_EQUIPO_RRHH'!AU108</f>
        <v>29775.343333333334</v>
      </c>
      <c r="AV10" s="33">
        <f>'7_EQUIPO_RRHH'!AV108</f>
        <v>29775.343333333334</v>
      </c>
      <c r="AW10" s="33">
        <f>'7_EQUIPO_RRHH'!AW108</f>
        <v>29775.343333333334</v>
      </c>
      <c r="AX10" s="33">
        <f>'7_EQUIPO_RRHH'!AX108</f>
        <v>29775.343333333334</v>
      </c>
      <c r="AY10" s="33">
        <f>'7_EQUIPO_RRHH'!AY108</f>
        <v>29775.343333333334</v>
      </c>
      <c r="AZ10" s="33">
        <f>'7_EQUIPO_RRHH'!AZ108</f>
        <v>29775.343333333334</v>
      </c>
      <c r="BA10" s="33">
        <f>'7_EQUIPO_RRHH'!BA108</f>
        <v>29775.343333333334</v>
      </c>
      <c r="BB10" s="33">
        <f>'7_EQUIPO_RRHH'!BB108</f>
        <v>29775.343333333334</v>
      </c>
      <c r="BC10" s="33">
        <f>'7_EQUIPO_RRHH'!BC108</f>
        <v>29775.343333333334</v>
      </c>
      <c r="BD10" s="33">
        <f>'7_EQUIPO_RRHH'!BD108</f>
        <v>29775.343333333334</v>
      </c>
      <c r="BE10" s="33">
        <f>'7_EQUIPO_RRHH'!BE108</f>
        <v>29775.343333333334</v>
      </c>
      <c r="BF10" s="33">
        <f>'7_EQUIPO_RRHH'!BF108</f>
        <v>29775.343333333334</v>
      </c>
      <c r="BG10" s="33">
        <f>'7_EQUIPO_RRHH'!BG108</f>
        <v>29775.343333333334</v>
      </c>
      <c r="BH10" s="33">
        <f>'7_EQUIPO_RRHH'!BH108</f>
        <v>29775.343333333334</v>
      </c>
      <c r="BI10" s="33">
        <f>'7_EQUIPO_RRHH'!BI108</f>
        <v>29775.343333333334</v>
      </c>
      <c r="BJ10" s="33">
        <f>'7_EQUIPO_RRHH'!BJ108</f>
        <v>29775.343333333334</v>
      </c>
      <c r="BK10" s="33">
        <f>'7_EQUIPO_RRHH'!BK108</f>
        <v>29775.343333333334</v>
      </c>
      <c r="BL10" s="33">
        <f>'7_EQUIPO_RRHH'!BL108</f>
        <v>29775.343333333334</v>
      </c>
      <c r="BM10" s="33">
        <f>'7_EQUIPO_RRHH'!BM108</f>
        <v>29775.343333333334</v>
      </c>
      <c r="BN10" s="33">
        <f>'7_EQUIPO_RRHH'!BN108</f>
        <v>29775.343333333334</v>
      </c>
      <c r="BO10" s="33">
        <f>'7_EQUIPO_RRHH'!BO108</f>
        <v>29775.343333333334</v>
      </c>
      <c r="BP10" s="33">
        <f>'7_EQUIPO_RRHH'!BP108</f>
        <v>29775.343333333334</v>
      </c>
      <c r="BQ10" s="33">
        <f>'7_EQUIPO_RRHH'!BQ108</f>
        <v>29775.343333333334</v>
      </c>
      <c r="BR10" s="33">
        <f>'7_EQUIPO_RRHH'!BR108</f>
        <v>29775.343333333334</v>
      </c>
      <c r="BS10" s="33">
        <f>'7_EQUIPO_RRHH'!BS108</f>
        <v>29775.343333333334</v>
      </c>
      <c r="BT10" s="33">
        <f>'7_EQUIPO_RRHH'!BT108</f>
        <v>29775.343333333334</v>
      </c>
      <c r="BU10" s="33">
        <f>'7_EQUIPO_RRHH'!BU108</f>
        <v>29775.343333333334</v>
      </c>
      <c r="BV10" s="33">
        <f>'7_EQUIPO_RRHH'!BV108</f>
        <v>29775.343333333334</v>
      </c>
      <c r="BW10" s="33">
        <f>'7_EQUIPO_RRHH'!BW108</f>
        <v>29775.343333333334</v>
      </c>
      <c r="BX10" s="33">
        <f>'7_EQUIPO_RRHH'!BX108</f>
        <v>29775.343333333334</v>
      </c>
      <c r="BY10" s="33">
        <f>'7_EQUIPO_RRHH'!BY108</f>
        <v>29775.343333333334</v>
      </c>
      <c r="BZ10" s="33">
        <f>'7_EQUIPO_RRHH'!BZ108</f>
        <v>29775.343333333334</v>
      </c>
      <c r="CA10" s="33">
        <f>'7_EQUIPO_RRHH'!CA108</f>
        <v>29775.343333333334</v>
      </c>
      <c r="CB10" s="33">
        <f>'7_EQUIPO_RRHH'!CB108</f>
        <v>29775.343333333334</v>
      </c>
      <c r="CC10" s="33">
        <f>'7_EQUIPO_RRHH'!CC108</f>
        <v>29775.343333333334</v>
      </c>
      <c r="CD10" s="33">
        <f>'7_EQUIPO_RRHH'!CD108</f>
        <v>29775.343333333334</v>
      </c>
      <c r="CE10" s="33">
        <f>'7_EQUIPO_RRHH'!CE108</f>
        <v>29775.343333333334</v>
      </c>
      <c r="CF10" s="33">
        <f>'7_EQUIPO_RRHH'!CF108</f>
        <v>29775.343333333334</v>
      </c>
      <c r="CG10" s="33">
        <f>'7_EQUIPO_RRHH'!CG108</f>
        <v>29775.343333333334</v>
      </c>
      <c r="CH10" s="33">
        <f>'7_EQUIPO_RRHH'!CH108</f>
        <v>29775.343333333334</v>
      </c>
      <c r="CI10" s="33">
        <f>'7_EQUIPO_RRHH'!CI108</f>
        <v>29775.343333333334</v>
      </c>
    </row>
    <row r="11" spans="1:87" ht="16.5">
      <c r="A11" s="6" t="s">
        <v>613</v>
      </c>
      <c r="B11" s="30" t="s">
        <v>465</v>
      </c>
      <c r="C11" s="17" t="s">
        <v>614</v>
      </c>
      <c r="D11" s="33">
        <f>'1_PANEL_CONTROL'!$C$49</f>
        <v>2160</v>
      </c>
      <c r="E11" s="33">
        <f>'1_PANEL_CONTROL'!$C$49</f>
        <v>2160</v>
      </c>
      <c r="F11" s="33">
        <f>'1_PANEL_CONTROL'!$C$49</f>
        <v>2160</v>
      </c>
      <c r="G11" s="33">
        <f>'1_PANEL_CONTROL'!$C$49</f>
        <v>2160</v>
      </c>
      <c r="H11" s="33">
        <f>'1_PANEL_CONTROL'!$C$49</f>
        <v>2160</v>
      </c>
      <c r="I11" s="33">
        <f>'1_PANEL_CONTROL'!$C$49</f>
        <v>2160</v>
      </c>
      <c r="J11" s="33">
        <f>'1_PANEL_CONTROL'!$C$49</f>
        <v>2160</v>
      </c>
      <c r="K11" s="33">
        <f>'1_PANEL_CONTROL'!$C$49</f>
        <v>2160</v>
      </c>
      <c r="L11" s="33">
        <f>'1_PANEL_CONTROL'!$C$49</f>
        <v>2160</v>
      </c>
      <c r="M11" s="33">
        <f>'1_PANEL_CONTROL'!$C$49</f>
        <v>2160</v>
      </c>
      <c r="N11" s="33">
        <f>'1_PANEL_CONTROL'!$C$49</f>
        <v>2160</v>
      </c>
      <c r="O11" s="33">
        <f>'1_PANEL_CONTROL'!$C$49</f>
        <v>2160</v>
      </c>
      <c r="P11" s="33">
        <f>'1_PANEL_CONTROL'!$C$49</f>
        <v>2160</v>
      </c>
      <c r="Q11" s="33">
        <f>'1_PANEL_CONTROL'!$C$49</f>
        <v>2160</v>
      </c>
      <c r="R11" s="33">
        <f>'1_PANEL_CONTROL'!$C$49</f>
        <v>2160</v>
      </c>
      <c r="S11" s="33">
        <f>'1_PANEL_CONTROL'!$C$49</f>
        <v>2160</v>
      </c>
      <c r="T11" s="33">
        <f>'1_PANEL_CONTROL'!$C$49</f>
        <v>2160</v>
      </c>
      <c r="U11" s="33">
        <f>'1_PANEL_CONTROL'!$C$49</f>
        <v>2160</v>
      </c>
      <c r="V11" s="33">
        <f>'1_PANEL_CONTROL'!$C$49</f>
        <v>2160</v>
      </c>
      <c r="W11" s="33">
        <f>'1_PANEL_CONTROL'!$C$49</f>
        <v>2160</v>
      </c>
      <c r="X11" s="33">
        <f>'1_PANEL_CONTROL'!$C$49</f>
        <v>2160</v>
      </c>
      <c r="Y11" s="33">
        <f>'1_PANEL_CONTROL'!$C$49</f>
        <v>2160</v>
      </c>
      <c r="Z11" s="33">
        <f>'1_PANEL_CONTROL'!$C$49</f>
        <v>2160</v>
      </c>
      <c r="AA11" s="33">
        <f>'1_PANEL_CONTROL'!$C$49</f>
        <v>2160</v>
      </c>
      <c r="AB11" s="33">
        <f>'1_PANEL_CONTROL'!$C$49</f>
        <v>2160</v>
      </c>
      <c r="AC11" s="33">
        <f>'1_PANEL_CONTROL'!$C$49</f>
        <v>2160</v>
      </c>
      <c r="AD11" s="33">
        <f>'1_PANEL_CONTROL'!$C$49</f>
        <v>2160</v>
      </c>
      <c r="AE11" s="33">
        <f>'1_PANEL_CONTROL'!$C$49</f>
        <v>2160</v>
      </c>
      <c r="AF11" s="33">
        <f>'1_PANEL_CONTROL'!$C$49</f>
        <v>2160</v>
      </c>
      <c r="AG11" s="33">
        <f>'1_PANEL_CONTROL'!$C$49</f>
        <v>2160</v>
      </c>
      <c r="AH11" s="33">
        <f>'1_PANEL_CONTROL'!$C$49</f>
        <v>2160</v>
      </c>
      <c r="AI11" s="33">
        <f>'1_PANEL_CONTROL'!$C$49</f>
        <v>2160</v>
      </c>
      <c r="AJ11" s="33">
        <f>'1_PANEL_CONTROL'!$C$49</f>
        <v>2160</v>
      </c>
      <c r="AK11" s="33">
        <f>'1_PANEL_CONTROL'!$C$49</f>
        <v>2160</v>
      </c>
      <c r="AL11" s="33">
        <f>'1_PANEL_CONTROL'!$C$49</f>
        <v>2160</v>
      </c>
      <c r="AM11" s="33">
        <f>'1_PANEL_CONTROL'!$C$49</f>
        <v>2160</v>
      </c>
      <c r="AN11" s="33">
        <f>'1_PANEL_CONTROL'!$C$49</f>
        <v>2160</v>
      </c>
      <c r="AO11" s="33">
        <f>'1_PANEL_CONTROL'!$C$49</f>
        <v>2160</v>
      </c>
      <c r="AP11" s="33">
        <f>'1_PANEL_CONTROL'!$C$49</f>
        <v>2160</v>
      </c>
      <c r="AQ11" s="33">
        <f>'1_PANEL_CONTROL'!$C$49</f>
        <v>2160</v>
      </c>
      <c r="AR11" s="33">
        <f>'1_PANEL_CONTROL'!$C$49</f>
        <v>2160</v>
      </c>
      <c r="AS11" s="33">
        <f>'1_PANEL_CONTROL'!$C$49</f>
        <v>2160</v>
      </c>
      <c r="AT11" s="33">
        <f>'1_PANEL_CONTROL'!$C$49</f>
        <v>2160</v>
      </c>
      <c r="AU11" s="33">
        <f>'1_PANEL_CONTROL'!$C$49</f>
        <v>2160</v>
      </c>
      <c r="AV11" s="33">
        <f>'1_PANEL_CONTROL'!$C$49</f>
        <v>2160</v>
      </c>
      <c r="AW11" s="33">
        <f>'1_PANEL_CONTROL'!$C$49</f>
        <v>2160</v>
      </c>
      <c r="AX11" s="33">
        <f>'1_PANEL_CONTROL'!$C$49</f>
        <v>2160</v>
      </c>
      <c r="AY11" s="33">
        <f>'1_PANEL_CONTROL'!$C$49</f>
        <v>2160</v>
      </c>
      <c r="AZ11" s="33">
        <f>'1_PANEL_CONTROL'!$C$49</f>
        <v>2160</v>
      </c>
      <c r="BA11" s="33">
        <f>'1_PANEL_CONTROL'!$C$49</f>
        <v>2160</v>
      </c>
      <c r="BB11" s="33">
        <f>'1_PANEL_CONTROL'!$C$49</f>
        <v>2160</v>
      </c>
      <c r="BC11" s="33">
        <f>'1_PANEL_CONTROL'!$C$49</f>
        <v>2160</v>
      </c>
      <c r="BD11" s="33">
        <f>'1_PANEL_CONTROL'!$C$49</f>
        <v>2160</v>
      </c>
      <c r="BE11" s="33">
        <f>'1_PANEL_CONTROL'!$C$49</f>
        <v>2160</v>
      </c>
      <c r="BF11" s="33">
        <f>'1_PANEL_CONTROL'!$C$49</f>
        <v>2160</v>
      </c>
      <c r="BG11" s="33">
        <f>'1_PANEL_CONTROL'!$C$49</f>
        <v>2160</v>
      </c>
      <c r="BH11" s="33">
        <f>'1_PANEL_CONTROL'!$C$49</f>
        <v>2160</v>
      </c>
      <c r="BI11" s="33">
        <f>'1_PANEL_CONTROL'!$C$49</f>
        <v>2160</v>
      </c>
      <c r="BJ11" s="33">
        <f>'1_PANEL_CONTROL'!$C$49</f>
        <v>2160</v>
      </c>
      <c r="BK11" s="33">
        <f>'1_PANEL_CONTROL'!$C$49</f>
        <v>2160</v>
      </c>
      <c r="BL11" s="33">
        <f>'1_PANEL_CONTROL'!$C$49</f>
        <v>2160</v>
      </c>
      <c r="BM11" s="33">
        <f>'1_PANEL_CONTROL'!$C$49</f>
        <v>2160</v>
      </c>
      <c r="BN11" s="33">
        <f>'1_PANEL_CONTROL'!$C$49</f>
        <v>2160</v>
      </c>
      <c r="BO11" s="33">
        <f>'1_PANEL_CONTROL'!$C$49</f>
        <v>2160</v>
      </c>
      <c r="BP11" s="33">
        <f>'1_PANEL_CONTROL'!$C$49</f>
        <v>2160</v>
      </c>
      <c r="BQ11" s="33">
        <f>'1_PANEL_CONTROL'!$C$49</f>
        <v>2160</v>
      </c>
      <c r="BR11" s="33">
        <f>'1_PANEL_CONTROL'!$C$49</f>
        <v>2160</v>
      </c>
      <c r="BS11" s="33">
        <f>'1_PANEL_CONTROL'!$C$49</f>
        <v>2160</v>
      </c>
      <c r="BT11" s="33">
        <f>'1_PANEL_CONTROL'!$C$49</f>
        <v>2160</v>
      </c>
      <c r="BU11" s="33">
        <f>'1_PANEL_CONTROL'!$C$49</f>
        <v>2160</v>
      </c>
      <c r="BV11" s="33">
        <f>'1_PANEL_CONTROL'!$C$49</f>
        <v>2160</v>
      </c>
      <c r="BW11" s="33">
        <f>'1_PANEL_CONTROL'!$C$49</f>
        <v>2160</v>
      </c>
      <c r="BX11" s="33">
        <f>'1_PANEL_CONTROL'!$C$49</f>
        <v>2160</v>
      </c>
      <c r="BY11" s="33">
        <f>'1_PANEL_CONTROL'!$C$49</f>
        <v>2160</v>
      </c>
      <c r="BZ11" s="33">
        <f>'1_PANEL_CONTROL'!$C$49</f>
        <v>2160</v>
      </c>
      <c r="CA11" s="33">
        <f>'1_PANEL_CONTROL'!$C$49</f>
        <v>2160</v>
      </c>
      <c r="CB11" s="33">
        <f>'1_PANEL_CONTROL'!$C$49</f>
        <v>2160</v>
      </c>
      <c r="CC11" s="33">
        <f>'1_PANEL_CONTROL'!$C$49</f>
        <v>2160</v>
      </c>
      <c r="CD11" s="33">
        <f>'1_PANEL_CONTROL'!$C$49</f>
        <v>2160</v>
      </c>
      <c r="CE11" s="33">
        <f>'1_PANEL_CONTROL'!$C$49</f>
        <v>2160</v>
      </c>
      <c r="CF11" s="33">
        <f>'1_PANEL_CONTROL'!$C$49</f>
        <v>2160</v>
      </c>
      <c r="CG11" s="33">
        <f>'1_PANEL_CONTROL'!$C$49</f>
        <v>2160</v>
      </c>
      <c r="CH11" s="33">
        <f>'1_PANEL_CONTROL'!$C$49</f>
        <v>2160</v>
      </c>
      <c r="CI11" s="33">
        <f>'1_PANEL_CONTROL'!$C$49</f>
        <v>2160</v>
      </c>
    </row>
    <row r="12" spans="1:87" ht="16.5">
      <c r="A12" s="6" t="s">
        <v>615</v>
      </c>
      <c r="B12" s="30" t="s">
        <v>465</v>
      </c>
      <c r="C12" s="17" t="s">
        <v>616</v>
      </c>
      <c r="D12" s="33">
        <f>'1_PANEL_CONTROL'!$C$50</f>
        <v>100</v>
      </c>
      <c r="E12" s="33">
        <f>'1_PANEL_CONTROL'!$C$50</f>
        <v>100</v>
      </c>
      <c r="F12" s="33">
        <f>'1_PANEL_CONTROL'!$C$50</f>
        <v>100</v>
      </c>
      <c r="G12" s="33">
        <f>'1_PANEL_CONTROL'!$C$50</f>
        <v>100</v>
      </c>
      <c r="H12" s="33">
        <f>'1_PANEL_CONTROL'!$C$50</f>
        <v>100</v>
      </c>
      <c r="I12" s="33">
        <f>'1_PANEL_CONTROL'!$C$50</f>
        <v>100</v>
      </c>
      <c r="J12" s="33">
        <f>'1_PANEL_CONTROL'!$C$50</f>
        <v>100</v>
      </c>
      <c r="K12" s="33">
        <f>'1_PANEL_CONTROL'!$C$50</f>
        <v>100</v>
      </c>
      <c r="L12" s="33">
        <f>'1_PANEL_CONTROL'!$C$50</f>
        <v>100</v>
      </c>
      <c r="M12" s="33">
        <f>'1_PANEL_CONTROL'!$C$50</f>
        <v>100</v>
      </c>
      <c r="N12" s="33">
        <f>'1_PANEL_CONTROL'!$C$50</f>
        <v>100</v>
      </c>
      <c r="O12" s="33">
        <f>'1_PANEL_CONTROL'!$C$50</f>
        <v>100</v>
      </c>
      <c r="P12" s="33">
        <f>'1_PANEL_CONTROL'!$C$50</f>
        <v>100</v>
      </c>
      <c r="Q12" s="33">
        <f>'1_PANEL_CONTROL'!$C$50</f>
        <v>100</v>
      </c>
      <c r="R12" s="33">
        <f>'1_PANEL_CONTROL'!$C$50</f>
        <v>100</v>
      </c>
      <c r="S12" s="33">
        <f>'1_PANEL_CONTROL'!$C$50</f>
        <v>100</v>
      </c>
      <c r="T12" s="33">
        <f>'1_PANEL_CONTROL'!$C$50</f>
        <v>100</v>
      </c>
      <c r="U12" s="33">
        <f>'1_PANEL_CONTROL'!$C$50</f>
        <v>100</v>
      </c>
      <c r="V12" s="33">
        <f>'1_PANEL_CONTROL'!$C$50</f>
        <v>100</v>
      </c>
      <c r="W12" s="33">
        <f>'1_PANEL_CONTROL'!$C$50</f>
        <v>100</v>
      </c>
      <c r="X12" s="33">
        <f>'1_PANEL_CONTROL'!$C$50</f>
        <v>100</v>
      </c>
      <c r="Y12" s="33">
        <f>'1_PANEL_CONTROL'!$C$50</f>
        <v>100</v>
      </c>
      <c r="Z12" s="33">
        <f>'1_PANEL_CONTROL'!$C$50</f>
        <v>100</v>
      </c>
      <c r="AA12" s="33">
        <f>'1_PANEL_CONTROL'!$C$50</f>
        <v>100</v>
      </c>
      <c r="AB12" s="33">
        <f>'1_PANEL_CONTROL'!$C$50</f>
        <v>100</v>
      </c>
      <c r="AC12" s="33">
        <f>'1_PANEL_CONTROL'!$C$50</f>
        <v>100</v>
      </c>
      <c r="AD12" s="33">
        <f>'1_PANEL_CONTROL'!$C$50</f>
        <v>100</v>
      </c>
      <c r="AE12" s="33">
        <f>'1_PANEL_CONTROL'!$C$50</f>
        <v>100</v>
      </c>
      <c r="AF12" s="33">
        <f>'1_PANEL_CONTROL'!$C$50</f>
        <v>100</v>
      </c>
      <c r="AG12" s="33">
        <f>'1_PANEL_CONTROL'!$C$50</f>
        <v>100</v>
      </c>
      <c r="AH12" s="33">
        <f>'1_PANEL_CONTROL'!$C$50</f>
        <v>100</v>
      </c>
      <c r="AI12" s="33">
        <f>'1_PANEL_CONTROL'!$C$50</f>
        <v>100</v>
      </c>
      <c r="AJ12" s="33">
        <f>'1_PANEL_CONTROL'!$C$50</f>
        <v>100</v>
      </c>
      <c r="AK12" s="33">
        <f>'1_PANEL_CONTROL'!$C$50</f>
        <v>100</v>
      </c>
      <c r="AL12" s="33">
        <f>'1_PANEL_CONTROL'!$C$50</f>
        <v>100</v>
      </c>
      <c r="AM12" s="33">
        <f>'1_PANEL_CONTROL'!$C$50</f>
        <v>100</v>
      </c>
      <c r="AN12" s="33">
        <f>'1_PANEL_CONTROL'!$C$50</f>
        <v>100</v>
      </c>
      <c r="AO12" s="33">
        <f>'1_PANEL_CONTROL'!$C$50</f>
        <v>100</v>
      </c>
      <c r="AP12" s="33">
        <f>'1_PANEL_CONTROL'!$C$50</f>
        <v>100</v>
      </c>
      <c r="AQ12" s="33">
        <f>'1_PANEL_CONTROL'!$C$50</f>
        <v>100</v>
      </c>
      <c r="AR12" s="33">
        <f>'1_PANEL_CONTROL'!$C$50</f>
        <v>100</v>
      </c>
      <c r="AS12" s="33">
        <f>'1_PANEL_CONTROL'!$C$50</f>
        <v>100</v>
      </c>
      <c r="AT12" s="33">
        <f>'1_PANEL_CONTROL'!$C$50</f>
        <v>100</v>
      </c>
      <c r="AU12" s="33">
        <f>'1_PANEL_CONTROL'!$C$50</f>
        <v>100</v>
      </c>
      <c r="AV12" s="33">
        <f>'1_PANEL_CONTROL'!$C$50</f>
        <v>100</v>
      </c>
      <c r="AW12" s="33">
        <f>'1_PANEL_CONTROL'!$C$50</f>
        <v>100</v>
      </c>
      <c r="AX12" s="33">
        <f>'1_PANEL_CONTROL'!$C$50</f>
        <v>100</v>
      </c>
      <c r="AY12" s="33">
        <f>'1_PANEL_CONTROL'!$C$50</f>
        <v>100</v>
      </c>
      <c r="AZ12" s="33">
        <f>'1_PANEL_CONTROL'!$C$50</f>
        <v>100</v>
      </c>
      <c r="BA12" s="33">
        <f>'1_PANEL_CONTROL'!$C$50</f>
        <v>100</v>
      </c>
      <c r="BB12" s="33">
        <f>'1_PANEL_CONTROL'!$C$50</f>
        <v>100</v>
      </c>
      <c r="BC12" s="33">
        <f>'1_PANEL_CONTROL'!$C$50</f>
        <v>100</v>
      </c>
      <c r="BD12" s="33">
        <f>'1_PANEL_CONTROL'!$C$50</f>
        <v>100</v>
      </c>
      <c r="BE12" s="33">
        <f>'1_PANEL_CONTROL'!$C$50</f>
        <v>100</v>
      </c>
      <c r="BF12" s="33">
        <f>'1_PANEL_CONTROL'!$C$50</f>
        <v>100</v>
      </c>
      <c r="BG12" s="33">
        <f>'1_PANEL_CONTROL'!$C$50</f>
        <v>100</v>
      </c>
      <c r="BH12" s="33">
        <f>'1_PANEL_CONTROL'!$C$50</f>
        <v>100</v>
      </c>
      <c r="BI12" s="33">
        <f>'1_PANEL_CONTROL'!$C$50</f>
        <v>100</v>
      </c>
      <c r="BJ12" s="33">
        <f>'1_PANEL_CONTROL'!$C$50</f>
        <v>100</v>
      </c>
      <c r="BK12" s="33">
        <f>'1_PANEL_CONTROL'!$C$50</f>
        <v>100</v>
      </c>
      <c r="BL12" s="33">
        <f>'1_PANEL_CONTROL'!$C$50</f>
        <v>100</v>
      </c>
      <c r="BM12" s="33">
        <f>'1_PANEL_CONTROL'!$C$50</f>
        <v>100</v>
      </c>
      <c r="BN12" s="33">
        <f>'1_PANEL_CONTROL'!$C$50</f>
        <v>100</v>
      </c>
      <c r="BO12" s="33">
        <f>'1_PANEL_CONTROL'!$C$50</f>
        <v>100</v>
      </c>
      <c r="BP12" s="33">
        <f>'1_PANEL_CONTROL'!$C$50</f>
        <v>100</v>
      </c>
      <c r="BQ12" s="33">
        <f>'1_PANEL_CONTROL'!$C$50</f>
        <v>100</v>
      </c>
      <c r="BR12" s="33">
        <f>'1_PANEL_CONTROL'!$C$50</f>
        <v>100</v>
      </c>
      <c r="BS12" s="33">
        <f>'1_PANEL_CONTROL'!$C$50</f>
        <v>100</v>
      </c>
      <c r="BT12" s="33">
        <f>'1_PANEL_CONTROL'!$C$50</f>
        <v>100</v>
      </c>
      <c r="BU12" s="33">
        <f>'1_PANEL_CONTROL'!$C$50</f>
        <v>100</v>
      </c>
      <c r="BV12" s="33">
        <f>'1_PANEL_CONTROL'!$C$50</f>
        <v>100</v>
      </c>
      <c r="BW12" s="33">
        <f>'1_PANEL_CONTROL'!$C$50</f>
        <v>100</v>
      </c>
      <c r="BX12" s="33">
        <f>'1_PANEL_CONTROL'!$C$50</f>
        <v>100</v>
      </c>
      <c r="BY12" s="33">
        <f>'1_PANEL_CONTROL'!$C$50</f>
        <v>100</v>
      </c>
      <c r="BZ12" s="33">
        <f>'1_PANEL_CONTROL'!$C$50</f>
        <v>100</v>
      </c>
      <c r="CA12" s="33">
        <f>'1_PANEL_CONTROL'!$C$50</f>
        <v>100</v>
      </c>
      <c r="CB12" s="33">
        <f>'1_PANEL_CONTROL'!$C$50</f>
        <v>100</v>
      </c>
      <c r="CC12" s="33">
        <f>'1_PANEL_CONTROL'!$C$50</f>
        <v>100</v>
      </c>
      <c r="CD12" s="33">
        <f>'1_PANEL_CONTROL'!$C$50</f>
        <v>100</v>
      </c>
      <c r="CE12" s="33">
        <f>'1_PANEL_CONTROL'!$C$50</f>
        <v>100</v>
      </c>
      <c r="CF12" s="33">
        <f>'1_PANEL_CONTROL'!$C$50</f>
        <v>100</v>
      </c>
      <c r="CG12" s="33">
        <f>'1_PANEL_CONTROL'!$C$50</f>
        <v>100</v>
      </c>
      <c r="CH12" s="33">
        <f>'1_PANEL_CONTROL'!$C$50</f>
        <v>100</v>
      </c>
      <c r="CI12" s="33">
        <f>'1_PANEL_CONTROL'!$C$50</f>
        <v>100</v>
      </c>
    </row>
    <row r="13" spans="1:87" ht="16.5">
      <c r="A13" s="6" t="s">
        <v>617</v>
      </c>
      <c r="B13" s="30" t="s">
        <v>465</v>
      </c>
      <c r="C13" s="17" t="s">
        <v>618</v>
      </c>
      <c r="D13" s="33">
        <f>'1_PANEL_CONTROL'!$C$51</f>
        <v>112</v>
      </c>
      <c r="E13" s="33">
        <f>'1_PANEL_CONTROL'!$C$51</f>
        <v>112</v>
      </c>
      <c r="F13" s="33">
        <f>'1_PANEL_CONTROL'!$C$51</f>
        <v>112</v>
      </c>
      <c r="G13" s="33">
        <f>'1_PANEL_CONTROL'!$C$51</f>
        <v>112</v>
      </c>
      <c r="H13" s="33">
        <f>'1_PANEL_CONTROL'!$C$51</f>
        <v>112</v>
      </c>
      <c r="I13" s="33">
        <f>'1_PANEL_CONTROL'!$C$51</f>
        <v>112</v>
      </c>
      <c r="J13" s="33">
        <f>'1_PANEL_CONTROL'!$C$51</f>
        <v>112</v>
      </c>
      <c r="K13" s="33">
        <f>'1_PANEL_CONTROL'!$C$51</f>
        <v>112</v>
      </c>
      <c r="L13" s="33">
        <f>'1_PANEL_CONTROL'!$C$51</f>
        <v>112</v>
      </c>
      <c r="M13" s="33">
        <f>'1_PANEL_CONTROL'!$C$51</f>
        <v>112</v>
      </c>
      <c r="N13" s="33">
        <f>'1_PANEL_CONTROL'!$C$51</f>
        <v>112</v>
      </c>
      <c r="O13" s="33">
        <f>'1_PANEL_CONTROL'!$C$51</f>
        <v>112</v>
      </c>
      <c r="P13" s="33">
        <f>'1_PANEL_CONTROL'!$C$51</f>
        <v>112</v>
      </c>
      <c r="Q13" s="33">
        <f>'1_PANEL_CONTROL'!$C$51</f>
        <v>112</v>
      </c>
      <c r="R13" s="33">
        <f>'1_PANEL_CONTROL'!$C$51</f>
        <v>112</v>
      </c>
      <c r="S13" s="33">
        <f>'1_PANEL_CONTROL'!$C$51</f>
        <v>112</v>
      </c>
      <c r="T13" s="33">
        <f>'1_PANEL_CONTROL'!$C$51</f>
        <v>112</v>
      </c>
      <c r="U13" s="33">
        <f>'1_PANEL_CONTROL'!$C$51</f>
        <v>112</v>
      </c>
      <c r="V13" s="33">
        <f>'1_PANEL_CONTROL'!$C$51</f>
        <v>112</v>
      </c>
      <c r="W13" s="33">
        <f>'1_PANEL_CONTROL'!$C$51</f>
        <v>112</v>
      </c>
      <c r="X13" s="33">
        <f>'1_PANEL_CONTROL'!$C$51</f>
        <v>112</v>
      </c>
      <c r="Y13" s="33">
        <f>'1_PANEL_CONTROL'!$C$51</f>
        <v>112</v>
      </c>
      <c r="Z13" s="33">
        <f>'1_PANEL_CONTROL'!$C$51</f>
        <v>112</v>
      </c>
      <c r="AA13" s="33">
        <f>'1_PANEL_CONTROL'!$C$51</f>
        <v>112</v>
      </c>
      <c r="AB13" s="33">
        <f>'1_PANEL_CONTROL'!$C$51</f>
        <v>112</v>
      </c>
      <c r="AC13" s="33">
        <f>'1_PANEL_CONTROL'!$C$51</f>
        <v>112</v>
      </c>
      <c r="AD13" s="33">
        <f>'1_PANEL_CONTROL'!$C$51</f>
        <v>112</v>
      </c>
      <c r="AE13" s="33">
        <f>'1_PANEL_CONTROL'!$C$51</f>
        <v>112</v>
      </c>
      <c r="AF13" s="33">
        <f>'1_PANEL_CONTROL'!$C$51</f>
        <v>112</v>
      </c>
      <c r="AG13" s="33">
        <f>'1_PANEL_CONTROL'!$C$51</f>
        <v>112</v>
      </c>
      <c r="AH13" s="33">
        <f>'1_PANEL_CONTROL'!$C$51</f>
        <v>112</v>
      </c>
      <c r="AI13" s="33">
        <f>'1_PANEL_CONTROL'!$C$51</f>
        <v>112</v>
      </c>
      <c r="AJ13" s="33">
        <f>'1_PANEL_CONTROL'!$C$51</f>
        <v>112</v>
      </c>
      <c r="AK13" s="33">
        <f>'1_PANEL_CONTROL'!$C$51</f>
        <v>112</v>
      </c>
      <c r="AL13" s="33">
        <f>'1_PANEL_CONTROL'!$C$51</f>
        <v>112</v>
      </c>
      <c r="AM13" s="33">
        <f>'1_PANEL_CONTROL'!$C$51</f>
        <v>112</v>
      </c>
      <c r="AN13" s="33">
        <f>'1_PANEL_CONTROL'!$C$51</f>
        <v>112</v>
      </c>
      <c r="AO13" s="33">
        <f>'1_PANEL_CONTROL'!$C$51</f>
        <v>112</v>
      </c>
      <c r="AP13" s="33">
        <f>'1_PANEL_CONTROL'!$C$51</f>
        <v>112</v>
      </c>
      <c r="AQ13" s="33">
        <f>'1_PANEL_CONTROL'!$C$51</f>
        <v>112</v>
      </c>
      <c r="AR13" s="33">
        <f>'1_PANEL_CONTROL'!$C$51</f>
        <v>112</v>
      </c>
      <c r="AS13" s="33">
        <f>'1_PANEL_CONTROL'!$C$51</f>
        <v>112</v>
      </c>
      <c r="AT13" s="33">
        <f>'1_PANEL_CONTROL'!$C$51</f>
        <v>112</v>
      </c>
      <c r="AU13" s="33">
        <f>'1_PANEL_CONTROL'!$C$51</f>
        <v>112</v>
      </c>
      <c r="AV13" s="33">
        <f>'1_PANEL_CONTROL'!$C$51</f>
        <v>112</v>
      </c>
      <c r="AW13" s="33">
        <f>'1_PANEL_CONTROL'!$C$51</f>
        <v>112</v>
      </c>
      <c r="AX13" s="33">
        <f>'1_PANEL_CONTROL'!$C$51</f>
        <v>112</v>
      </c>
      <c r="AY13" s="33">
        <f>'1_PANEL_CONTROL'!$C$51</f>
        <v>112</v>
      </c>
      <c r="AZ13" s="33">
        <f>'1_PANEL_CONTROL'!$C$51</f>
        <v>112</v>
      </c>
      <c r="BA13" s="33">
        <f>'1_PANEL_CONTROL'!$C$51</f>
        <v>112</v>
      </c>
      <c r="BB13" s="33">
        <f>'1_PANEL_CONTROL'!$C$51</f>
        <v>112</v>
      </c>
      <c r="BC13" s="33">
        <f>'1_PANEL_CONTROL'!$C$51</f>
        <v>112</v>
      </c>
      <c r="BD13" s="33">
        <f>'1_PANEL_CONTROL'!$C$51</f>
        <v>112</v>
      </c>
      <c r="BE13" s="33">
        <f>'1_PANEL_CONTROL'!$C$51</f>
        <v>112</v>
      </c>
      <c r="BF13" s="33">
        <f>'1_PANEL_CONTROL'!$C$51</f>
        <v>112</v>
      </c>
      <c r="BG13" s="33">
        <f>'1_PANEL_CONTROL'!$C$51</f>
        <v>112</v>
      </c>
      <c r="BH13" s="33">
        <f>'1_PANEL_CONTROL'!$C$51</f>
        <v>112</v>
      </c>
      <c r="BI13" s="33">
        <f>'1_PANEL_CONTROL'!$C$51</f>
        <v>112</v>
      </c>
      <c r="BJ13" s="33">
        <f>'1_PANEL_CONTROL'!$C$51</f>
        <v>112</v>
      </c>
      <c r="BK13" s="33">
        <f>'1_PANEL_CONTROL'!$C$51</f>
        <v>112</v>
      </c>
      <c r="BL13" s="33">
        <f>'1_PANEL_CONTROL'!$C$51</f>
        <v>112</v>
      </c>
      <c r="BM13" s="33">
        <f>'1_PANEL_CONTROL'!$C$51</f>
        <v>112</v>
      </c>
      <c r="BN13" s="33">
        <f>'1_PANEL_CONTROL'!$C$51</f>
        <v>112</v>
      </c>
      <c r="BO13" s="33">
        <f>'1_PANEL_CONTROL'!$C$51</f>
        <v>112</v>
      </c>
      <c r="BP13" s="33">
        <f>'1_PANEL_CONTROL'!$C$51</f>
        <v>112</v>
      </c>
      <c r="BQ13" s="33">
        <f>'1_PANEL_CONTROL'!$C$51</f>
        <v>112</v>
      </c>
      <c r="BR13" s="33">
        <f>'1_PANEL_CONTROL'!$C$51</f>
        <v>112</v>
      </c>
      <c r="BS13" s="33">
        <f>'1_PANEL_CONTROL'!$C$51</f>
        <v>112</v>
      </c>
      <c r="BT13" s="33">
        <f>'1_PANEL_CONTROL'!$C$51</f>
        <v>112</v>
      </c>
      <c r="BU13" s="33">
        <f>'1_PANEL_CONTROL'!$C$51</f>
        <v>112</v>
      </c>
      <c r="BV13" s="33">
        <f>'1_PANEL_CONTROL'!$C$51</f>
        <v>112</v>
      </c>
      <c r="BW13" s="33">
        <f>'1_PANEL_CONTROL'!$C$51</f>
        <v>112</v>
      </c>
      <c r="BX13" s="33">
        <f>'1_PANEL_CONTROL'!$C$51</f>
        <v>112</v>
      </c>
      <c r="BY13" s="33">
        <f>'1_PANEL_CONTROL'!$C$51</f>
        <v>112</v>
      </c>
      <c r="BZ13" s="33">
        <f>'1_PANEL_CONTROL'!$C$51</f>
        <v>112</v>
      </c>
      <c r="CA13" s="33">
        <f>'1_PANEL_CONTROL'!$C$51</f>
        <v>112</v>
      </c>
      <c r="CB13" s="33">
        <f>'1_PANEL_CONTROL'!$C$51</f>
        <v>112</v>
      </c>
      <c r="CC13" s="33">
        <f>'1_PANEL_CONTROL'!$C$51</f>
        <v>112</v>
      </c>
      <c r="CD13" s="33">
        <f>'1_PANEL_CONTROL'!$C$51</f>
        <v>112</v>
      </c>
      <c r="CE13" s="33">
        <f>'1_PANEL_CONTROL'!$C$51</f>
        <v>112</v>
      </c>
      <c r="CF13" s="33">
        <f>'1_PANEL_CONTROL'!$C$51</f>
        <v>112</v>
      </c>
      <c r="CG13" s="33">
        <f>'1_PANEL_CONTROL'!$C$51</f>
        <v>112</v>
      </c>
      <c r="CH13" s="33">
        <f>'1_PANEL_CONTROL'!$C$51</f>
        <v>112</v>
      </c>
      <c r="CI13" s="33">
        <f>'1_PANEL_CONTROL'!$C$51</f>
        <v>112</v>
      </c>
    </row>
    <row r="14" spans="1:87" ht="16.5">
      <c r="A14" s="6" t="s">
        <v>619</v>
      </c>
      <c r="B14" s="30" t="s">
        <v>465</v>
      </c>
      <c r="C14" s="17" t="s">
        <v>620</v>
      </c>
      <c r="D14" s="33">
        <f>'1_PANEL_CONTROL'!$C$52</f>
        <v>60</v>
      </c>
      <c r="E14" s="33">
        <f>'1_PANEL_CONTROL'!$C$52</f>
        <v>60</v>
      </c>
      <c r="F14" s="33">
        <f>'1_PANEL_CONTROL'!$C$52</f>
        <v>60</v>
      </c>
      <c r="G14" s="33">
        <f>'1_PANEL_CONTROL'!$C$52</f>
        <v>60</v>
      </c>
      <c r="H14" s="33">
        <f>'1_PANEL_CONTROL'!$C$52</f>
        <v>60</v>
      </c>
      <c r="I14" s="33">
        <f>'1_PANEL_CONTROL'!$C$52</f>
        <v>60</v>
      </c>
      <c r="J14" s="33">
        <f>'1_PANEL_CONTROL'!$C$52</f>
        <v>60</v>
      </c>
      <c r="K14" s="33">
        <f>'1_PANEL_CONTROL'!$C$52</f>
        <v>60</v>
      </c>
      <c r="L14" s="33">
        <f>'1_PANEL_CONTROL'!$C$52</f>
        <v>60</v>
      </c>
      <c r="M14" s="33">
        <f>'1_PANEL_CONTROL'!$C$52</f>
        <v>60</v>
      </c>
      <c r="N14" s="33">
        <f>'1_PANEL_CONTROL'!$C$52</f>
        <v>60</v>
      </c>
      <c r="O14" s="33">
        <f>'1_PANEL_CONTROL'!$C$52</f>
        <v>60</v>
      </c>
      <c r="P14" s="33">
        <f>'1_PANEL_CONTROL'!$C$52</f>
        <v>60</v>
      </c>
      <c r="Q14" s="33">
        <f>'1_PANEL_CONTROL'!$C$52</f>
        <v>60</v>
      </c>
      <c r="R14" s="33">
        <f>'1_PANEL_CONTROL'!$C$52</f>
        <v>60</v>
      </c>
      <c r="S14" s="33">
        <f>'1_PANEL_CONTROL'!$C$52</f>
        <v>60</v>
      </c>
      <c r="T14" s="33">
        <f>'1_PANEL_CONTROL'!$C$52</f>
        <v>60</v>
      </c>
      <c r="U14" s="33">
        <f>'1_PANEL_CONTROL'!$C$52</f>
        <v>60</v>
      </c>
      <c r="V14" s="33">
        <f>'1_PANEL_CONTROL'!$C$52</f>
        <v>60</v>
      </c>
      <c r="W14" s="33">
        <f>'1_PANEL_CONTROL'!$C$52</f>
        <v>60</v>
      </c>
      <c r="X14" s="33">
        <f>'1_PANEL_CONTROL'!$C$52</f>
        <v>60</v>
      </c>
      <c r="Y14" s="33">
        <f>'1_PANEL_CONTROL'!$C$52</f>
        <v>60</v>
      </c>
      <c r="Z14" s="33">
        <f>'1_PANEL_CONTROL'!$C$52</f>
        <v>60</v>
      </c>
      <c r="AA14" s="33">
        <f>'1_PANEL_CONTROL'!$C$52</f>
        <v>60</v>
      </c>
      <c r="AB14" s="33">
        <f>'1_PANEL_CONTROL'!$C$52</f>
        <v>60</v>
      </c>
      <c r="AC14" s="33">
        <f>'1_PANEL_CONTROL'!$C$52</f>
        <v>60</v>
      </c>
      <c r="AD14" s="33">
        <f>'1_PANEL_CONTROL'!$C$52</f>
        <v>60</v>
      </c>
      <c r="AE14" s="33">
        <f>'1_PANEL_CONTROL'!$C$52</f>
        <v>60</v>
      </c>
      <c r="AF14" s="33">
        <f>'1_PANEL_CONTROL'!$C$52</f>
        <v>60</v>
      </c>
      <c r="AG14" s="33">
        <f>'1_PANEL_CONTROL'!$C$52</f>
        <v>60</v>
      </c>
      <c r="AH14" s="33">
        <f>'1_PANEL_CONTROL'!$C$52</f>
        <v>60</v>
      </c>
      <c r="AI14" s="33">
        <f>'1_PANEL_CONTROL'!$C$52</f>
        <v>60</v>
      </c>
      <c r="AJ14" s="33">
        <f>'1_PANEL_CONTROL'!$C$52</f>
        <v>60</v>
      </c>
      <c r="AK14" s="33">
        <f>'1_PANEL_CONTROL'!$C$52</f>
        <v>60</v>
      </c>
      <c r="AL14" s="33">
        <f>'1_PANEL_CONTROL'!$C$52</f>
        <v>60</v>
      </c>
      <c r="AM14" s="33">
        <f>'1_PANEL_CONTROL'!$C$52</f>
        <v>60</v>
      </c>
      <c r="AN14" s="33">
        <f>'1_PANEL_CONTROL'!$C$52</f>
        <v>60</v>
      </c>
      <c r="AO14" s="33">
        <f>'1_PANEL_CONTROL'!$C$52</f>
        <v>60</v>
      </c>
      <c r="AP14" s="33">
        <f>'1_PANEL_CONTROL'!$C$52</f>
        <v>60</v>
      </c>
      <c r="AQ14" s="33">
        <f>'1_PANEL_CONTROL'!$C$52</f>
        <v>60</v>
      </c>
      <c r="AR14" s="33">
        <f>'1_PANEL_CONTROL'!$C$52</f>
        <v>60</v>
      </c>
      <c r="AS14" s="33">
        <f>'1_PANEL_CONTROL'!$C$52</f>
        <v>60</v>
      </c>
      <c r="AT14" s="33">
        <f>'1_PANEL_CONTROL'!$C$52</f>
        <v>60</v>
      </c>
      <c r="AU14" s="33">
        <f>'1_PANEL_CONTROL'!$C$52</f>
        <v>60</v>
      </c>
      <c r="AV14" s="33">
        <f>'1_PANEL_CONTROL'!$C$52</f>
        <v>60</v>
      </c>
      <c r="AW14" s="33">
        <f>'1_PANEL_CONTROL'!$C$52</f>
        <v>60</v>
      </c>
      <c r="AX14" s="33">
        <f>'1_PANEL_CONTROL'!$C$52</f>
        <v>60</v>
      </c>
      <c r="AY14" s="33">
        <f>'1_PANEL_CONTROL'!$C$52</f>
        <v>60</v>
      </c>
      <c r="AZ14" s="33">
        <f>'1_PANEL_CONTROL'!$C$52</f>
        <v>60</v>
      </c>
      <c r="BA14" s="33">
        <f>'1_PANEL_CONTROL'!$C$52</f>
        <v>60</v>
      </c>
      <c r="BB14" s="33">
        <f>'1_PANEL_CONTROL'!$C$52</f>
        <v>60</v>
      </c>
      <c r="BC14" s="33">
        <f>'1_PANEL_CONTROL'!$C$52</f>
        <v>60</v>
      </c>
      <c r="BD14" s="33">
        <f>'1_PANEL_CONTROL'!$C$52</f>
        <v>60</v>
      </c>
      <c r="BE14" s="33">
        <f>'1_PANEL_CONTROL'!$C$52</f>
        <v>60</v>
      </c>
      <c r="BF14" s="33">
        <f>'1_PANEL_CONTROL'!$C$52</f>
        <v>60</v>
      </c>
      <c r="BG14" s="33">
        <f>'1_PANEL_CONTROL'!$C$52</f>
        <v>60</v>
      </c>
      <c r="BH14" s="33">
        <f>'1_PANEL_CONTROL'!$C$52</f>
        <v>60</v>
      </c>
      <c r="BI14" s="33">
        <f>'1_PANEL_CONTROL'!$C$52</f>
        <v>60</v>
      </c>
      <c r="BJ14" s="33">
        <f>'1_PANEL_CONTROL'!$C$52</f>
        <v>60</v>
      </c>
      <c r="BK14" s="33">
        <f>'1_PANEL_CONTROL'!$C$52</f>
        <v>60</v>
      </c>
      <c r="BL14" s="33">
        <f>'1_PANEL_CONTROL'!$C$52</f>
        <v>60</v>
      </c>
      <c r="BM14" s="33">
        <f>'1_PANEL_CONTROL'!$C$52</f>
        <v>60</v>
      </c>
      <c r="BN14" s="33">
        <f>'1_PANEL_CONTROL'!$C$52</f>
        <v>60</v>
      </c>
      <c r="BO14" s="33">
        <f>'1_PANEL_CONTROL'!$C$52</f>
        <v>60</v>
      </c>
      <c r="BP14" s="33">
        <f>'1_PANEL_CONTROL'!$C$52</f>
        <v>60</v>
      </c>
      <c r="BQ14" s="33">
        <f>'1_PANEL_CONTROL'!$C$52</f>
        <v>60</v>
      </c>
      <c r="BR14" s="33">
        <f>'1_PANEL_CONTROL'!$C$52</f>
        <v>60</v>
      </c>
      <c r="BS14" s="33">
        <f>'1_PANEL_CONTROL'!$C$52</f>
        <v>60</v>
      </c>
      <c r="BT14" s="33">
        <f>'1_PANEL_CONTROL'!$C$52</f>
        <v>60</v>
      </c>
      <c r="BU14" s="33">
        <f>'1_PANEL_CONTROL'!$C$52</f>
        <v>60</v>
      </c>
      <c r="BV14" s="33">
        <f>'1_PANEL_CONTROL'!$C$52</f>
        <v>60</v>
      </c>
      <c r="BW14" s="33">
        <f>'1_PANEL_CONTROL'!$C$52</f>
        <v>60</v>
      </c>
      <c r="BX14" s="33">
        <f>'1_PANEL_CONTROL'!$C$52</f>
        <v>60</v>
      </c>
      <c r="BY14" s="33">
        <f>'1_PANEL_CONTROL'!$C$52</f>
        <v>60</v>
      </c>
      <c r="BZ14" s="33">
        <f>'1_PANEL_CONTROL'!$C$52</f>
        <v>60</v>
      </c>
      <c r="CA14" s="33">
        <f>'1_PANEL_CONTROL'!$C$52</f>
        <v>60</v>
      </c>
      <c r="CB14" s="33">
        <f>'1_PANEL_CONTROL'!$C$52</f>
        <v>60</v>
      </c>
      <c r="CC14" s="33">
        <f>'1_PANEL_CONTROL'!$C$52</f>
        <v>60</v>
      </c>
      <c r="CD14" s="33">
        <f>'1_PANEL_CONTROL'!$C$52</f>
        <v>60</v>
      </c>
      <c r="CE14" s="33">
        <f>'1_PANEL_CONTROL'!$C$52</f>
        <v>60</v>
      </c>
      <c r="CF14" s="33">
        <f>'1_PANEL_CONTROL'!$C$52</f>
        <v>60</v>
      </c>
      <c r="CG14" s="33">
        <f>'1_PANEL_CONTROL'!$C$52</f>
        <v>60</v>
      </c>
      <c r="CH14" s="33">
        <f>'1_PANEL_CONTROL'!$C$52</f>
        <v>60</v>
      </c>
      <c r="CI14" s="33">
        <f>'1_PANEL_CONTROL'!$C$52</f>
        <v>60</v>
      </c>
    </row>
    <row r="15" spans="1:87" ht="16.5">
      <c r="A15" s="6" t="s">
        <v>621</v>
      </c>
      <c r="B15" s="30" t="s">
        <v>465</v>
      </c>
      <c r="C15" s="17" t="s">
        <v>622</v>
      </c>
      <c r="D15" s="33">
        <f>'1_PANEL_CONTROL'!$C$53</f>
        <v>400</v>
      </c>
      <c r="E15" s="33">
        <f>'1_PANEL_CONTROL'!$C$53</f>
        <v>400</v>
      </c>
      <c r="F15" s="33">
        <f>'1_PANEL_CONTROL'!$C$53</f>
        <v>400</v>
      </c>
      <c r="G15" s="33">
        <f>'1_PANEL_CONTROL'!$C$53</f>
        <v>400</v>
      </c>
      <c r="H15" s="33">
        <f>'1_PANEL_CONTROL'!$C$53</f>
        <v>400</v>
      </c>
      <c r="I15" s="33">
        <f>'1_PANEL_CONTROL'!$C$53</f>
        <v>400</v>
      </c>
      <c r="J15" s="33">
        <f>'1_PANEL_CONTROL'!$C$53</f>
        <v>400</v>
      </c>
      <c r="K15" s="33">
        <f>'1_PANEL_CONTROL'!$C$53</f>
        <v>400</v>
      </c>
      <c r="L15" s="33">
        <f>'1_PANEL_CONTROL'!$C$53</f>
        <v>400</v>
      </c>
      <c r="M15" s="33">
        <f>'1_PANEL_CONTROL'!$C$53</f>
        <v>400</v>
      </c>
      <c r="N15" s="33">
        <f>'1_PANEL_CONTROL'!$C$53</f>
        <v>400</v>
      </c>
      <c r="O15" s="33">
        <f>'1_PANEL_CONTROL'!$C$53</f>
        <v>400</v>
      </c>
      <c r="P15" s="33">
        <f>'1_PANEL_CONTROL'!$C$53</f>
        <v>400</v>
      </c>
      <c r="Q15" s="33">
        <f>'1_PANEL_CONTROL'!$C$53</f>
        <v>400</v>
      </c>
      <c r="R15" s="33">
        <f>'1_PANEL_CONTROL'!$C$53</f>
        <v>400</v>
      </c>
      <c r="S15" s="33">
        <f>'1_PANEL_CONTROL'!$C$53</f>
        <v>400</v>
      </c>
      <c r="T15" s="33">
        <f>'1_PANEL_CONTROL'!$C$53</f>
        <v>400</v>
      </c>
      <c r="U15" s="33">
        <f>'1_PANEL_CONTROL'!$C$53</f>
        <v>400</v>
      </c>
      <c r="V15" s="33">
        <f>'1_PANEL_CONTROL'!$C$53</f>
        <v>400</v>
      </c>
      <c r="W15" s="33">
        <f>'1_PANEL_CONTROL'!$C$53</f>
        <v>400</v>
      </c>
      <c r="X15" s="33">
        <f>'1_PANEL_CONTROL'!$C$53</f>
        <v>400</v>
      </c>
      <c r="Y15" s="33">
        <f>'1_PANEL_CONTROL'!$C$53</f>
        <v>400</v>
      </c>
      <c r="Z15" s="33">
        <f>'1_PANEL_CONTROL'!$C$53</f>
        <v>400</v>
      </c>
      <c r="AA15" s="33">
        <f>'1_PANEL_CONTROL'!$C$53</f>
        <v>400</v>
      </c>
      <c r="AB15" s="33">
        <f>'1_PANEL_CONTROL'!$C$53</f>
        <v>400</v>
      </c>
      <c r="AC15" s="33">
        <f>'1_PANEL_CONTROL'!$C$53</f>
        <v>400</v>
      </c>
      <c r="AD15" s="33">
        <f>'1_PANEL_CONTROL'!$C$53</f>
        <v>400</v>
      </c>
      <c r="AE15" s="33">
        <f>'1_PANEL_CONTROL'!$C$53</f>
        <v>400</v>
      </c>
      <c r="AF15" s="33">
        <f>'1_PANEL_CONTROL'!$C$53</f>
        <v>400</v>
      </c>
      <c r="AG15" s="33">
        <f>'1_PANEL_CONTROL'!$C$53</f>
        <v>400</v>
      </c>
      <c r="AH15" s="33">
        <f>'1_PANEL_CONTROL'!$C$53</f>
        <v>400</v>
      </c>
      <c r="AI15" s="33">
        <f>'1_PANEL_CONTROL'!$C$53</f>
        <v>400</v>
      </c>
      <c r="AJ15" s="33">
        <f>'1_PANEL_CONTROL'!$C$53</f>
        <v>400</v>
      </c>
      <c r="AK15" s="33">
        <f>'1_PANEL_CONTROL'!$C$53</f>
        <v>400</v>
      </c>
      <c r="AL15" s="33">
        <f>'1_PANEL_CONTROL'!$C$53</f>
        <v>400</v>
      </c>
      <c r="AM15" s="33">
        <f>'1_PANEL_CONTROL'!$C$53</f>
        <v>400</v>
      </c>
      <c r="AN15" s="33">
        <f>'1_PANEL_CONTROL'!$C$53</f>
        <v>400</v>
      </c>
      <c r="AO15" s="33">
        <f>'1_PANEL_CONTROL'!$C$53</f>
        <v>400</v>
      </c>
      <c r="AP15" s="33">
        <f>'1_PANEL_CONTROL'!$C$53</f>
        <v>400</v>
      </c>
      <c r="AQ15" s="33">
        <f>'1_PANEL_CONTROL'!$C$53</f>
        <v>400</v>
      </c>
      <c r="AR15" s="33">
        <f>'1_PANEL_CONTROL'!$C$53</f>
        <v>400</v>
      </c>
      <c r="AS15" s="33">
        <f>'1_PANEL_CONTROL'!$C$53</f>
        <v>400</v>
      </c>
      <c r="AT15" s="33">
        <f>'1_PANEL_CONTROL'!$C$53</f>
        <v>400</v>
      </c>
      <c r="AU15" s="33">
        <f>'1_PANEL_CONTROL'!$C$53</f>
        <v>400</v>
      </c>
      <c r="AV15" s="33">
        <f>'1_PANEL_CONTROL'!$C$53</f>
        <v>400</v>
      </c>
      <c r="AW15" s="33">
        <f>'1_PANEL_CONTROL'!$C$53</f>
        <v>400</v>
      </c>
      <c r="AX15" s="33">
        <f>'1_PANEL_CONTROL'!$C$53</f>
        <v>400</v>
      </c>
      <c r="AY15" s="33">
        <f>'1_PANEL_CONTROL'!$C$53</f>
        <v>400</v>
      </c>
      <c r="AZ15" s="33">
        <f>'1_PANEL_CONTROL'!$C$53</f>
        <v>400</v>
      </c>
      <c r="BA15" s="33">
        <f>'1_PANEL_CONTROL'!$C$53</f>
        <v>400</v>
      </c>
      <c r="BB15" s="33">
        <f>'1_PANEL_CONTROL'!$C$53</f>
        <v>400</v>
      </c>
      <c r="BC15" s="33">
        <f>'1_PANEL_CONTROL'!$C$53</f>
        <v>400</v>
      </c>
      <c r="BD15" s="33">
        <f>'1_PANEL_CONTROL'!$C$53</f>
        <v>400</v>
      </c>
      <c r="BE15" s="33">
        <f>'1_PANEL_CONTROL'!$C$53</f>
        <v>400</v>
      </c>
      <c r="BF15" s="33">
        <f>'1_PANEL_CONTROL'!$C$53</f>
        <v>400</v>
      </c>
      <c r="BG15" s="33">
        <f>'1_PANEL_CONTROL'!$C$53</f>
        <v>400</v>
      </c>
      <c r="BH15" s="33">
        <f>'1_PANEL_CONTROL'!$C$53</f>
        <v>400</v>
      </c>
      <c r="BI15" s="33">
        <f>'1_PANEL_CONTROL'!$C$53</f>
        <v>400</v>
      </c>
      <c r="BJ15" s="33">
        <f>'1_PANEL_CONTROL'!$C$53</f>
        <v>400</v>
      </c>
      <c r="BK15" s="33">
        <f>'1_PANEL_CONTROL'!$C$53</f>
        <v>400</v>
      </c>
      <c r="BL15" s="33">
        <f>'1_PANEL_CONTROL'!$C$53</f>
        <v>400</v>
      </c>
      <c r="BM15" s="33">
        <f>'1_PANEL_CONTROL'!$C$53</f>
        <v>400</v>
      </c>
      <c r="BN15" s="33">
        <f>'1_PANEL_CONTROL'!$C$53</f>
        <v>400</v>
      </c>
      <c r="BO15" s="33">
        <f>'1_PANEL_CONTROL'!$C$53</f>
        <v>400</v>
      </c>
      <c r="BP15" s="33">
        <f>'1_PANEL_CONTROL'!$C$53</f>
        <v>400</v>
      </c>
      <c r="BQ15" s="33">
        <f>'1_PANEL_CONTROL'!$C$53</f>
        <v>400</v>
      </c>
      <c r="BR15" s="33">
        <f>'1_PANEL_CONTROL'!$C$53</f>
        <v>400</v>
      </c>
      <c r="BS15" s="33">
        <f>'1_PANEL_CONTROL'!$C$53</f>
        <v>400</v>
      </c>
      <c r="BT15" s="33">
        <f>'1_PANEL_CONTROL'!$C$53</f>
        <v>400</v>
      </c>
      <c r="BU15" s="33">
        <f>'1_PANEL_CONTROL'!$C$53</f>
        <v>400</v>
      </c>
      <c r="BV15" s="33">
        <f>'1_PANEL_CONTROL'!$C$53</f>
        <v>400</v>
      </c>
      <c r="BW15" s="33">
        <f>'1_PANEL_CONTROL'!$C$53</f>
        <v>400</v>
      </c>
      <c r="BX15" s="33">
        <f>'1_PANEL_CONTROL'!$C$53</f>
        <v>400</v>
      </c>
      <c r="BY15" s="33">
        <f>'1_PANEL_CONTROL'!$C$53</f>
        <v>400</v>
      </c>
      <c r="BZ15" s="33">
        <f>'1_PANEL_CONTROL'!$C$53</f>
        <v>400</v>
      </c>
      <c r="CA15" s="33">
        <f>'1_PANEL_CONTROL'!$C$53</f>
        <v>400</v>
      </c>
      <c r="CB15" s="33">
        <f>'1_PANEL_CONTROL'!$C$53</f>
        <v>400</v>
      </c>
      <c r="CC15" s="33">
        <f>'1_PANEL_CONTROL'!$C$53</f>
        <v>400</v>
      </c>
      <c r="CD15" s="33">
        <f>'1_PANEL_CONTROL'!$C$53</f>
        <v>400</v>
      </c>
      <c r="CE15" s="33">
        <f>'1_PANEL_CONTROL'!$C$53</f>
        <v>400</v>
      </c>
      <c r="CF15" s="33">
        <f>'1_PANEL_CONTROL'!$C$53</f>
        <v>400</v>
      </c>
      <c r="CG15" s="33">
        <f>'1_PANEL_CONTROL'!$C$53</f>
        <v>400</v>
      </c>
      <c r="CH15" s="33">
        <f>'1_PANEL_CONTROL'!$C$53</f>
        <v>400</v>
      </c>
      <c r="CI15" s="33">
        <f>'1_PANEL_CONTROL'!$C$53</f>
        <v>400</v>
      </c>
    </row>
    <row r="16" spans="1:87" ht="16.5">
      <c r="A16" s="6" t="s">
        <v>623</v>
      </c>
      <c r="B16" s="30" t="s">
        <v>465</v>
      </c>
      <c r="C16" s="17" t="s">
        <v>624</v>
      </c>
      <c r="D16" s="33">
        <f>'1_PANEL_CONTROL'!$C$54</f>
        <v>224.4</v>
      </c>
      <c r="E16" s="33">
        <f>'1_PANEL_CONTROL'!$C$54</f>
        <v>224.4</v>
      </c>
      <c r="F16" s="33">
        <f>'1_PANEL_CONTROL'!$C$54</f>
        <v>224.4</v>
      </c>
      <c r="G16" s="33">
        <f>'1_PANEL_CONTROL'!$C$54</f>
        <v>224.4</v>
      </c>
      <c r="H16" s="33">
        <f>'1_PANEL_CONTROL'!$C$54</f>
        <v>224.4</v>
      </c>
      <c r="I16" s="33">
        <f>'1_PANEL_CONTROL'!$C$54</f>
        <v>224.4</v>
      </c>
      <c r="J16" s="33">
        <f>'1_PANEL_CONTROL'!$C$54</f>
        <v>224.4</v>
      </c>
      <c r="K16" s="33">
        <f>'1_PANEL_CONTROL'!$C$54</f>
        <v>224.4</v>
      </c>
      <c r="L16" s="33">
        <f>'1_PANEL_CONTROL'!$C$54</f>
        <v>224.4</v>
      </c>
      <c r="M16" s="33">
        <f>'1_PANEL_CONTROL'!$C$54</f>
        <v>224.4</v>
      </c>
      <c r="N16" s="33">
        <f>'1_PANEL_CONTROL'!$C$54</f>
        <v>224.4</v>
      </c>
      <c r="O16" s="33">
        <f>'1_PANEL_CONTROL'!$C$54</f>
        <v>224.4</v>
      </c>
      <c r="P16" s="33">
        <f>'1_PANEL_CONTROL'!$C$54</f>
        <v>224.4</v>
      </c>
      <c r="Q16" s="33">
        <f>'1_PANEL_CONTROL'!$C$54</f>
        <v>224.4</v>
      </c>
      <c r="R16" s="33">
        <f>'1_PANEL_CONTROL'!$C$54</f>
        <v>224.4</v>
      </c>
      <c r="S16" s="33">
        <f>'1_PANEL_CONTROL'!$C$54</f>
        <v>224.4</v>
      </c>
      <c r="T16" s="33">
        <f>'1_PANEL_CONTROL'!$C$54</f>
        <v>224.4</v>
      </c>
      <c r="U16" s="33">
        <f>'1_PANEL_CONTROL'!$C$54</f>
        <v>224.4</v>
      </c>
      <c r="V16" s="33">
        <f>'1_PANEL_CONTROL'!$C$54</f>
        <v>224.4</v>
      </c>
      <c r="W16" s="33">
        <f>'1_PANEL_CONTROL'!$C$54</f>
        <v>224.4</v>
      </c>
      <c r="X16" s="33">
        <f>'1_PANEL_CONTROL'!$C$54</f>
        <v>224.4</v>
      </c>
      <c r="Y16" s="33">
        <f>'1_PANEL_CONTROL'!$C$54</f>
        <v>224.4</v>
      </c>
      <c r="Z16" s="33">
        <f>'1_PANEL_CONTROL'!$C$54</f>
        <v>224.4</v>
      </c>
      <c r="AA16" s="33">
        <f>'1_PANEL_CONTROL'!$C$54</f>
        <v>224.4</v>
      </c>
      <c r="AB16" s="33">
        <f>'1_PANEL_CONTROL'!$C$54</f>
        <v>224.4</v>
      </c>
      <c r="AC16" s="33">
        <f>'1_PANEL_CONTROL'!$C$54</f>
        <v>224.4</v>
      </c>
      <c r="AD16" s="33">
        <f>'1_PANEL_CONTROL'!$C$54</f>
        <v>224.4</v>
      </c>
      <c r="AE16" s="33">
        <f>'1_PANEL_CONTROL'!$C$54</f>
        <v>224.4</v>
      </c>
      <c r="AF16" s="33">
        <f>'1_PANEL_CONTROL'!$C$54</f>
        <v>224.4</v>
      </c>
      <c r="AG16" s="33">
        <f>'1_PANEL_CONTROL'!$C$54</f>
        <v>224.4</v>
      </c>
      <c r="AH16" s="33">
        <f>'1_PANEL_CONTROL'!$C$54</f>
        <v>224.4</v>
      </c>
      <c r="AI16" s="33">
        <f>'1_PANEL_CONTROL'!$C$54</f>
        <v>224.4</v>
      </c>
      <c r="AJ16" s="33">
        <f>'1_PANEL_CONTROL'!$C$54</f>
        <v>224.4</v>
      </c>
      <c r="AK16" s="33">
        <f>'1_PANEL_CONTROL'!$C$54</f>
        <v>224.4</v>
      </c>
      <c r="AL16" s="33">
        <f>'1_PANEL_CONTROL'!$C$54</f>
        <v>224.4</v>
      </c>
      <c r="AM16" s="33">
        <f>'1_PANEL_CONTROL'!$C$54</f>
        <v>224.4</v>
      </c>
      <c r="AN16" s="33">
        <f>'1_PANEL_CONTROL'!$C$54</f>
        <v>224.4</v>
      </c>
      <c r="AO16" s="33">
        <f>'1_PANEL_CONTROL'!$C$54</f>
        <v>224.4</v>
      </c>
      <c r="AP16" s="33">
        <f>'1_PANEL_CONTROL'!$C$54</f>
        <v>224.4</v>
      </c>
      <c r="AQ16" s="33">
        <f>'1_PANEL_CONTROL'!$C$54</f>
        <v>224.4</v>
      </c>
      <c r="AR16" s="33">
        <f>'1_PANEL_CONTROL'!$C$54</f>
        <v>224.4</v>
      </c>
      <c r="AS16" s="33">
        <f>'1_PANEL_CONTROL'!$C$54</f>
        <v>224.4</v>
      </c>
      <c r="AT16" s="33">
        <f>'1_PANEL_CONTROL'!$C$54</f>
        <v>224.4</v>
      </c>
      <c r="AU16" s="33">
        <f>'1_PANEL_CONTROL'!$C$54</f>
        <v>224.4</v>
      </c>
      <c r="AV16" s="33">
        <f>'1_PANEL_CONTROL'!$C$54</f>
        <v>224.4</v>
      </c>
      <c r="AW16" s="33">
        <f>'1_PANEL_CONTROL'!$C$54</f>
        <v>224.4</v>
      </c>
      <c r="AX16" s="33">
        <f>'1_PANEL_CONTROL'!$C$54</f>
        <v>224.4</v>
      </c>
      <c r="AY16" s="33">
        <f>'1_PANEL_CONTROL'!$C$54</f>
        <v>224.4</v>
      </c>
      <c r="AZ16" s="33">
        <f>'1_PANEL_CONTROL'!$C$54</f>
        <v>224.4</v>
      </c>
      <c r="BA16" s="33">
        <f>'1_PANEL_CONTROL'!$C$54</f>
        <v>224.4</v>
      </c>
      <c r="BB16" s="33">
        <f>'1_PANEL_CONTROL'!$C$54</f>
        <v>224.4</v>
      </c>
      <c r="BC16" s="33">
        <f>'1_PANEL_CONTROL'!$C$54</f>
        <v>224.4</v>
      </c>
      <c r="BD16" s="33">
        <f>'1_PANEL_CONTROL'!$C$54</f>
        <v>224.4</v>
      </c>
      <c r="BE16" s="33">
        <f>'1_PANEL_CONTROL'!$C$54</f>
        <v>224.4</v>
      </c>
      <c r="BF16" s="33">
        <f>'1_PANEL_CONTROL'!$C$54</f>
        <v>224.4</v>
      </c>
      <c r="BG16" s="33">
        <f>'1_PANEL_CONTROL'!$C$54</f>
        <v>224.4</v>
      </c>
      <c r="BH16" s="33">
        <f>'1_PANEL_CONTROL'!$C$54</f>
        <v>224.4</v>
      </c>
      <c r="BI16" s="33">
        <f>'1_PANEL_CONTROL'!$C$54</f>
        <v>224.4</v>
      </c>
      <c r="BJ16" s="33">
        <f>'1_PANEL_CONTROL'!$C$54</f>
        <v>224.4</v>
      </c>
      <c r="BK16" s="33">
        <f>'1_PANEL_CONTROL'!$C$54</f>
        <v>224.4</v>
      </c>
      <c r="BL16" s="33">
        <f>'1_PANEL_CONTROL'!$C$54</f>
        <v>224.4</v>
      </c>
      <c r="BM16" s="33">
        <f>'1_PANEL_CONTROL'!$C$54</f>
        <v>224.4</v>
      </c>
      <c r="BN16" s="33">
        <f>'1_PANEL_CONTROL'!$C$54</f>
        <v>224.4</v>
      </c>
      <c r="BO16" s="33">
        <f>'1_PANEL_CONTROL'!$C$54</f>
        <v>224.4</v>
      </c>
      <c r="BP16" s="33">
        <f>'1_PANEL_CONTROL'!$C$54</f>
        <v>224.4</v>
      </c>
      <c r="BQ16" s="33">
        <f>'1_PANEL_CONTROL'!$C$54</f>
        <v>224.4</v>
      </c>
      <c r="BR16" s="33">
        <f>'1_PANEL_CONTROL'!$C$54</f>
        <v>224.4</v>
      </c>
      <c r="BS16" s="33">
        <f>'1_PANEL_CONTROL'!$C$54</f>
        <v>224.4</v>
      </c>
      <c r="BT16" s="33">
        <f>'1_PANEL_CONTROL'!$C$54</f>
        <v>224.4</v>
      </c>
      <c r="BU16" s="33">
        <f>'1_PANEL_CONTROL'!$C$54</f>
        <v>224.4</v>
      </c>
      <c r="BV16" s="33">
        <f>'1_PANEL_CONTROL'!$C$54</f>
        <v>224.4</v>
      </c>
      <c r="BW16" s="33">
        <f>'1_PANEL_CONTROL'!$C$54</f>
        <v>224.4</v>
      </c>
      <c r="BX16" s="33">
        <f>'1_PANEL_CONTROL'!$C$54</f>
        <v>224.4</v>
      </c>
      <c r="BY16" s="33">
        <f>'1_PANEL_CONTROL'!$C$54</f>
        <v>224.4</v>
      </c>
      <c r="BZ16" s="33">
        <f>'1_PANEL_CONTROL'!$C$54</f>
        <v>224.4</v>
      </c>
      <c r="CA16" s="33">
        <f>'1_PANEL_CONTROL'!$C$54</f>
        <v>224.4</v>
      </c>
      <c r="CB16" s="33">
        <f>'1_PANEL_CONTROL'!$C$54</f>
        <v>224.4</v>
      </c>
      <c r="CC16" s="33">
        <f>'1_PANEL_CONTROL'!$C$54</f>
        <v>224.4</v>
      </c>
      <c r="CD16" s="33">
        <f>'1_PANEL_CONTROL'!$C$54</f>
        <v>224.4</v>
      </c>
      <c r="CE16" s="33">
        <f>'1_PANEL_CONTROL'!$C$54</f>
        <v>224.4</v>
      </c>
      <c r="CF16" s="33">
        <f>'1_PANEL_CONTROL'!$C$54</f>
        <v>224.4</v>
      </c>
      <c r="CG16" s="33">
        <f>'1_PANEL_CONTROL'!$C$54</f>
        <v>224.4</v>
      </c>
      <c r="CH16" s="33">
        <f>'1_PANEL_CONTROL'!$C$54</f>
        <v>224.4</v>
      </c>
      <c r="CI16" s="33">
        <f>'1_PANEL_CONTROL'!$C$54</f>
        <v>224.4</v>
      </c>
    </row>
    <row r="17" spans="1:87" ht="16.5">
      <c r="A17" s="6" t="s">
        <v>625</v>
      </c>
      <c r="B17" s="30" t="s">
        <v>465</v>
      </c>
      <c r="C17" s="17" t="s">
        <v>626</v>
      </c>
      <c r="D17" s="33">
        <f>'1_PANEL_CONTROL'!$C$55</f>
        <v>50</v>
      </c>
      <c r="E17" s="33">
        <f>'1_PANEL_CONTROL'!$C$55</f>
        <v>50</v>
      </c>
      <c r="F17" s="33">
        <f>'1_PANEL_CONTROL'!$C$55</f>
        <v>50</v>
      </c>
      <c r="G17" s="33">
        <f>'1_PANEL_CONTROL'!$C$55</f>
        <v>50</v>
      </c>
      <c r="H17" s="33">
        <f>'1_PANEL_CONTROL'!$C$55</f>
        <v>50</v>
      </c>
      <c r="I17" s="33">
        <f>'1_PANEL_CONTROL'!$C$55</f>
        <v>50</v>
      </c>
      <c r="J17" s="33">
        <f>'1_PANEL_CONTROL'!$C$55</f>
        <v>50</v>
      </c>
      <c r="K17" s="33">
        <f>'1_PANEL_CONTROL'!$C$55</f>
        <v>50</v>
      </c>
      <c r="L17" s="33">
        <f>'1_PANEL_CONTROL'!$C$55</f>
        <v>50</v>
      </c>
      <c r="M17" s="33">
        <f>'1_PANEL_CONTROL'!$C$55</f>
        <v>50</v>
      </c>
      <c r="N17" s="33">
        <f>'1_PANEL_CONTROL'!$C$55</f>
        <v>50</v>
      </c>
      <c r="O17" s="33">
        <f>'1_PANEL_CONTROL'!$C$55</f>
        <v>50</v>
      </c>
      <c r="P17" s="33">
        <f>'1_PANEL_CONTROL'!$C$55</f>
        <v>50</v>
      </c>
      <c r="Q17" s="33">
        <f>'1_PANEL_CONTROL'!$C$55</f>
        <v>50</v>
      </c>
      <c r="R17" s="33">
        <f>'1_PANEL_CONTROL'!$C$55</f>
        <v>50</v>
      </c>
      <c r="S17" s="33">
        <f>'1_PANEL_CONTROL'!$C$55</f>
        <v>50</v>
      </c>
      <c r="T17" s="33">
        <f>'1_PANEL_CONTROL'!$C$55</f>
        <v>50</v>
      </c>
      <c r="U17" s="33">
        <f>'1_PANEL_CONTROL'!$C$55</f>
        <v>50</v>
      </c>
      <c r="V17" s="33">
        <f>'1_PANEL_CONTROL'!$C$55</f>
        <v>50</v>
      </c>
      <c r="W17" s="33">
        <f>'1_PANEL_CONTROL'!$C$55</f>
        <v>50</v>
      </c>
      <c r="X17" s="33">
        <f>'1_PANEL_CONTROL'!$C$55</f>
        <v>50</v>
      </c>
      <c r="Y17" s="33">
        <f>'1_PANEL_CONTROL'!$C$55</f>
        <v>50</v>
      </c>
      <c r="Z17" s="33">
        <f>'1_PANEL_CONTROL'!$C$55</f>
        <v>50</v>
      </c>
      <c r="AA17" s="33">
        <f>'1_PANEL_CONTROL'!$C$55</f>
        <v>50</v>
      </c>
      <c r="AB17" s="33">
        <f>'1_PANEL_CONTROL'!$C$55</f>
        <v>50</v>
      </c>
      <c r="AC17" s="33">
        <f>'1_PANEL_CONTROL'!$C$55</f>
        <v>50</v>
      </c>
      <c r="AD17" s="33">
        <f>'1_PANEL_CONTROL'!$C$55</f>
        <v>50</v>
      </c>
      <c r="AE17" s="33">
        <f>'1_PANEL_CONTROL'!$C$55</f>
        <v>50</v>
      </c>
      <c r="AF17" s="33">
        <f>'1_PANEL_CONTROL'!$C$55</f>
        <v>50</v>
      </c>
      <c r="AG17" s="33">
        <f>'1_PANEL_CONTROL'!$C$55</f>
        <v>50</v>
      </c>
      <c r="AH17" s="33">
        <f>'1_PANEL_CONTROL'!$C$55</f>
        <v>50</v>
      </c>
      <c r="AI17" s="33">
        <f>'1_PANEL_CONTROL'!$C$55</f>
        <v>50</v>
      </c>
      <c r="AJ17" s="33">
        <f>'1_PANEL_CONTROL'!$C$55</f>
        <v>50</v>
      </c>
      <c r="AK17" s="33">
        <f>'1_PANEL_CONTROL'!$C$55</f>
        <v>50</v>
      </c>
      <c r="AL17" s="33">
        <f>'1_PANEL_CONTROL'!$C$55</f>
        <v>50</v>
      </c>
      <c r="AM17" s="33">
        <f>'1_PANEL_CONTROL'!$C$55</f>
        <v>50</v>
      </c>
      <c r="AN17" s="33">
        <f>'1_PANEL_CONTROL'!$C$55</f>
        <v>50</v>
      </c>
      <c r="AO17" s="33">
        <f>'1_PANEL_CONTROL'!$C$55</f>
        <v>50</v>
      </c>
      <c r="AP17" s="33">
        <f>'1_PANEL_CONTROL'!$C$55</f>
        <v>50</v>
      </c>
      <c r="AQ17" s="33">
        <f>'1_PANEL_CONTROL'!$C$55</f>
        <v>50</v>
      </c>
      <c r="AR17" s="33">
        <f>'1_PANEL_CONTROL'!$C$55</f>
        <v>50</v>
      </c>
      <c r="AS17" s="33">
        <f>'1_PANEL_CONTROL'!$C$55</f>
        <v>50</v>
      </c>
      <c r="AT17" s="33">
        <f>'1_PANEL_CONTROL'!$C$55</f>
        <v>50</v>
      </c>
      <c r="AU17" s="33">
        <f>'1_PANEL_CONTROL'!$C$55</f>
        <v>50</v>
      </c>
      <c r="AV17" s="33">
        <f>'1_PANEL_CONTROL'!$C$55</f>
        <v>50</v>
      </c>
      <c r="AW17" s="33">
        <f>'1_PANEL_CONTROL'!$C$55</f>
        <v>50</v>
      </c>
      <c r="AX17" s="33">
        <f>'1_PANEL_CONTROL'!$C$55</f>
        <v>50</v>
      </c>
      <c r="AY17" s="33">
        <f>'1_PANEL_CONTROL'!$C$55</f>
        <v>50</v>
      </c>
      <c r="AZ17" s="33">
        <f>'1_PANEL_CONTROL'!$C$55</f>
        <v>50</v>
      </c>
      <c r="BA17" s="33">
        <f>'1_PANEL_CONTROL'!$C$55</f>
        <v>50</v>
      </c>
      <c r="BB17" s="33">
        <f>'1_PANEL_CONTROL'!$C$55</f>
        <v>50</v>
      </c>
      <c r="BC17" s="33">
        <f>'1_PANEL_CONTROL'!$C$55</f>
        <v>50</v>
      </c>
      <c r="BD17" s="33">
        <f>'1_PANEL_CONTROL'!$C$55</f>
        <v>50</v>
      </c>
      <c r="BE17" s="33">
        <f>'1_PANEL_CONTROL'!$C$55</f>
        <v>50</v>
      </c>
      <c r="BF17" s="33">
        <f>'1_PANEL_CONTROL'!$C$55</f>
        <v>50</v>
      </c>
      <c r="BG17" s="33">
        <f>'1_PANEL_CONTROL'!$C$55</f>
        <v>50</v>
      </c>
      <c r="BH17" s="33">
        <f>'1_PANEL_CONTROL'!$C$55</f>
        <v>50</v>
      </c>
      <c r="BI17" s="33">
        <f>'1_PANEL_CONTROL'!$C$55</f>
        <v>50</v>
      </c>
      <c r="BJ17" s="33">
        <f>'1_PANEL_CONTROL'!$C$55</f>
        <v>50</v>
      </c>
      <c r="BK17" s="33">
        <f>'1_PANEL_CONTROL'!$C$55</f>
        <v>50</v>
      </c>
      <c r="BL17" s="33">
        <f>'1_PANEL_CONTROL'!$C$55</f>
        <v>50</v>
      </c>
      <c r="BM17" s="33">
        <f>'1_PANEL_CONTROL'!$C$55</f>
        <v>50</v>
      </c>
      <c r="BN17" s="33">
        <f>'1_PANEL_CONTROL'!$C$55</f>
        <v>50</v>
      </c>
      <c r="BO17" s="33">
        <f>'1_PANEL_CONTROL'!$C$55</f>
        <v>50</v>
      </c>
      <c r="BP17" s="33">
        <f>'1_PANEL_CONTROL'!$C$55</f>
        <v>50</v>
      </c>
      <c r="BQ17" s="33">
        <f>'1_PANEL_CONTROL'!$C$55</f>
        <v>50</v>
      </c>
      <c r="BR17" s="33">
        <f>'1_PANEL_CONTROL'!$C$55</f>
        <v>50</v>
      </c>
      <c r="BS17" s="33">
        <f>'1_PANEL_CONTROL'!$C$55</f>
        <v>50</v>
      </c>
      <c r="BT17" s="33">
        <f>'1_PANEL_CONTROL'!$C$55</f>
        <v>50</v>
      </c>
      <c r="BU17" s="33">
        <f>'1_PANEL_CONTROL'!$C$55</f>
        <v>50</v>
      </c>
      <c r="BV17" s="33">
        <f>'1_PANEL_CONTROL'!$C$55</f>
        <v>50</v>
      </c>
      <c r="BW17" s="33">
        <f>'1_PANEL_CONTROL'!$C$55</f>
        <v>50</v>
      </c>
      <c r="BX17" s="33">
        <f>'1_PANEL_CONTROL'!$C$55</f>
        <v>50</v>
      </c>
      <c r="BY17" s="33">
        <f>'1_PANEL_CONTROL'!$C$55</f>
        <v>50</v>
      </c>
      <c r="BZ17" s="33">
        <f>'1_PANEL_CONTROL'!$C$55</f>
        <v>50</v>
      </c>
      <c r="CA17" s="33">
        <f>'1_PANEL_CONTROL'!$C$55</f>
        <v>50</v>
      </c>
      <c r="CB17" s="33">
        <f>'1_PANEL_CONTROL'!$C$55</f>
        <v>50</v>
      </c>
      <c r="CC17" s="33">
        <f>'1_PANEL_CONTROL'!$C$55</f>
        <v>50</v>
      </c>
      <c r="CD17" s="33">
        <f>'1_PANEL_CONTROL'!$C$55</f>
        <v>50</v>
      </c>
      <c r="CE17" s="33">
        <f>'1_PANEL_CONTROL'!$C$55</f>
        <v>50</v>
      </c>
      <c r="CF17" s="33">
        <f>'1_PANEL_CONTROL'!$C$55</f>
        <v>50</v>
      </c>
      <c r="CG17" s="33">
        <f>'1_PANEL_CONTROL'!$C$55</f>
        <v>50</v>
      </c>
      <c r="CH17" s="33">
        <f>'1_PANEL_CONTROL'!$C$55</f>
        <v>50</v>
      </c>
      <c r="CI17" s="33">
        <f>'1_PANEL_CONTROL'!$C$55</f>
        <v>50</v>
      </c>
    </row>
    <row r="18" spans="1:87" ht="16.5">
      <c r="A18" s="6" t="s">
        <v>627</v>
      </c>
      <c r="B18" s="30" t="s">
        <v>465</v>
      </c>
      <c r="C18" s="17" t="s">
        <v>628</v>
      </c>
      <c r="D18" s="33">
        <f>'1_PANEL_CONTROL'!$C$56</f>
        <v>187</v>
      </c>
      <c r="E18" s="33">
        <f>'1_PANEL_CONTROL'!$C$56</f>
        <v>187</v>
      </c>
      <c r="F18" s="33">
        <f>'1_PANEL_CONTROL'!$C$56</f>
        <v>187</v>
      </c>
      <c r="G18" s="33">
        <f>'1_PANEL_CONTROL'!$C$56</f>
        <v>187</v>
      </c>
      <c r="H18" s="33">
        <f>'1_PANEL_CONTROL'!$C$56</f>
        <v>187</v>
      </c>
      <c r="I18" s="33">
        <f>'1_PANEL_CONTROL'!$C$56</f>
        <v>187</v>
      </c>
      <c r="J18" s="33">
        <f>'1_PANEL_CONTROL'!$C$56</f>
        <v>187</v>
      </c>
      <c r="K18" s="33">
        <f>'1_PANEL_CONTROL'!$C$56</f>
        <v>187</v>
      </c>
      <c r="L18" s="33">
        <f>'1_PANEL_CONTROL'!$C$56</f>
        <v>187</v>
      </c>
      <c r="M18" s="33">
        <f>'1_PANEL_CONTROL'!$C$56</f>
        <v>187</v>
      </c>
      <c r="N18" s="33">
        <f>'1_PANEL_CONTROL'!$C$56</f>
        <v>187</v>
      </c>
      <c r="O18" s="33">
        <f>'1_PANEL_CONTROL'!$C$56</f>
        <v>187</v>
      </c>
      <c r="P18" s="33">
        <f>'1_PANEL_CONTROL'!$C$56</f>
        <v>187</v>
      </c>
      <c r="Q18" s="33">
        <f>'1_PANEL_CONTROL'!$C$56</f>
        <v>187</v>
      </c>
      <c r="R18" s="33">
        <f>'1_PANEL_CONTROL'!$C$56</f>
        <v>187</v>
      </c>
      <c r="S18" s="33">
        <f>'1_PANEL_CONTROL'!$C$56</f>
        <v>187</v>
      </c>
      <c r="T18" s="33">
        <f>'1_PANEL_CONTROL'!$C$56</f>
        <v>187</v>
      </c>
      <c r="U18" s="33">
        <f>'1_PANEL_CONTROL'!$C$56</f>
        <v>187</v>
      </c>
      <c r="V18" s="33">
        <f>'1_PANEL_CONTROL'!$C$56</f>
        <v>187</v>
      </c>
      <c r="W18" s="33">
        <f>'1_PANEL_CONTROL'!$C$56</f>
        <v>187</v>
      </c>
      <c r="X18" s="33">
        <f>'1_PANEL_CONTROL'!$C$56</f>
        <v>187</v>
      </c>
      <c r="Y18" s="33">
        <f>'1_PANEL_CONTROL'!$C$56</f>
        <v>187</v>
      </c>
      <c r="Z18" s="33">
        <f>'1_PANEL_CONTROL'!$C$56</f>
        <v>187</v>
      </c>
      <c r="AA18" s="33">
        <f>'1_PANEL_CONTROL'!$C$56</f>
        <v>187</v>
      </c>
      <c r="AB18" s="33">
        <f>'1_PANEL_CONTROL'!$C$56</f>
        <v>187</v>
      </c>
      <c r="AC18" s="33">
        <f>'1_PANEL_CONTROL'!$C$56</f>
        <v>187</v>
      </c>
      <c r="AD18" s="33">
        <f>'1_PANEL_CONTROL'!$C$56</f>
        <v>187</v>
      </c>
      <c r="AE18" s="33">
        <f>'1_PANEL_CONTROL'!$C$56</f>
        <v>187</v>
      </c>
      <c r="AF18" s="33">
        <f>'1_PANEL_CONTROL'!$C$56</f>
        <v>187</v>
      </c>
      <c r="AG18" s="33">
        <f>'1_PANEL_CONTROL'!$C$56</f>
        <v>187</v>
      </c>
      <c r="AH18" s="33">
        <f>'1_PANEL_CONTROL'!$C$56</f>
        <v>187</v>
      </c>
      <c r="AI18" s="33">
        <f>'1_PANEL_CONTROL'!$C$56</f>
        <v>187</v>
      </c>
      <c r="AJ18" s="33">
        <f>'1_PANEL_CONTROL'!$C$56</f>
        <v>187</v>
      </c>
      <c r="AK18" s="33">
        <f>'1_PANEL_CONTROL'!$C$56</f>
        <v>187</v>
      </c>
      <c r="AL18" s="33">
        <f>'1_PANEL_CONTROL'!$C$56</f>
        <v>187</v>
      </c>
      <c r="AM18" s="33">
        <f>'1_PANEL_CONTROL'!$C$56</f>
        <v>187</v>
      </c>
      <c r="AN18" s="33">
        <f>'1_PANEL_CONTROL'!$C$56</f>
        <v>187</v>
      </c>
      <c r="AO18" s="33">
        <f>'1_PANEL_CONTROL'!$C$56</f>
        <v>187</v>
      </c>
      <c r="AP18" s="33">
        <f>'1_PANEL_CONTROL'!$C$56</f>
        <v>187</v>
      </c>
      <c r="AQ18" s="33">
        <f>'1_PANEL_CONTROL'!$C$56</f>
        <v>187</v>
      </c>
      <c r="AR18" s="33">
        <f>'1_PANEL_CONTROL'!$C$56</f>
        <v>187</v>
      </c>
      <c r="AS18" s="33">
        <f>'1_PANEL_CONTROL'!$C$56</f>
        <v>187</v>
      </c>
      <c r="AT18" s="33">
        <f>'1_PANEL_CONTROL'!$C$56</f>
        <v>187</v>
      </c>
      <c r="AU18" s="33">
        <f>'1_PANEL_CONTROL'!$C$56</f>
        <v>187</v>
      </c>
      <c r="AV18" s="33">
        <f>'1_PANEL_CONTROL'!$C$56</f>
        <v>187</v>
      </c>
      <c r="AW18" s="33">
        <f>'1_PANEL_CONTROL'!$C$56</f>
        <v>187</v>
      </c>
      <c r="AX18" s="33">
        <f>'1_PANEL_CONTROL'!$C$56</f>
        <v>187</v>
      </c>
      <c r="AY18" s="33">
        <f>'1_PANEL_CONTROL'!$C$56</f>
        <v>187</v>
      </c>
      <c r="AZ18" s="33">
        <f>'1_PANEL_CONTROL'!$C$56</f>
        <v>187</v>
      </c>
      <c r="BA18" s="33">
        <f>'1_PANEL_CONTROL'!$C$56</f>
        <v>187</v>
      </c>
      <c r="BB18" s="33">
        <f>'1_PANEL_CONTROL'!$C$56</f>
        <v>187</v>
      </c>
      <c r="BC18" s="33">
        <f>'1_PANEL_CONTROL'!$C$56</f>
        <v>187</v>
      </c>
      <c r="BD18" s="33">
        <f>'1_PANEL_CONTROL'!$C$56</f>
        <v>187</v>
      </c>
      <c r="BE18" s="33">
        <f>'1_PANEL_CONTROL'!$C$56</f>
        <v>187</v>
      </c>
      <c r="BF18" s="33">
        <f>'1_PANEL_CONTROL'!$C$56</f>
        <v>187</v>
      </c>
      <c r="BG18" s="33">
        <f>'1_PANEL_CONTROL'!$C$56</f>
        <v>187</v>
      </c>
      <c r="BH18" s="33">
        <f>'1_PANEL_CONTROL'!$C$56</f>
        <v>187</v>
      </c>
      <c r="BI18" s="33">
        <f>'1_PANEL_CONTROL'!$C$56</f>
        <v>187</v>
      </c>
      <c r="BJ18" s="33">
        <f>'1_PANEL_CONTROL'!$C$56</f>
        <v>187</v>
      </c>
      <c r="BK18" s="33">
        <f>'1_PANEL_CONTROL'!$C$56</f>
        <v>187</v>
      </c>
      <c r="BL18" s="33">
        <f>'1_PANEL_CONTROL'!$C$56</f>
        <v>187</v>
      </c>
      <c r="BM18" s="33">
        <f>'1_PANEL_CONTROL'!$C$56</f>
        <v>187</v>
      </c>
      <c r="BN18" s="33">
        <f>'1_PANEL_CONTROL'!$C$56</f>
        <v>187</v>
      </c>
      <c r="BO18" s="33">
        <f>'1_PANEL_CONTROL'!$C$56</f>
        <v>187</v>
      </c>
      <c r="BP18" s="33">
        <f>'1_PANEL_CONTROL'!$C$56</f>
        <v>187</v>
      </c>
      <c r="BQ18" s="33">
        <f>'1_PANEL_CONTROL'!$C$56</f>
        <v>187</v>
      </c>
      <c r="BR18" s="33">
        <f>'1_PANEL_CONTROL'!$C$56</f>
        <v>187</v>
      </c>
      <c r="BS18" s="33">
        <f>'1_PANEL_CONTROL'!$C$56</f>
        <v>187</v>
      </c>
      <c r="BT18" s="33">
        <f>'1_PANEL_CONTROL'!$C$56</f>
        <v>187</v>
      </c>
      <c r="BU18" s="33">
        <f>'1_PANEL_CONTROL'!$C$56</f>
        <v>187</v>
      </c>
      <c r="BV18" s="33">
        <f>'1_PANEL_CONTROL'!$C$56</f>
        <v>187</v>
      </c>
      <c r="BW18" s="33">
        <f>'1_PANEL_CONTROL'!$C$56</f>
        <v>187</v>
      </c>
      <c r="BX18" s="33">
        <f>'1_PANEL_CONTROL'!$C$56</f>
        <v>187</v>
      </c>
      <c r="BY18" s="33">
        <f>'1_PANEL_CONTROL'!$C$56</f>
        <v>187</v>
      </c>
      <c r="BZ18" s="33">
        <f>'1_PANEL_CONTROL'!$C$56</f>
        <v>187</v>
      </c>
      <c r="CA18" s="33">
        <f>'1_PANEL_CONTROL'!$C$56</f>
        <v>187</v>
      </c>
      <c r="CB18" s="33">
        <f>'1_PANEL_CONTROL'!$C$56</f>
        <v>187</v>
      </c>
      <c r="CC18" s="33">
        <f>'1_PANEL_CONTROL'!$C$56</f>
        <v>187</v>
      </c>
      <c r="CD18" s="33">
        <f>'1_PANEL_CONTROL'!$C$56</f>
        <v>187</v>
      </c>
      <c r="CE18" s="33">
        <f>'1_PANEL_CONTROL'!$C$56</f>
        <v>187</v>
      </c>
      <c r="CF18" s="33">
        <f>'1_PANEL_CONTROL'!$C$56</f>
        <v>187</v>
      </c>
      <c r="CG18" s="33">
        <f>'1_PANEL_CONTROL'!$C$56</f>
        <v>187</v>
      </c>
      <c r="CH18" s="33">
        <f>'1_PANEL_CONTROL'!$C$56</f>
        <v>187</v>
      </c>
      <c r="CI18" s="33">
        <f>'1_PANEL_CONTROL'!$C$56</f>
        <v>187</v>
      </c>
    </row>
    <row r="19" spans="1:87" ht="16.5">
      <c r="A19" s="6" t="s">
        <v>629</v>
      </c>
      <c r="B19" s="30" t="s">
        <v>465</v>
      </c>
      <c r="C19" s="17" t="s">
        <v>630</v>
      </c>
      <c r="D19" s="33">
        <f>'1_PANEL_CONTROL'!$C$57</f>
        <v>49.5</v>
      </c>
      <c r="E19" s="33">
        <f>'1_PANEL_CONTROL'!$C$57</f>
        <v>49.5</v>
      </c>
      <c r="F19" s="33">
        <f>'1_PANEL_CONTROL'!$C$57</f>
        <v>49.5</v>
      </c>
      <c r="G19" s="33">
        <f>'1_PANEL_CONTROL'!$C$57</f>
        <v>49.5</v>
      </c>
      <c r="H19" s="33">
        <f>'1_PANEL_CONTROL'!$C$57</f>
        <v>49.5</v>
      </c>
      <c r="I19" s="33">
        <f>'1_PANEL_CONTROL'!$C$57</f>
        <v>49.5</v>
      </c>
      <c r="J19" s="33">
        <f>'1_PANEL_CONTROL'!$C$57</f>
        <v>49.5</v>
      </c>
      <c r="K19" s="33">
        <f>'1_PANEL_CONTROL'!$C$57</f>
        <v>49.5</v>
      </c>
      <c r="L19" s="33">
        <f>'1_PANEL_CONTROL'!$C$57</f>
        <v>49.5</v>
      </c>
      <c r="M19" s="33">
        <f>'1_PANEL_CONTROL'!$C$57</f>
        <v>49.5</v>
      </c>
      <c r="N19" s="33">
        <f>'1_PANEL_CONTROL'!$C$57</f>
        <v>49.5</v>
      </c>
      <c r="O19" s="33">
        <f>'1_PANEL_CONTROL'!$C$57</f>
        <v>49.5</v>
      </c>
      <c r="P19" s="33">
        <f>'1_PANEL_CONTROL'!$C$57</f>
        <v>49.5</v>
      </c>
      <c r="Q19" s="33">
        <f>'1_PANEL_CONTROL'!$C$57</f>
        <v>49.5</v>
      </c>
      <c r="R19" s="33">
        <f>'1_PANEL_CONTROL'!$C$57</f>
        <v>49.5</v>
      </c>
      <c r="S19" s="33">
        <f>'1_PANEL_CONTROL'!$C$57</f>
        <v>49.5</v>
      </c>
      <c r="T19" s="33">
        <f>'1_PANEL_CONTROL'!$C$57</f>
        <v>49.5</v>
      </c>
      <c r="U19" s="33">
        <f>'1_PANEL_CONTROL'!$C$57</f>
        <v>49.5</v>
      </c>
      <c r="V19" s="33">
        <f>'1_PANEL_CONTROL'!$C$57</f>
        <v>49.5</v>
      </c>
      <c r="W19" s="33">
        <f>'1_PANEL_CONTROL'!$C$57</f>
        <v>49.5</v>
      </c>
      <c r="X19" s="33">
        <f>'1_PANEL_CONTROL'!$C$57</f>
        <v>49.5</v>
      </c>
      <c r="Y19" s="33">
        <f>'1_PANEL_CONTROL'!$C$57</f>
        <v>49.5</v>
      </c>
      <c r="Z19" s="33">
        <f>'1_PANEL_CONTROL'!$C$57</f>
        <v>49.5</v>
      </c>
      <c r="AA19" s="33">
        <f>'1_PANEL_CONTROL'!$C$57</f>
        <v>49.5</v>
      </c>
      <c r="AB19" s="33">
        <f>'1_PANEL_CONTROL'!$C$57</f>
        <v>49.5</v>
      </c>
      <c r="AC19" s="33">
        <f>'1_PANEL_CONTROL'!$C$57</f>
        <v>49.5</v>
      </c>
      <c r="AD19" s="33">
        <f>'1_PANEL_CONTROL'!$C$57</f>
        <v>49.5</v>
      </c>
      <c r="AE19" s="33">
        <f>'1_PANEL_CONTROL'!$C$57</f>
        <v>49.5</v>
      </c>
      <c r="AF19" s="33">
        <f>'1_PANEL_CONTROL'!$C$57</f>
        <v>49.5</v>
      </c>
      <c r="AG19" s="33">
        <f>'1_PANEL_CONTROL'!$C$57</f>
        <v>49.5</v>
      </c>
      <c r="AH19" s="33">
        <f>'1_PANEL_CONTROL'!$C$57</f>
        <v>49.5</v>
      </c>
      <c r="AI19" s="33">
        <f>'1_PANEL_CONTROL'!$C$57</f>
        <v>49.5</v>
      </c>
      <c r="AJ19" s="33">
        <f>'1_PANEL_CONTROL'!$C$57</f>
        <v>49.5</v>
      </c>
      <c r="AK19" s="33">
        <f>'1_PANEL_CONTROL'!$C$57</f>
        <v>49.5</v>
      </c>
      <c r="AL19" s="33">
        <f>'1_PANEL_CONTROL'!$C$57</f>
        <v>49.5</v>
      </c>
      <c r="AM19" s="33">
        <f>'1_PANEL_CONTROL'!$C$57</f>
        <v>49.5</v>
      </c>
      <c r="AN19" s="33">
        <f>'1_PANEL_CONTROL'!$C$57</f>
        <v>49.5</v>
      </c>
      <c r="AO19" s="33">
        <f>'1_PANEL_CONTROL'!$C$57</f>
        <v>49.5</v>
      </c>
      <c r="AP19" s="33">
        <f>'1_PANEL_CONTROL'!$C$57</f>
        <v>49.5</v>
      </c>
      <c r="AQ19" s="33">
        <f>'1_PANEL_CONTROL'!$C$57</f>
        <v>49.5</v>
      </c>
      <c r="AR19" s="33">
        <f>'1_PANEL_CONTROL'!$C$57</f>
        <v>49.5</v>
      </c>
      <c r="AS19" s="33">
        <f>'1_PANEL_CONTROL'!$C$57</f>
        <v>49.5</v>
      </c>
      <c r="AT19" s="33">
        <f>'1_PANEL_CONTROL'!$C$57</f>
        <v>49.5</v>
      </c>
      <c r="AU19" s="33">
        <f>'1_PANEL_CONTROL'!$C$57</f>
        <v>49.5</v>
      </c>
      <c r="AV19" s="33">
        <f>'1_PANEL_CONTROL'!$C$57</f>
        <v>49.5</v>
      </c>
      <c r="AW19" s="33">
        <f>'1_PANEL_CONTROL'!$C$57</f>
        <v>49.5</v>
      </c>
      <c r="AX19" s="33">
        <f>'1_PANEL_CONTROL'!$C$57</f>
        <v>49.5</v>
      </c>
      <c r="AY19" s="33">
        <f>'1_PANEL_CONTROL'!$C$57</f>
        <v>49.5</v>
      </c>
      <c r="AZ19" s="33">
        <f>'1_PANEL_CONTROL'!$C$57</f>
        <v>49.5</v>
      </c>
      <c r="BA19" s="33">
        <f>'1_PANEL_CONTROL'!$C$57</f>
        <v>49.5</v>
      </c>
      <c r="BB19" s="33">
        <f>'1_PANEL_CONTROL'!$C$57</f>
        <v>49.5</v>
      </c>
      <c r="BC19" s="33">
        <f>'1_PANEL_CONTROL'!$C$57</f>
        <v>49.5</v>
      </c>
      <c r="BD19" s="33">
        <f>'1_PANEL_CONTROL'!$C$57</f>
        <v>49.5</v>
      </c>
      <c r="BE19" s="33">
        <f>'1_PANEL_CONTROL'!$C$57</f>
        <v>49.5</v>
      </c>
      <c r="BF19" s="33">
        <f>'1_PANEL_CONTROL'!$C$57</f>
        <v>49.5</v>
      </c>
      <c r="BG19" s="33">
        <f>'1_PANEL_CONTROL'!$C$57</f>
        <v>49.5</v>
      </c>
      <c r="BH19" s="33">
        <f>'1_PANEL_CONTROL'!$C$57</f>
        <v>49.5</v>
      </c>
      <c r="BI19" s="33">
        <f>'1_PANEL_CONTROL'!$C$57</f>
        <v>49.5</v>
      </c>
      <c r="BJ19" s="33">
        <f>'1_PANEL_CONTROL'!$C$57</f>
        <v>49.5</v>
      </c>
      <c r="BK19" s="33">
        <f>'1_PANEL_CONTROL'!$C$57</f>
        <v>49.5</v>
      </c>
      <c r="BL19" s="33">
        <f>'1_PANEL_CONTROL'!$C$57</f>
        <v>49.5</v>
      </c>
      <c r="BM19" s="33">
        <f>'1_PANEL_CONTROL'!$C$57</f>
        <v>49.5</v>
      </c>
      <c r="BN19" s="33">
        <f>'1_PANEL_CONTROL'!$C$57</f>
        <v>49.5</v>
      </c>
      <c r="BO19" s="33">
        <f>'1_PANEL_CONTROL'!$C$57</f>
        <v>49.5</v>
      </c>
      <c r="BP19" s="33">
        <f>'1_PANEL_CONTROL'!$C$57</f>
        <v>49.5</v>
      </c>
      <c r="BQ19" s="33">
        <f>'1_PANEL_CONTROL'!$C$57</f>
        <v>49.5</v>
      </c>
      <c r="BR19" s="33">
        <f>'1_PANEL_CONTROL'!$C$57</f>
        <v>49.5</v>
      </c>
      <c r="BS19" s="33">
        <f>'1_PANEL_CONTROL'!$C$57</f>
        <v>49.5</v>
      </c>
      <c r="BT19" s="33">
        <f>'1_PANEL_CONTROL'!$C$57</f>
        <v>49.5</v>
      </c>
      <c r="BU19" s="33">
        <f>'1_PANEL_CONTROL'!$C$57</f>
        <v>49.5</v>
      </c>
      <c r="BV19" s="33">
        <f>'1_PANEL_CONTROL'!$C$57</f>
        <v>49.5</v>
      </c>
      <c r="BW19" s="33">
        <f>'1_PANEL_CONTROL'!$C$57</f>
        <v>49.5</v>
      </c>
      <c r="BX19" s="33">
        <f>'1_PANEL_CONTROL'!$C$57</f>
        <v>49.5</v>
      </c>
      <c r="BY19" s="33">
        <f>'1_PANEL_CONTROL'!$C$57</f>
        <v>49.5</v>
      </c>
      <c r="BZ19" s="33">
        <f>'1_PANEL_CONTROL'!$C$57</f>
        <v>49.5</v>
      </c>
      <c r="CA19" s="33">
        <f>'1_PANEL_CONTROL'!$C$57</f>
        <v>49.5</v>
      </c>
      <c r="CB19" s="33">
        <f>'1_PANEL_CONTROL'!$C$57</f>
        <v>49.5</v>
      </c>
      <c r="CC19" s="33">
        <f>'1_PANEL_CONTROL'!$C$57</f>
        <v>49.5</v>
      </c>
      <c r="CD19" s="33">
        <f>'1_PANEL_CONTROL'!$C$57</f>
        <v>49.5</v>
      </c>
      <c r="CE19" s="33">
        <f>'1_PANEL_CONTROL'!$C$57</f>
        <v>49.5</v>
      </c>
      <c r="CF19" s="33">
        <f>'1_PANEL_CONTROL'!$C$57</f>
        <v>49.5</v>
      </c>
      <c r="CG19" s="33">
        <f>'1_PANEL_CONTROL'!$C$57</f>
        <v>49.5</v>
      </c>
      <c r="CH19" s="33">
        <f>'1_PANEL_CONTROL'!$C$57</f>
        <v>49.5</v>
      </c>
      <c r="CI19" s="33">
        <f>'1_PANEL_CONTROL'!$C$57</f>
        <v>49.5</v>
      </c>
    </row>
    <row r="20" spans="1:87" ht="16.5">
      <c r="A20" s="6" t="s">
        <v>631</v>
      </c>
      <c r="B20" s="30" t="s">
        <v>465</v>
      </c>
      <c r="C20" s="17" t="s">
        <v>632</v>
      </c>
      <c r="D20" s="33">
        <f>'5_DETALLE_INGRESOS'!D13</f>
        <v>2955</v>
      </c>
      <c r="E20" s="33">
        <f>'5_DETALLE_INGRESOS'!E13</f>
        <v>2955</v>
      </c>
      <c r="F20" s="33">
        <f>'5_DETALLE_INGRESOS'!F13</f>
        <v>2955</v>
      </c>
      <c r="G20" s="33">
        <f>'5_DETALLE_INGRESOS'!G13</f>
        <v>2955</v>
      </c>
      <c r="H20" s="33">
        <f>'5_DETALLE_INGRESOS'!H13</f>
        <v>2955</v>
      </c>
      <c r="I20" s="33">
        <f>'5_DETALLE_INGRESOS'!I13</f>
        <v>2955</v>
      </c>
      <c r="J20" s="33">
        <f>'5_DETALLE_INGRESOS'!J13</f>
        <v>2955</v>
      </c>
      <c r="K20" s="33">
        <f>'5_DETALLE_INGRESOS'!K13</f>
        <v>2955</v>
      </c>
      <c r="L20" s="33">
        <f>'5_DETALLE_INGRESOS'!L13</f>
        <v>2955</v>
      </c>
      <c r="M20" s="33">
        <f>'5_DETALLE_INGRESOS'!M13</f>
        <v>2955</v>
      </c>
      <c r="N20" s="33">
        <f>'5_DETALLE_INGRESOS'!N13</f>
        <v>2955</v>
      </c>
      <c r="O20" s="33">
        <f>'5_DETALLE_INGRESOS'!O13</f>
        <v>2955</v>
      </c>
      <c r="P20" s="33">
        <f>'5_DETALLE_INGRESOS'!P13</f>
        <v>2955</v>
      </c>
      <c r="Q20" s="33">
        <f>'5_DETALLE_INGRESOS'!Q13</f>
        <v>2955</v>
      </c>
      <c r="R20" s="33">
        <f>'5_DETALLE_INGRESOS'!R13</f>
        <v>2955</v>
      </c>
      <c r="S20" s="33">
        <f>'5_DETALLE_INGRESOS'!S13</f>
        <v>2955</v>
      </c>
      <c r="T20" s="33">
        <f>'5_DETALLE_INGRESOS'!T13</f>
        <v>2955</v>
      </c>
      <c r="U20" s="33">
        <f>'5_DETALLE_INGRESOS'!U13</f>
        <v>2955</v>
      </c>
      <c r="V20" s="33">
        <f>'5_DETALLE_INGRESOS'!V13</f>
        <v>2955</v>
      </c>
      <c r="W20" s="33">
        <f>'5_DETALLE_INGRESOS'!W13</f>
        <v>2955</v>
      </c>
      <c r="X20" s="33">
        <f>'5_DETALLE_INGRESOS'!X13</f>
        <v>2955</v>
      </c>
      <c r="Y20" s="33">
        <f>'5_DETALLE_INGRESOS'!Y13</f>
        <v>2955</v>
      </c>
      <c r="Z20" s="33">
        <f>'5_DETALLE_INGRESOS'!Z13</f>
        <v>2955</v>
      </c>
      <c r="AA20" s="33">
        <f>'5_DETALLE_INGRESOS'!AA13</f>
        <v>2955</v>
      </c>
      <c r="AB20" s="33">
        <f>'5_DETALLE_INGRESOS'!AB13</f>
        <v>2955</v>
      </c>
      <c r="AC20" s="33">
        <f>'5_DETALLE_INGRESOS'!AC13</f>
        <v>2955</v>
      </c>
      <c r="AD20" s="33">
        <f>'5_DETALLE_INGRESOS'!AD13</f>
        <v>2955</v>
      </c>
      <c r="AE20" s="33">
        <f>'5_DETALLE_INGRESOS'!AE13</f>
        <v>2955</v>
      </c>
      <c r="AF20" s="33">
        <f>'5_DETALLE_INGRESOS'!AF13</f>
        <v>2955</v>
      </c>
      <c r="AG20" s="33">
        <f>'5_DETALLE_INGRESOS'!AG13</f>
        <v>2955</v>
      </c>
      <c r="AH20" s="33">
        <f>'5_DETALLE_INGRESOS'!AH13</f>
        <v>2955</v>
      </c>
      <c r="AI20" s="33">
        <f>'5_DETALLE_INGRESOS'!AI13</f>
        <v>2955</v>
      </c>
      <c r="AJ20" s="33">
        <f>'5_DETALLE_INGRESOS'!AJ13</f>
        <v>2955</v>
      </c>
      <c r="AK20" s="33">
        <f>'5_DETALLE_INGRESOS'!AK13</f>
        <v>2955</v>
      </c>
      <c r="AL20" s="33">
        <f>'5_DETALLE_INGRESOS'!AL13</f>
        <v>2955</v>
      </c>
      <c r="AM20" s="33">
        <f>'5_DETALLE_INGRESOS'!AM13</f>
        <v>2955</v>
      </c>
      <c r="AN20" s="33">
        <f>'5_DETALLE_INGRESOS'!AN13</f>
        <v>2955</v>
      </c>
      <c r="AO20" s="33">
        <f>'5_DETALLE_INGRESOS'!AO13</f>
        <v>2955</v>
      </c>
      <c r="AP20" s="33">
        <f>'5_DETALLE_INGRESOS'!AP13</f>
        <v>2955</v>
      </c>
      <c r="AQ20" s="33">
        <f>'5_DETALLE_INGRESOS'!AQ13</f>
        <v>2955</v>
      </c>
      <c r="AR20" s="33">
        <f>'5_DETALLE_INGRESOS'!AR13</f>
        <v>2955</v>
      </c>
      <c r="AS20" s="33">
        <f>'5_DETALLE_INGRESOS'!AS13</f>
        <v>2955</v>
      </c>
      <c r="AT20" s="33">
        <f>'5_DETALLE_INGRESOS'!AT13</f>
        <v>2955</v>
      </c>
      <c r="AU20" s="33">
        <f>'5_DETALLE_INGRESOS'!AU13</f>
        <v>2955</v>
      </c>
      <c r="AV20" s="33">
        <f>'5_DETALLE_INGRESOS'!AV13</f>
        <v>2955</v>
      </c>
      <c r="AW20" s="33">
        <f>'5_DETALLE_INGRESOS'!AW13</f>
        <v>2955</v>
      </c>
      <c r="AX20" s="33">
        <f>'5_DETALLE_INGRESOS'!AX13</f>
        <v>2955</v>
      </c>
      <c r="AY20" s="33">
        <f>'5_DETALLE_INGRESOS'!AY13</f>
        <v>2955</v>
      </c>
      <c r="AZ20" s="33">
        <f>'5_DETALLE_INGRESOS'!AZ13</f>
        <v>2955</v>
      </c>
      <c r="BA20" s="33">
        <f>'5_DETALLE_INGRESOS'!BA13</f>
        <v>2955</v>
      </c>
      <c r="BB20" s="33">
        <f>'5_DETALLE_INGRESOS'!BB13</f>
        <v>2955</v>
      </c>
      <c r="BC20" s="33">
        <f>'5_DETALLE_INGRESOS'!BC13</f>
        <v>2955</v>
      </c>
      <c r="BD20" s="33">
        <f>'5_DETALLE_INGRESOS'!BD13</f>
        <v>2955</v>
      </c>
      <c r="BE20" s="33">
        <f>'5_DETALLE_INGRESOS'!BE13</f>
        <v>2955</v>
      </c>
      <c r="BF20" s="33">
        <f>'5_DETALLE_INGRESOS'!BF13</f>
        <v>2955</v>
      </c>
      <c r="BG20" s="33">
        <f>'5_DETALLE_INGRESOS'!BG13</f>
        <v>2955</v>
      </c>
      <c r="BH20" s="33">
        <f>'5_DETALLE_INGRESOS'!BH13</f>
        <v>2955</v>
      </c>
      <c r="BI20" s="33">
        <f>'5_DETALLE_INGRESOS'!BI13</f>
        <v>2955</v>
      </c>
      <c r="BJ20" s="33">
        <f>'5_DETALLE_INGRESOS'!BJ13</f>
        <v>2955</v>
      </c>
      <c r="BK20" s="33">
        <f>'5_DETALLE_INGRESOS'!BK13</f>
        <v>2955</v>
      </c>
      <c r="BL20" s="33">
        <f>'5_DETALLE_INGRESOS'!BL13</f>
        <v>2955</v>
      </c>
      <c r="BM20" s="33">
        <f>'5_DETALLE_INGRESOS'!BM13</f>
        <v>2955</v>
      </c>
      <c r="BN20" s="33">
        <f>'5_DETALLE_INGRESOS'!BN13</f>
        <v>2955</v>
      </c>
      <c r="BO20" s="33">
        <f>'5_DETALLE_INGRESOS'!BO13</f>
        <v>2955</v>
      </c>
      <c r="BP20" s="33">
        <f>'5_DETALLE_INGRESOS'!BP13</f>
        <v>2955</v>
      </c>
      <c r="BQ20" s="33">
        <f>'5_DETALLE_INGRESOS'!BQ13</f>
        <v>2955</v>
      </c>
      <c r="BR20" s="33">
        <f>'5_DETALLE_INGRESOS'!BR13</f>
        <v>2955</v>
      </c>
      <c r="BS20" s="33">
        <f>'5_DETALLE_INGRESOS'!BS13</f>
        <v>2955</v>
      </c>
      <c r="BT20" s="33">
        <f>'5_DETALLE_INGRESOS'!BT13</f>
        <v>2955</v>
      </c>
      <c r="BU20" s="33">
        <f>'5_DETALLE_INGRESOS'!BU13</f>
        <v>2955</v>
      </c>
      <c r="BV20" s="33">
        <f>'5_DETALLE_INGRESOS'!BV13</f>
        <v>2955</v>
      </c>
      <c r="BW20" s="33">
        <f>'5_DETALLE_INGRESOS'!BW13</f>
        <v>2955</v>
      </c>
      <c r="BX20" s="33">
        <f>'5_DETALLE_INGRESOS'!BX13</f>
        <v>2955</v>
      </c>
      <c r="BY20" s="33">
        <f>'5_DETALLE_INGRESOS'!BY13</f>
        <v>2955</v>
      </c>
      <c r="BZ20" s="33">
        <f>'5_DETALLE_INGRESOS'!BZ13</f>
        <v>2955</v>
      </c>
      <c r="CA20" s="33">
        <f>'5_DETALLE_INGRESOS'!CA13</f>
        <v>2955</v>
      </c>
      <c r="CB20" s="33">
        <f>'5_DETALLE_INGRESOS'!CB13</f>
        <v>2955</v>
      </c>
      <c r="CC20" s="33">
        <f>'5_DETALLE_INGRESOS'!CC13</f>
        <v>2955</v>
      </c>
      <c r="CD20" s="33">
        <f>'5_DETALLE_INGRESOS'!CD13</f>
        <v>2955</v>
      </c>
      <c r="CE20" s="33">
        <f>'5_DETALLE_INGRESOS'!CE13</f>
        <v>2955</v>
      </c>
      <c r="CF20" s="33">
        <f>'5_DETALLE_INGRESOS'!CF13</f>
        <v>2955</v>
      </c>
      <c r="CG20" s="33">
        <f>'5_DETALLE_INGRESOS'!CG13</f>
        <v>2955</v>
      </c>
      <c r="CH20" s="33">
        <f>'5_DETALLE_INGRESOS'!CH13</f>
        <v>2955</v>
      </c>
      <c r="CI20" s="33">
        <f>'5_DETALLE_INGRESOS'!CI13</f>
        <v>2955</v>
      </c>
    </row>
    <row r="21" spans="1:87" ht="16.5">
      <c r="A21" s="6" t="s">
        <v>140</v>
      </c>
      <c r="B21" s="30" t="s">
        <v>465</v>
      </c>
      <c r="C21" s="17" t="s">
        <v>633</v>
      </c>
      <c r="D21" s="33">
        <f>'1_PANEL_CONTROL'!$C$58</f>
        <v>400</v>
      </c>
      <c r="E21" s="33">
        <f>'1_PANEL_CONTROL'!$C$58</f>
        <v>400</v>
      </c>
      <c r="F21" s="33">
        <f>'1_PANEL_CONTROL'!$C$58</f>
        <v>400</v>
      </c>
      <c r="G21" s="33">
        <f>'1_PANEL_CONTROL'!$C$58</f>
        <v>400</v>
      </c>
      <c r="H21" s="33">
        <f>'1_PANEL_CONTROL'!$C$58</f>
        <v>400</v>
      </c>
      <c r="I21" s="33">
        <f>'1_PANEL_CONTROL'!$C$58</f>
        <v>400</v>
      </c>
      <c r="J21" s="33">
        <f>'1_PANEL_CONTROL'!$C$58</f>
        <v>400</v>
      </c>
      <c r="K21" s="33">
        <f>'1_PANEL_CONTROL'!$C$58</f>
        <v>400</v>
      </c>
      <c r="L21" s="33">
        <f>'1_PANEL_CONTROL'!$C$58</f>
        <v>400</v>
      </c>
      <c r="M21" s="33">
        <f>'1_PANEL_CONTROL'!$C$58</f>
        <v>400</v>
      </c>
      <c r="N21" s="33">
        <f>'1_PANEL_CONTROL'!$C$58</f>
        <v>400</v>
      </c>
      <c r="O21" s="33">
        <f>'1_PANEL_CONTROL'!$C$58</f>
        <v>400</v>
      </c>
      <c r="P21" s="33">
        <f>'1_PANEL_CONTROL'!$C$58</f>
        <v>400</v>
      </c>
      <c r="Q21" s="33">
        <f>'1_PANEL_CONTROL'!$C$58</f>
        <v>400</v>
      </c>
      <c r="R21" s="33">
        <f>'1_PANEL_CONTROL'!$C$58</f>
        <v>400</v>
      </c>
      <c r="S21" s="33">
        <f>'1_PANEL_CONTROL'!$C$58</f>
        <v>400</v>
      </c>
      <c r="T21" s="33">
        <f>'1_PANEL_CONTROL'!$C$58</f>
        <v>400</v>
      </c>
      <c r="U21" s="33">
        <f>'1_PANEL_CONTROL'!$C$58</f>
        <v>400</v>
      </c>
      <c r="V21" s="33">
        <f>'1_PANEL_CONTROL'!$C$58</f>
        <v>400</v>
      </c>
      <c r="W21" s="33">
        <f>'1_PANEL_CONTROL'!$C$58</f>
        <v>400</v>
      </c>
      <c r="X21" s="33">
        <f>'1_PANEL_CONTROL'!$C$58</f>
        <v>400</v>
      </c>
      <c r="Y21" s="33">
        <f>'1_PANEL_CONTROL'!$C$58</f>
        <v>400</v>
      </c>
      <c r="Z21" s="33">
        <f>'1_PANEL_CONTROL'!$C$58</f>
        <v>400</v>
      </c>
      <c r="AA21" s="33">
        <f>'1_PANEL_CONTROL'!$C$58</f>
        <v>400</v>
      </c>
      <c r="AB21" s="33">
        <f>'1_PANEL_CONTROL'!$C$58</f>
        <v>400</v>
      </c>
      <c r="AC21" s="33">
        <f>'1_PANEL_CONTROL'!$C$58</f>
        <v>400</v>
      </c>
      <c r="AD21" s="33">
        <f>'1_PANEL_CONTROL'!$C$58</f>
        <v>400</v>
      </c>
      <c r="AE21" s="33">
        <f>'1_PANEL_CONTROL'!$C$58</f>
        <v>400</v>
      </c>
      <c r="AF21" s="33">
        <f>'1_PANEL_CONTROL'!$C$58</f>
        <v>400</v>
      </c>
      <c r="AG21" s="33">
        <f>'1_PANEL_CONTROL'!$C$58</f>
        <v>400</v>
      </c>
      <c r="AH21" s="33">
        <f>'1_PANEL_CONTROL'!$C$58</f>
        <v>400</v>
      </c>
      <c r="AI21" s="33">
        <f>'1_PANEL_CONTROL'!$C$58</f>
        <v>400</v>
      </c>
      <c r="AJ21" s="33">
        <f>'1_PANEL_CONTROL'!$C$58</f>
        <v>400</v>
      </c>
      <c r="AK21" s="33">
        <f>'1_PANEL_CONTROL'!$C$58</f>
        <v>400</v>
      </c>
      <c r="AL21" s="33">
        <f>'1_PANEL_CONTROL'!$C$58</f>
        <v>400</v>
      </c>
      <c r="AM21" s="33">
        <f>'1_PANEL_CONTROL'!$C$58</f>
        <v>400</v>
      </c>
      <c r="AN21" s="33">
        <f>'1_PANEL_CONTROL'!$C$58</f>
        <v>400</v>
      </c>
      <c r="AO21" s="33">
        <f>'1_PANEL_CONTROL'!$C$58</f>
        <v>400</v>
      </c>
      <c r="AP21" s="33">
        <f>'1_PANEL_CONTROL'!$C$58</f>
        <v>400</v>
      </c>
      <c r="AQ21" s="33">
        <f>'1_PANEL_CONTROL'!$C$58</f>
        <v>400</v>
      </c>
      <c r="AR21" s="33">
        <f>'1_PANEL_CONTROL'!$C$58</f>
        <v>400</v>
      </c>
      <c r="AS21" s="33">
        <f>'1_PANEL_CONTROL'!$C$58</f>
        <v>400</v>
      </c>
      <c r="AT21" s="33">
        <f>'1_PANEL_CONTROL'!$C$58</f>
        <v>400</v>
      </c>
      <c r="AU21" s="33">
        <f>'1_PANEL_CONTROL'!$C$58</f>
        <v>400</v>
      </c>
      <c r="AV21" s="33">
        <f>'1_PANEL_CONTROL'!$C$58</f>
        <v>400</v>
      </c>
      <c r="AW21" s="33">
        <f>'1_PANEL_CONTROL'!$C$58</f>
        <v>400</v>
      </c>
      <c r="AX21" s="33">
        <f>'1_PANEL_CONTROL'!$C$58</f>
        <v>400</v>
      </c>
      <c r="AY21" s="33">
        <f>'1_PANEL_CONTROL'!$C$58</f>
        <v>400</v>
      </c>
      <c r="AZ21" s="33">
        <f>'1_PANEL_CONTROL'!$C$58</f>
        <v>400</v>
      </c>
      <c r="BA21" s="33">
        <f>'1_PANEL_CONTROL'!$C$58</f>
        <v>400</v>
      </c>
      <c r="BB21" s="33">
        <f>'1_PANEL_CONTROL'!$C$58</f>
        <v>400</v>
      </c>
      <c r="BC21" s="33">
        <f>'1_PANEL_CONTROL'!$C$58</f>
        <v>400</v>
      </c>
      <c r="BD21" s="33">
        <f>'1_PANEL_CONTROL'!$C$58</f>
        <v>400</v>
      </c>
      <c r="BE21" s="33">
        <f>'1_PANEL_CONTROL'!$C$58</f>
        <v>400</v>
      </c>
      <c r="BF21" s="33">
        <f>'1_PANEL_CONTROL'!$C$58</f>
        <v>400</v>
      </c>
      <c r="BG21" s="33">
        <f>'1_PANEL_CONTROL'!$C$58</f>
        <v>400</v>
      </c>
      <c r="BH21" s="33">
        <f>'1_PANEL_CONTROL'!$C$58</f>
        <v>400</v>
      </c>
      <c r="BI21" s="33">
        <f>'1_PANEL_CONTROL'!$C$58</f>
        <v>400</v>
      </c>
      <c r="BJ21" s="33">
        <f>'1_PANEL_CONTROL'!$C$58</f>
        <v>400</v>
      </c>
      <c r="BK21" s="33">
        <f>'1_PANEL_CONTROL'!$C$58</f>
        <v>400</v>
      </c>
      <c r="BL21" s="33">
        <f>'1_PANEL_CONTROL'!$C$58</f>
        <v>400</v>
      </c>
      <c r="BM21" s="33">
        <f>'1_PANEL_CONTROL'!$C$58</f>
        <v>400</v>
      </c>
      <c r="BN21" s="33">
        <f>'1_PANEL_CONTROL'!$C$58</f>
        <v>400</v>
      </c>
      <c r="BO21" s="33">
        <f>'1_PANEL_CONTROL'!$C$58</f>
        <v>400</v>
      </c>
      <c r="BP21" s="33">
        <f>'1_PANEL_CONTROL'!$C$58</f>
        <v>400</v>
      </c>
      <c r="BQ21" s="33">
        <f>'1_PANEL_CONTROL'!$C$58</f>
        <v>400</v>
      </c>
      <c r="BR21" s="33">
        <f>'1_PANEL_CONTROL'!$C$58</f>
        <v>400</v>
      </c>
      <c r="BS21" s="33">
        <f>'1_PANEL_CONTROL'!$C$58</f>
        <v>400</v>
      </c>
      <c r="BT21" s="33">
        <f>'1_PANEL_CONTROL'!$C$58</f>
        <v>400</v>
      </c>
      <c r="BU21" s="33">
        <f>'1_PANEL_CONTROL'!$C$58</f>
        <v>400</v>
      </c>
      <c r="BV21" s="33">
        <f>'1_PANEL_CONTROL'!$C$58</f>
        <v>400</v>
      </c>
      <c r="BW21" s="33">
        <f>'1_PANEL_CONTROL'!$C$58</f>
        <v>400</v>
      </c>
      <c r="BX21" s="33">
        <f>'1_PANEL_CONTROL'!$C$58</f>
        <v>400</v>
      </c>
      <c r="BY21" s="33">
        <f>'1_PANEL_CONTROL'!$C$58</f>
        <v>400</v>
      </c>
      <c r="BZ21" s="33">
        <f>'1_PANEL_CONTROL'!$C$58</f>
        <v>400</v>
      </c>
      <c r="CA21" s="33">
        <f>'1_PANEL_CONTROL'!$C$58</f>
        <v>400</v>
      </c>
      <c r="CB21" s="33">
        <f>'1_PANEL_CONTROL'!$C$58</f>
        <v>400</v>
      </c>
      <c r="CC21" s="33">
        <f>'1_PANEL_CONTROL'!$C$58</f>
        <v>400</v>
      </c>
      <c r="CD21" s="33">
        <f>'1_PANEL_CONTROL'!$C$58</f>
        <v>400</v>
      </c>
      <c r="CE21" s="33">
        <f>'1_PANEL_CONTROL'!$C$58</f>
        <v>400</v>
      </c>
      <c r="CF21" s="33">
        <f>'1_PANEL_CONTROL'!$C$58</f>
        <v>400</v>
      </c>
      <c r="CG21" s="33">
        <f>'1_PANEL_CONTROL'!$C$58</f>
        <v>400</v>
      </c>
      <c r="CH21" s="33">
        <f>'1_PANEL_CONTROL'!$C$58</f>
        <v>400</v>
      </c>
      <c r="CI21" s="33">
        <f>'1_PANEL_CONTROL'!$C$58</f>
        <v>400</v>
      </c>
    </row>
    <row r="22" spans="1:87" ht="16.5">
      <c r="A22" s="6" t="s">
        <v>634</v>
      </c>
      <c r="B22" s="30" t="s">
        <v>465</v>
      </c>
      <c r="C22" s="17" t="s">
        <v>635</v>
      </c>
      <c r="D22" s="33">
        <f>'1_PANEL_CONTROL'!$C$59</f>
        <v>400.05</v>
      </c>
      <c r="E22" s="33">
        <f>'1_PANEL_CONTROL'!$C$59</f>
        <v>400.05</v>
      </c>
      <c r="F22" s="33">
        <f>'1_PANEL_CONTROL'!$C$59</f>
        <v>400.05</v>
      </c>
      <c r="G22" s="33">
        <f>'1_PANEL_CONTROL'!$C$59</f>
        <v>400.05</v>
      </c>
      <c r="H22" s="33">
        <f>'1_PANEL_CONTROL'!$C$59</f>
        <v>400.05</v>
      </c>
      <c r="I22" s="33">
        <f>'1_PANEL_CONTROL'!$C$59</f>
        <v>400.05</v>
      </c>
      <c r="J22" s="33">
        <f>'1_PANEL_CONTROL'!$C$59</f>
        <v>400.05</v>
      </c>
      <c r="K22" s="33">
        <f>'1_PANEL_CONTROL'!$C$59</f>
        <v>400.05</v>
      </c>
      <c r="L22" s="33">
        <f>'1_PANEL_CONTROL'!$C$59</f>
        <v>400.05</v>
      </c>
      <c r="M22" s="33">
        <f>'1_PANEL_CONTROL'!$C$59</f>
        <v>400.05</v>
      </c>
      <c r="N22" s="33">
        <f>'1_PANEL_CONTROL'!$C$59</f>
        <v>400.05</v>
      </c>
      <c r="O22" s="33">
        <f>'1_PANEL_CONTROL'!$C$59</f>
        <v>400.05</v>
      </c>
      <c r="P22" s="33">
        <f>'1_PANEL_CONTROL'!$C$59</f>
        <v>400.05</v>
      </c>
      <c r="Q22" s="33">
        <f>'1_PANEL_CONTROL'!$C$59</f>
        <v>400.05</v>
      </c>
      <c r="R22" s="33">
        <f>'1_PANEL_CONTROL'!$C$59</f>
        <v>400.05</v>
      </c>
      <c r="S22" s="33">
        <f>'1_PANEL_CONTROL'!$C$59</f>
        <v>400.05</v>
      </c>
      <c r="T22" s="33">
        <f>'1_PANEL_CONTROL'!$C$59</f>
        <v>400.05</v>
      </c>
      <c r="U22" s="33">
        <f>'1_PANEL_CONTROL'!$C$59</f>
        <v>400.05</v>
      </c>
      <c r="V22" s="33">
        <f>'1_PANEL_CONTROL'!$C$59</f>
        <v>400.05</v>
      </c>
      <c r="W22" s="33">
        <f>'1_PANEL_CONTROL'!$C$59</f>
        <v>400.05</v>
      </c>
      <c r="X22" s="33">
        <f>'1_PANEL_CONTROL'!$C$59</f>
        <v>400.05</v>
      </c>
      <c r="Y22" s="33">
        <f>'1_PANEL_CONTROL'!$C$59</f>
        <v>400.05</v>
      </c>
      <c r="Z22" s="33">
        <f>'1_PANEL_CONTROL'!$C$59</f>
        <v>400.05</v>
      </c>
      <c r="AA22" s="33">
        <f>'1_PANEL_CONTROL'!$C$59</f>
        <v>400.05</v>
      </c>
      <c r="AB22" s="33">
        <f>'1_PANEL_CONTROL'!$C$59</f>
        <v>400.05</v>
      </c>
      <c r="AC22" s="33">
        <f>'1_PANEL_CONTROL'!$C$59</f>
        <v>400.05</v>
      </c>
      <c r="AD22" s="33">
        <f>'1_PANEL_CONTROL'!$C$59</f>
        <v>400.05</v>
      </c>
      <c r="AE22" s="33">
        <f>'1_PANEL_CONTROL'!$C$59</f>
        <v>400.05</v>
      </c>
      <c r="AF22" s="33">
        <f>'1_PANEL_CONTROL'!$C$59</f>
        <v>400.05</v>
      </c>
      <c r="AG22" s="33">
        <f>'1_PANEL_CONTROL'!$C$59</f>
        <v>400.05</v>
      </c>
      <c r="AH22" s="33">
        <f>'1_PANEL_CONTROL'!$C$59</f>
        <v>400.05</v>
      </c>
      <c r="AI22" s="33">
        <f>'1_PANEL_CONTROL'!$C$59</f>
        <v>400.05</v>
      </c>
      <c r="AJ22" s="33">
        <f>'1_PANEL_CONTROL'!$C$59</f>
        <v>400.05</v>
      </c>
      <c r="AK22" s="33">
        <f>'1_PANEL_CONTROL'!$C$59</f>
        <v>400.05</v>
      </c>
      <c r="AL22" s="33">
        <f>'1_PANEL_CONTROL'!$C$59</f>
        <v>400.05</v>
      </c>
      <c r="AM22" s="33">
        <f>'1_PANEL_CONTROL'!$C$59</f>
        <v>400.05</v>
      </c>
      <c r="AN22" s="33">
        <f>'1_PANEL_CONTROL'!$C$59</f>
        <v>400.05</v>
      </c>
      <c r="AO22" s="33">
        <f>'1_PANEL_CONTROL'!$C$59</f>
        <v>400.05</v>
      </c>
      <c r="AP22" s="33">
        <f>'1_PANEL_CONTROL'!$C$59</f>
        <v>400.05</v>
      </c>
      <c r="AQ22" s="33">
        <f>'1_PANEL_CONTROL'!$C$59</f>
        <v>400.05</v>
      </c>
      <c r="AR22" s="33">
        <f>'1_PANEL_CONTROL'!$C$59</f>
        <v>400.05</v>
      </c>
      <c r="AS22" s="33">
        <f>'1_PANEL_CONTROL'!$C$59</f>
        <v>400.05</v>
      </c>
      <c r="AT22" s="33">
        <f>'1_PANEL_CONTROL'!$C$59</f>
        <v>400.05</v>
      </c>
      <c r="AU22" s="33">
        <f>'1_PANEL_CONTROL'!$C$59</f>
        <v>400.05</v>
      </c>
      <c r="AV22" s="33">
        <f>'1_PANEL_CONTROL'!$C$59</f>
        <v>400.05</v>
      </c>
      <c r="AW22" s="33">
        <f>'1_PANEL_CONTROL'!$C$59</f>
        <v>400.05</v>
      </c>
      <c r="AX22" s="33">
        <f>'1_PANEL_CONTROL'!$C$59</f>
        <v>400.05</v>
      </c>
      <c r="AY22" s="33">
        <f>'1_PANEL_CONTROL'!$C$59</f>
        <v>400.05</v>
      </c>
      <c r="AZ22" s="33">
        <f>'1_PANEL_CONTROL'!$C$59</f>
        <v>400.05</v>
      </c>
      <c r="BA22" s="33">
        <f>'1_PANEL_CONTROL'!$C$59</f>
        <v>400.05</v>
      </c>
      <c r="BB22" s="33">
        <f>'1_PANEL_CONTROL'!$C$59</f>
        <v>400.05</v>
      </c>
      <c r="BC22" s="33">
        <f>'1_PANEL_CONTROL'!$C$59</f>
        <v>400.05</v>
      </c>
      <c r="BD22" s="33">
        <f>'1_PANEL_CONTROL'!$C$59</f>
        <v>400.05</v>
      </c>
      <c r="BE22" s="33">
        <f>'1_PANEL_CONTROL'!$C$59</f>
        <v>400.05</v>
      </c>
      <c r="BF22" s="33">
        <f>'1_PANEL_CONTROL'!$C$59</f>
        <v>400.05</v>
      </c>
      <c r="BG22" s="33">
        <f>'1_PANEL_CONTROL'!$C$59</f>
        <v>400.05</v>
      </c>
      <c r="BH22" s="33">
        <f>'1_PANEL_CONTROL'!$C$59</f>
        <v>400.05</v>
      </c>
      <c r="BI22" s="33">
        <f>'1_PANEL_CONTROL'!$C$59</f>
        <v>400.05</v>
      </c>
      <c r="BJ22" s="33">
        <f>'1_PANEL_CONTROL'!$C$59</f>
        <v>400.05</v>
      </c>
      <c r="BK22" s="33">
        <f>'1_PANEL_CONTROL'!$C$59</f>
        <v>400.05</v>
      </c>
      <c r="BL22" s="33">
        <f>'1_PANEL_CONTROL'!$C$59</f>
        <v>400.05</v>
      </c>
      <c r="BM22" s="33">
        <f>'1_PANEL_CONTROL'!$C$59</f>
        <v>400.05</v>
      </c>
      <c r="BN22" s="33">
        <f>'1_PANEL_CONTROL'!$C$59</f>
        <v>400.05</v>
      </c>
      <c r="BO22" s="33">
        <f>'1_PANEL_CONTROL'!$C$59</f>
        <v>400.05</v>
      </c>
      <c r="BP22" s="33">
        <f>'1_PANEL_CONTROL'!$C$59</f>
        <v>400.05</v>
      </c>
      <c r="BQ22" s="33">
        <f>'1_PANEL_CONTROL'!$C$59</f>
        <v>400.05</v>
      </c>
      <c r="BR22" s="33">
        <f>'1_PANEL_CONTROL'!$C$59</f>
        <v>400.05</v>
      </c>
      <c r="BS22" s="33">
        <f>'1_PANEL_CONTROL'!$C$59</f>
        <v>400.05</v>
      </c>
      <c r="BT22" s="33">
        <f>'1_PANEL_CONTROL'!$C$59</f>
        <v>400.05</v>
      </c>
      <c r="BU22" s="33">
        <f>'1_PANEL_CONTROL'!$C$59</f>
        <v>400.05</v>
      </c>
      <c r="BV22" s="33">
        <f>'1_PANEL_CONTROL'!$C$59</f>
        <v>400.05</v>
      </c>
      <c r="BW22" s="33">
        <f>'1_PANEL_CONTROL'!$C$59</f>
        <v>400.05</v>
      </c>
      <c r="BX22" s="33">
        <f>'1_PANEL_CONTROL'!$C$59</f>
        <v>400.05</v>
      </c>
      <c r="BY22" s="33">
        <f>'1_PANEL_CONTROL'!$C$59</f>
        <v>400.05</v>
      </c>
      <c r="BZ22" s="33">
        <f>'1_PANEL_CONTROL'!$C$59</f>
        <v>400.05</v>
      </c>
      <c r="CA22" s="33">
        <f>'1_PANEL_CONTROL'!$C$59</f>
        <v>400.05</v>
      </c>
      <c r="CB22" s="33">
        <f>'1_PANEL_CONTROL'!$C$59</f>
        <v>400.05</v>
      </c>
      <c r="CC22" s="33">
        <f>'1_PANEL_CONTROL'!$C$59</f>
        <v>400.05</v>
      </c>
      <c r="CD22" s="33">
        <f>'1_PANEL_CONTROL'!$C$59</f>
        <v>400.05</v>
      </c>
      <c r="CE22" s="33">
        <f>'1_PANEL_CONTROL'!$C$59</f>
        <v>400.05</v>
      </c>
      <c r="CF22" s="33">
        <f>'1_PANEL_CONTROL'!$C$59</f>
        <v>400.05</v>
      </c>
      <c r="CG22" s="33">
        <f>'1_PANEL_CONTROL'!$C$59</f>
        <v>400.05</v>
      </c>
      <c r="CH22" s="33">
        <f>'1_PANEL_CONTROL'!$C$59</f>
        <v>400.05</v>
      </c>
      <c r="CI22" s="33">
        <f>'1_PANEL_CONTROL'!$C$59</f>
        <v>400.05</v>
      </c>
    </row>
    <row r="23" spans="1:87" ht="16.5">
      <c r="A23" s="6" t="s">
        <v>144</v>
      </c>
      <c r="B23" s="30" t="s">
        <v>465</v>
      </c>
      <c r="C23" s="17" t="s">
        <v>636</v>
      </c>
      <c r="D23" s="33">
        <f>'1_PANEL_CONTROL'!$C$60</f>
        <v>400.05</v>
      </c>
      <c r="E23" s="33">
        <f>'1_PANEL_CONTROL'!$C$60</f>
        <v>400.05</v>
      </c>
      <c r="F23" s="33">
        <f>'1_PANEL_CONTROL'!$C$60</f>
        <v>400.05</v>
      </c>
      <c r="G23" s="33">
        <f>'1_PANEL_CONTROL'!$C$60</f>
        <v>400.05</v>
      </c>
      <c r="H23" s="33">
        <f>'1_PANEL_CONTROL'!$C$60</f>
        <v>400.05</v>
      </c>
      <c r="I23" s="33">
        <f>'1_PANEL_CONTROL'!$C$60</f>
        <v>400.05</v>
      </c>
      <c r="J23" s="33">
        <f>'1_PANEL_CONTROL'!$C$60</f>
        <v>400.05</v>
      </c>
      <c r="K23" s="33">
        <f>'1_PANEL_CONTROL'!$C$60</f>
        <v>400.05</v>
      </c>
      <c r="L23" s="33">
        <f>'1_PANEL_CONTROL'!$C$60</f>
        <v>400.05</v>
      </c>
      <c r="M23" s="33">
        <f>'1_PANEL_CONTROL'!$C$60</f>
        <v>400.05</v>
      </c>
      <c r="N23" s="33">
        <f>'1_PANEL_CONTROL'!$C$60</f>
        <v>400.05</v>
      </c>
      <c r="O23" s="33">
        <f>'1_PANEL_CONTROL'!$C$60</f>
        <v>400.05</v>
      </c>
      <c r="P23" s="33">
        <f>'1_PANEL_CONTROL'!$C$60</f>
        <v>400.05</v>
      </c>
      <c r="Q23" s="33">
        <f>'1_PANEL_CONTROL'!$C$60</f>
        <v>400.05</v>
      </c>
      <c r="R23" s="33">
        <f>'1_PANEL_CONTROL'!$C$60</f>
        <v>400.05</v>
      </c>
      <c r="S23" s="33">
        <f>'1_PANEL_CONTROL'!$C$60</f>
        <v>400.05</v>
      </c>
      <c r="T23" s="33">
        <f>'1_PANEL_CONTROL'!$C$60</f>
        <v>400.05</v>
      </c>
      <c r="U23" s="33">
        <f>'1_PANEL_CONTROL'!$C$60</f>
        <v>400.05</v>
      </c>
      <c r="V23" s="33">
        <f>'1_PANEL_CONTROL'!$C$60</f>
        <v>400.05</v>
      </c>
      <c r="W23" s="33">
        <f>'1_PANEL_CONTROL'!$C$60</f>
        <v>400.05</v>
      </c>
      <c r="X23" s="33">
        <f>'1_PANEL_CONTROL'!$C$60</f>
        <v>400.05</v>
      </c>
      <c r="Y23" s="33">
        <f>'1_PANEL_CONTROL'!$C$60</f>
        <v>400.05</v>
      </c>
      <c r="Z23" s="33">
        <f>'1_PANEL_CONTROL'!$C$60</f>
        <v>400.05</v>
      </c>
      <c r="AA23" s="33">
        <f>'1_PANEL_CONTROL'!$C$60</f>
        <v>400.05</v>
      </c>
      <c r="AB23" s="33">
        <f>'1_PANEL_CONTROL'!$C$60</f>
        <v>400.05</v>
      </c>
      <c r="AC23" s="33">
        <f>'1_PANEL_CONTROL'!$C$60</f>
        <v>400.05</v>
      </c>
      <c r="AD23" s="33">
        <f>'1_PANEL_CONTROL'!$C$60</f>
        <v>400.05</v>
      </c>
      <c r="AE23" s="33">
        <f>'1_PANEL_CONTROL'!$C$60</f>
        <v>400.05</v>
      </c>
      <c r="AF23" s="33">
        <f>'1_PANEL_CONTROL'!$C$60</f>
        <v>400.05</v>
      </c>
      <c r="AG23" s="33">
        <f>'1_PANEL_CONTROL'!$C$60</f>
        <v>400.05</v>
      </c>
      <c r="AH23" s="33">
        <f>'1_PANEL_CONTROL'!$C$60</f>
        <v>400.05</v>
      </c>
      <c r="AI23" s="33">
        <f>'1_PANEL_CONTROL'!$C$60</f>
        <v>400.05</v>
      </c>
      <c r="AJ23" s="33">
        <f>'1_PANEL_CONTROL'!$C$60</f>
        <v>400.05</v>
      </c>
      <c r="AK23" s="33">
        <f>'1_PANEL_CONTROL'!$C$60</f>
        <v>400.05</v>
      </c>
      <c r="AL23" s="33">
        <f>'1_PANEL_CONTROL'!$C$60</f>
        <v>400.05</v>
      </c>
      <c r="AM23" s="33">
        <f>'1_PANEL_CONTROL'!$C$60</f>
        <v>400.05</v>
      </c>
      <c r="AN23" s="33">
        <f>'1_PANEL_CONTROL'!$C$60</f>
        <v>400.05</v>
      </c>
      <c r="AO23" s="33">
        <f>'1_PANEL_CONTROL'!$C$60</f>
        <v>400.05</v>
      </c>
      <c r="AP23" s="33">
        <f>'1_PANEL_CONTROL'!$C$60</f>
        <v>400.05</v>
      </c>
      <c r="AQ23" s="33">
        <f>'1_PANEL_CONTROL'!$C$60</f>
        <v>400.05</v>
      </c>
      <c r="AR23" s="33">
        <f>'1_PANEL_CONTROL'!$C$60</f>
        <v>400.05</v>
      </c>
      <c r="AS23" s="33">
        <f>'1_PANEL_CONTROL'!$C$60</f>
        <v>400.05</v>
      </c>
      <c r="AT23" s="33">
        <f>'1_PANEL_CONTROL'!$C$60</f>
        <v>400.05</v>
      </c>
      <c r="AU23" s="33">
        <f>'1_PANEL_CONTROL'!$C$60</f>
        <v>400.05</v>
      </c>
      <c r="AV23" s="33">
        <f>'1_PANEL_CONTROL'!$C$60</f>
        <v>400.05</v>
      </c>
      <c r="AW23" s="33">
        <f>'1_PANEL_CONTROL'!$C$60</f>
        <v>400.05</v>
      </c>
      <c r="AX23" s="33">
        <f>'1_PANEL_CONTROL'!$C$60</f>
        <v>400.05</v>
      </c>
      <c r="AY23" s="33">
        <f>'1_PANEL_CONTROL'!$C$60</f>
        <v>400.05</v>
      </c>
      <c r="AZ23" s="33">
        <f>'1_PANEL_CONTROL'!$C$60</f>
        <v>400.05</v>
      </c>
      <c r="BA23" s="33">
        <f>'1_PANEL_CONTROL'!$C$60</f>
        <v>400.05</v>
      </c>
      <c r="BB23" s="33">
        <f>'1_PANEL_CONTROL'!$C$60</f>
        <v>400.05</v>
      </c>
      <c r="BC23" s="33">
        <f>'1_PANEL_CONTROL'!$C$60</f>
        <v>400.05</v>
      </c>
      <c r="BD23" s="33">
        <f>'1_PANEL_CONTROL'!$C$60</f>
        <v>400.05</v>
      </c>
      <c r="BE23" s="33">
        <f>'1_PANEL_CONTROL'!$C$60</f>
        <v>400.05</v>
      </c>
      <c r="BF23" s="33">
        <f>'1_PANEL_CONTROL'!$C$60</f>
        <v>400.05</v>
      </c>
      <c r="BG23" s="33">
        <f>'1_PANEL_CONTROL'!$C$60</f>
        <v>400.05</v>
      </c>
      <c r="BH23" s="33">
        <f>'1_PANEL_CONTROL'!$C$60</f>
        <v>400.05</v>
      </c>
      <c r="BI23" s="33">
        <f>'1_PANEL_CONTROL'!$C$60</f>
        <v>400.05</v>
      </c>
      <c r="BJ23" s="33">
        <f>'1_PANEL_CONTROL'!$C$60</f>
        <v>400.05</v>
      </c>
      <c r="BK23" s="33">
        <f>'1_PANEL_CONTROL'!$C$60</f>
        <v>400.05</v>
      </c>
      <c r="BL23" s="33">
        <f>'1_PANEL_CONTROL'!$C$60</f>
        <v>400.05</v>
      </c>
      <c r="BM23" s="33">
        <f>'1_PANEL_CONTROL'!$C$60</f>
        <v>400.05</v>
      </c>
      <c r="BN23" s="33">
        <f>'1_PANEL_CONTROL'!$C$60</f>
        <v>400.05</v>
      </c>
      <c r="BO23" s="33">
        <f>'1_PANEL_CONTROL'!$C$60</f>
        <v>400.05</v>
      </c>
      <c r="BP23" s="33">
        <f>'1_PANEL_CONTROL'!$C$60</f>
        <v>400.05</v>
      </c>
      <c r="BQ23" s="33">
        <f>'1_PANEL_CONTROL'!$C$60</f>
        <v>400.05</v>
      </c>
      <c r="BR23" s="33">
        <f>'1_PANEL_CONTROL'!$C$60</f>
        <v>400.05</v>
      </c>
      <c r="BS23" s="33">
        <f>'1_PANEL_CONTROL'!$C$60</f>
        <v>400.05</v>
      </c>
      <c r="BT23" s="33">
        <f>'1_PANEL_CONTROL'!$C$60</f>
        <v>400.05</v>
      </c>
      <c r="BU23" s="33">
        <f>'1_PANEL_CONTROL'!$C$60</f>
        <v>400.05</v>
      </c>
      <c r="BV23" s="33">
        <f>'1_PANEL_CONTROL'!$C$60</f>
        <v>400.05</v>
      </c>
      <c r="BW23" s="33">
        <f>'1_PANEL_CONTROL'!$C$60</f>
        <v>400.05</v>
      </c>
      <c r="BX23" s="33">
        <f>'1_PANEL_CONTROL'!$C$60</f>
        <v>400.05</v>
      </c>
      <c r="BY23" s="33">
        <f>'1_PANEL_CONTROL'!$C$60</f>
        <v>400.05</v>
      </c>
      <c r="BZ23" s="33">
        <f>'1_PANEL_CONTROL'!$C$60</f>
        <v>400.05</v>
      </c>
      <c r="CA23" s="33">
        <f>'1_PANEL_CONTROL'!$C$60</f>
        <v>400.05</v>
      </c>
      <c r="CB23" s="33">
        <f>'1_PANEL_CONTROL'!$C$60</f>
        <v>400.05</v>
      </c>
      <c r="CC23" s="33">
        <f>'1_PANEL_CONTROL'!$C$60</f>
        <v>400.05</v>
      </c>
      <c r="CD23" s="33">
        <f>'1_PANEL_CONTROL'!$C$60</f>
        <v>400.05</v>
      </c>
      <c r="CE23" s="33">
        <f>'1_PANEL_CONTROL'!$C$60</f>
        <v>400.05</v>
      </c>
      <c r="CF23" s="33">
        <f>'1_PANEL_CONTROL'!$C$60</f>
        <v>400.05</v>
      </c>
      <c r="CG23" s="33">
        <f>'1_PANEL_CONTROL'!$C$60</f>
        <v>400.05</v>
      </c>
      <c r="CH23" s="33">
        <f>'1_PANEL_CONTROL'!$C$60</f>
        <v>400.05</v>
      </c>
      <c r="CI23" s="33">
        <f>'1_PANEL_CONTROL'!$C$60</f>
        <v>400.05</v>
      </c>
    </row>
    <row r="24" spans="1:87" ht="16.5">
      <c r="A24" s="6" t="s">
        <v>637</v>
      </c>
      <c r="B24" s="30" t="s">
        <v>465</v>
      </c>
      <c r="C24" s="17" t="s">
        <v>638</v>
      </c>
      <c r="D24" s="33">
        <f>'1_PANEL_CONTROL'!$C$61</f>
        <v>250</v>
      </c>
      <c r="E24" s="33">
        <f>'1_PANEL_CONTROL'!$C$61</f>
        <v>250</v>
      </c>
      <c r="F24" s="33">
        <f>'1_PANEL_CONTROL'!$C$61</f>
        <v>250</v>
      </c>
      <c r="G24" s="33">
        <f>'1_PANEL_CONTROL'!$C$61</f>
        <v>250</v>
      </c>
      <c r="H24" s="33">
        <f>'1_PANEL_CONTROL'!$C$61</f>
        <v>250</v>
      </c>
      <c r="I24" s="33">
        <f>'1_PANEL_CONTROL'!$C$61</f>
        <v>250</v>
      </c>
      <c r="J24" s="33">
        <f>'1_PANEL_CONTROL'!$C$61</f>
        <v>250</v>
      </c>
      <c r="K24" s="33">
        <f>'1_PANEL_CONTROL'!$C$61</f>
        <v>250</v>
      </c>
      <c r="L24" s="33">
        <f>'1_PANEL_CONTROL'!$C$61</f>
        <v>250</v>
      </c>
      <c r="M24" s="33">
        <f>'1_PANEL_CONTROL'!$C$61</f>
        <v>250</v>
      </c>
      <c r="N24" s="33">
        <f>'1_PANEL_CONTROL'!$C$61</f>
        <v>250</v>
      </c>
      <c r="O24" s="33">
        <f>'1_PANEL_CONTROL'!$C$61</f>
        <v>250</v>
      </c>
      <c r="P24" s="33">
        <f>'1_PANEL_CONTROL'!$C$61</f>
        <v>250</v>
      </c>
      <c r="Q24" s="33">
        <f>'1_PANEL_CONTROL'!$C$61</f>
        <v>250</v>
      </c>
      <c r="R24" s="33">
        <f>'1_PANEL_CONTROL'!$C$61</f>
        <v>250</v>
      </c>
      <c r="S24" s="33">
        <f>'1_PANEL_CONTROL'!$C$61</f>
        <v>250</v>
      </c>
      <c r="T24" s="33">
        <f>'1_PANEL_CONTROL'!$C$61</f>
        <v>250</v>
      </c>
      <c r="U24" s="33">
        <f>'1_PANEL_CONTROL'!$C$61</f>
        <v>250</v>
      </c>
      <c r="V24" s="33">
        <f>'1_PANEL_CONTROL'!$C$61</f>
        <v>250</v>
      </c>
      <c r="W24" s="33">
        <f>'1_PANEL_CONTROL'!$C$61</f>
        <v>250</v>
      </c>
      <c r="X24" s="33">
        <f>'1_PANEL_CONTROL'!$C$61</f>
        <v>250</v>
      </c>
      <c r="Y24" s="33">
        <f>'1_PANEL_CONTROL'!$C$61</f>
        <v>250</v>
      </c>
      <c r="Z24" s="33">
        <f>'1_PANEL_CONTROL'!$C$61</f>
        <v>250</v>
      </c>
      <c r="AA24" s="33">
        <f>'1_PANEL_CONTROL'!$C$61</f>
        <v>250</v>
      </c>
      <c r="AB24" s="33">
        <f>'1_PANEL_CONTROL'!$C$61</f>
        <v>250</v>
      </c>
      <c r="AC24" s="33">
        <f>'1_PANEL_CONTROL'!$C$61</f>
        <v>250</v>
      </c>
      <c r="AD24" s="33">
        <f>'1_PANEL_CONTROL'!$C$61</f>
        <v>250</v>
      </c>
      <c r="AE24" s="33">
        <f>'1_PANEL_CONTROL'!$C$61</f>
        <v>250</v>
      </c>
      <c r="AF24" s="33">
        <f>'1_PANEL_CONTROL'!$C$61</f>
        <v>250</v>
      </c>
      <c r="AG24" s="33">
        <f>'1_PANEL_CONTROL'!$C$61</f>
        <v>250</v>
      </c>
      <c r="AH24" s="33">
        <f>'1_PANEL_CONTROL'!$C$61</f>
        <v>250</v>
      </c>
      <c r="AI24" s="33">
        <f>'1_PANEL_CONTROL'!$C$61</f>
        <v>250</v>
      </c>
      <c r="AJ24" s="33">
        <f>'1_PANEL_CONTROL'!$C$61</f>
        <v>250</v>
      </c>
      <c r="AK24" s="33">
        <f>'1_PANEL_CONTROL'!$C$61</f>
        <v>250</v>
      </c>
      <c r="AL24" s="33">
        <f>'1_PANEL_CONTROL'!$C$61</f>
        <v>250</v>
      </c>
      <c r="AM24" s="33">
        <f>'1_PANEL_CONTROL'!$C$61</f>
        <v>250</v>
      </c>
      <c r="AN24" s="33">
        <f>'1_PANEL_CONTROL'!$C$61</f>
        <v>250</v>
      </c>
      <c r="AO24" s="33">
        <f>'1_PANEL_CONTROL'!$C$61</f>
        <v>250</v>
      </c>
      <c r="AP24" s="33">
        <f>'1_PANEL_CONTROL'!$C$61</f>
        <v>250</v>
      </c>
      <c r="AQ24" s="33">
        <f>'1_PANEL_CONTROL'!$C$61</f>
        <v>250</v>
      </c>
      <c r="AR24" s="33">
        <f>'1_PANEL_CONTROL'!$C$61</f>
        <v>250</v>
      </c>
      <c r="AS24" s="33">
        <f>'1_PANEL_CONTROL'!$C$61</f>
        <v>250</v>
      </c>
      <c r="AT24" s="33">
        <f>'1_PANEL_CONTROL'!$C$61</f>
        <v>250</v>
      </c>
      <c r="AU24" s="33">
        <f>'1_PANEL_CONTROL'!$C$61</f>
        <v>250</v>
      </c>
      <c r="AV24" s="33">
        <f>'1_PANEL_CONTROL'!$C$61</f>
        <v>250</v>
      </c>
      <c r="AW24" s="33">
        <f>'1_PANEL_CONTROL'!$C$61</f>
        <v>250</v>
      </c>
      <c r="AX24" s="33">
        <f>'1_PANEL_CONTROL'!$C$61</f>
        <v>250</v>
      </c>
      <c r="AY24" s="33">
        <f>'1_PANEL_CONTROL'!$C$61</f>
        <v>250</v>
      </c>
      <c r="AZ24" s="33">
        <f>'1_PANEL_CONTROL'!$C$61</f>
        <v>250</v>
      </c>
      <c r="BA24" s="33">
        <f>'1_PANEL_CONTROL'!$C$61</f>
        <v>250</v>
      </c>
      <c r="BB24" s="33">
        <f>'1_PANEL_CONTROL'!$C$61</f>
        <v>250</v>
      </c>
      <c r="BC24" s="33">
        <f>'1_PANEL_CONTROL'!$C$61</f>
        <v>250</v>
      </c>
      <c r="BD24" s="33">
        <f>'1_PANEL_CONTROL'!$C$61</f>
        <v>250</v>
      </c>
      <c r="BE24" s="33">
        <f>'1_PANEL_CONTROL'!$C$61</f>
        <v>250</v>
      </c>
      <c r="BF24" s="33">
        <f>'1_PANEL_CONTROL'!$C$61</f>
        <v>250</v>
      </c>
      <c r="BG24" s="33">
        <f>'1_PANEL_CONTROL'!$C$61</f>
        <v>250</v>
      </c>
      <c r="BH24" s="33">
        <f>'1_PANEL_CONTROL'!$C$61</f>
        <v>250</v>
      </c>
      <c r="BI24" s="33">
        <f>'1_PANEL_CONTROL'!$C$61</f>
        <v>250</v>
      </c>
      <c r="BJ24" s="33">
        <f>'1_PANEL_CONTROL'!$C$61</f>
        <v>250</v>
      </c>
      <c r="BK24" s="33">
        <f>'1_PANEL_CONTROL'!$C$61</f>
        <v>250</v>
      </c>
      <c r="BL24" s="33">
        <f>'1_PANEL_CONTROL'!$C$61</f>
        <v>250</v>
      </c>
      <c r="BM24" s="33">
        <f>'1_PANEL_CONTROL'!$C$61</f>
        <v>250</v>
      </c>
      <c r="BN24" s="33">
        <f>'1_PANEL_CONTROL'!$C$61</f>
        <v>250</v>
      </c>
      <c r="BO24" s="33">
        <f>'1_PANEL_CONTROL'!$C$61</f>
        <v>250</v>
      </c>
      <c r="BP24" s="33">
        <f>'1_PANEL_CONTROL'!$C$61</f>
        <v>250</v>
      </c>
      <c r="BQ24" s="33">
        <f>'1_PANEL_CONTROL'!$C$61</f>
        <v>250</v>
      </c>
      <c r="BR24" s="33">
        <f>'1_PANEL_CONTROL'!$C$61</f>
        <v>250</v>
      </c>
      <c r="BS24" s="33">
        <f>'1_PANEL_CONTROL'!$C$61</f>
        <v>250</v>
      </c>
      <c r="BT24" s="33">
        <f>'1_PANEL_CONTROL'!$C$61</f>
        <v>250</v>
      </c>
      <c r="BU24" s="33">
        <f>'1_PANEL_CONTROL'!$C$61</f>
        <v>250</v>
      </c>
      <c r="BV24" s="33">
        <f>'1_PANEL_CONTROL'!$C$61</f>
        <v>250</v>
      </c>
      <c r="BW24" s="33">
        <f>'1_PANEL_CONTROL'!$C$61</f>
        <v>250</v>
      </c>
      <c r="BX24" s="33">
        <f>'1_PANEL_CONTROL'!$C$61</f>
        <v>250</v>
      </c>
      <c r="BY24" s="33">
        <f>'1_PANEL_CONTROL'!$C$61</f>
        <v>250</v>
      </c>
      <c r="BZ24" s="33">
        <f>'1_PANEL_CONTROL'!$C$61</f>
        <v>250</v>
      </c>
      <c r="CA24" s="33">
        <f>'1_PANEL_CONTROL'!$C$61</f>
        <v>250</v>
      </c>
      <c r="CB24" s="33">
        <f>'1_PANEL_CONTROL'!$C$61</f>
        <v>250</v>
      </c>
      <c r="CC24" s="33">
        <f>'1_PANEL_CONTROL'!$C$61</f>
        <v>250</v>
      </c>
      <c r="CD24" s="33">
        <f>'1_PANEL_CONTROL'!$C$61</f>
        <v>250</v>
      </c>
      <c r="CE24" s="33">
        <f>'1_PANEL_CONTROL'!$C$61</f>
        <v>250</v>
      </c>
      <c r="CF24" s="33">
        <f>'1_PANEL_CONTROL'!$C$61</f>
        <v>250</v>
      </c>
      <c r="CG24" s="33">
        <f>'1_PANEL_CONTROL'!$C$61</f>
        <v>250</v>
      </c>
      <c r="CH24" s="33">
        <f>'1_PANEL_CONTROL'!$C$61</f>
        <v>250</v>
      </c>
      <c r="CI24" s="33">
        <f>'1_PANEL_CONTROL'!$C$61</f>
        <v>250</v>
      </c>
    </row>
    <row r="25" spans="1:87" ht="16.5">
      <c r="A25" s="6" t="s">
        <v>148</v>
      </c>
      <c r="B25" s="30" t="s">
        <v>465</v>
      </c>
      <c r="C25" s="17" t="s">
        <v>639</v>
      </c>
      <c r="D25" s="33">
        <f>'1_PANEL_CONTROL'!$C$62</f>
        <v>550</v>
      </c>
      <c r="E25" s="33">
        <f>'1_PANEL_CONTROL'!$C$62</f>
        <v>550</v>
      </c>
      <c r="F25" s="33">
        <f>'1_PANEL_CONTROL'!$C$62</f>
        <v>550</v>
      </c>
      <c r="G25" s="33">
        <f>'1_PANEL_CONTROL'!$C$62</f>
        <v>550</v>
      </c>
      <c r="H25" s="33">
        <f>'1_PANEL_CONTROL'!$C$62</f>
        <v>550</v>
      </c>
      <c r="I25" s="33">
        <f>'1_PANEL_CONTROL'!$C$62</f>
        <v>550</v>
      </c>
      <c r="J25" s="33">
        <f>'1_PANEL_CONTROL'!$C$62</f>
        <v>550</v>
      </c>
      <c r="K25" s="33">
        <f>'1_PANEL_CONTROL'!$C$62</f>
        <v>550</v>
      </c>
      <c r="L25" s="33">
        <f>'1_PANEL_CONTROL'!$C$62</f>
        <v>550</v>
      </c>
      <c r="M25" s="33">
        <f>'1_PANEL_CONTROL'!$C$62</f>
        <v>550</v>
      </c>
      <c r="N25" s="33">
        <f>'1_PANEL_CONTROL'!$C$62</f>
        <v>550</v>
      </c>
      <c r="O25" s="33">
        <f>'1_PANEL_CONTROL'!$C$62</f>
        <v>550</v>
      </c>
      <c r="P25" s="33">
        <f>'1_PANEL_CONTROL'!$C$62</f>
        <v>550</v>
      </c>
      <c r="Q25" s="33">
        <f>'1_PANEL_CONTROL'!$C$62</f>
        <v>550</v>
      </c>
      <c r="R25" s="33">
        <f>'1_PANEL_CONTROL'!$C$62</f>
        <v>550</v>
      </c>
      <c r="S25" s="33">
        <f>'1_PANEL_CONTROL'!$C$62</f>
        <v>550</v>
      </c>
      <c r="T25" s="33">
        <f>'1_PANEL_CONTROL'!$C$62</f>
        <v>550</v>
      </c>
      <c r="U25" s="33">
        <f>'1_PANEL_CONTROL'!$C$62</f>
        <v>550</v>
      </c>
      <c r="V25" s="33">
        <f>'1_PANEL_CONTROL'!$C$62</f>
        <v>550</v>
      </c>
      <c r="W25" s="33">
        <f>'1_PANEL_CONTROL'!$C$62</f>
        <v>550</v>
      </c>
      <c r="X25" s="33">
        <f>'1_PANEL_CONTROL'!$C$62</f>
        <v>550</v>
      </c>
      <c r="Y25" s="33">
        <f>'1_PANEL_CONTROL'!$C$62</f>
        <v>550</v>
      </c>
      <c r="Z25" s="33">
        <f>'1_PANEL_CONTROL'!$C$62</f>
        <v>550</v>
      </c>
      <c r="AA25" s="33">
        <f>'1_PANEL_CONTROL'!$C$62</f>
        <v>550</v>
      </c>
      <c r="AB25" s="33">
        <f>'1_PANEL_CONTROL'!$C$62</f>
        <v>550</v>
      </c>
      <c r="AC25" s="33">
        <f>'1_PANEL_CONTROL'!$C$62</f>
        <v>550</v>
      </c>
      <c r="AD25" s="33">
        <f>'1_PANEL_CONTROL'!$C$62</f>
        <v>550</v>
      </c>
      <c r="AE25" s="33">
        <f>'1_PANEL_CONTROL'!$C$62</f>
        <v>550</v>
      </c>
      <c r="AF25" s="33">
        <f>'1_PANEL_CONTROL'!$C$62</f>
        <v>550</v>
      </c>
      <c r="AG25" s="33">
        <f>'1_PANEL_CONTROL'!$C$62</f>
        <v>550</v>
      </c>
      <c r="AH25" s="33">
        <f>'1_PANEL_CONTROL'!$C$62</f>
        <v>550</v>
      </c>
      <c r="AI25" s="33">
        <f>'1_PANEL_CONTROL'!$C$62</f>
        <v>550</v>
      </c>
      <c r="AJ25" s="33">
        <f>'1_PANEL_CONTROL'!$C$62</f>
        <v>550</v>
      </c>
      <c r="AK25" s="33">
        <f>'1_PANEL_CONTROL'!$C$62</f>
        <v>550</v>
      </c>
      <c r="AL25" s="33">
        <f>'1_PANEL_CONTROL'!$C$62</f>
        <v>550</v>
      </c>
      <c r="AM25" s="33">
        <f>'1_PANEL_CONTROL'!$C$62</f>
        <v>550</v>
      </c>
      <c r="AN25" s="33">
        <f>'1_PANEL_CONTROL'!$C$62</f>
        <v>550</v>
      </c>
      <c r="AO25" s="33">
        <f>'1_PANEL_CONTROL'!$C$62</f>
        <v>550</v>
      </c>
      <c r="AP25" s="33">
        <f>'1_PANEL_CONTROL'!$C$62</f>
        <v>550</v>
      </c>
      <c r="AQ25" s="33">
        <f>'1_PANEL_CONTROL'!$C$62</f>
        <v>550</v>
      </c>
      <c r="AR25" s="33">
        <f>'1_PANEL_CONTROL'!$C$62</f>
        <v>550</v>
      </c>
      <c r="AS25" s="33">
        <f>'1_PANEL_CONTROL'!$C$62</f>
        <v>550</v>
      </c>
      <c r="AT25" s="33">
        <f>'1_PANEL_CONTROL'!$C$62</f>
        <v>550</v>
      </c>
      <c r="AU25" s="33">
        <f>'1_PANEL_CONTROL'!$C$62</f>
        <v>550</v>
      </c>
      <c r="AV25" s="33">
        <f>'1_PANEL_CONTROL'!$C$62</f>
        <v>550</v>
      </c>
      <c r="AW25" s="33">
        <f>'1_PANEL_CONTROL'!$C$62</f>
        <v>550</v>
      </c>
      <c r="AX25" s="33">
        <f>'1_PANEL_CONTROL'!$C$62</f>
        <v>550</v>
      </c>
      <c r="AY25" s="33">
        <f>'1_PANEL_CONTROL'!$C$62</f>
        <v>550</v>
      </c>
      <c r="AZ25" s="33">
        <f>'1_PANEL_CONTROL'!$C$62</f>
        <v>550</v>
      </c>
      <c r="BA25" s="33">
        <f>'1_PANEL_CONTROL'!$C$62</f>
        <v>550</v>
      </c>
      <c r="BB25" s="33">
        <f>'1_PANEL_CONTROL'!$C$62</f>
        <v>550</v>
      </c>
      <c r="BC25" s="33">
        <f>'1_PANEL_CONTROL'!$C$62</f>
        <v>550</v>
      </c>
      <c r="BD25" s="33">
        <f>'1_PANEL_CONTROL'!$C$62</f>
        <v>550</v>
      </c>
      <c r="BE25" s="33">
        <f>'1_PANEL_CONTROL'!$C$62</f>
        <v>550</v>
      </c>
      <c r="BF25" s="33">
        <f>'1_PANEL_CONTROL'!$C$62</f>
        <v>550</v>
      </c>
      <c r="BG25" s="33">
        <f>'1_PANEL_CONTROL'!$C$62</f>
        <v>550</v>
      </c>
      <c r="BH25" s="33">
        <f>'1_PANEL_CONTROL'!$C$62</f>
        <v>550</v>
      </c>
      <c r="BI25" s="33">
        <f>'1_PANEL_CONTROL'!$C$62</f>
        <v>550</v>
      </c>
      <c r="BJ25" s="33">
        <f>'1_PANEL_CONTROL'!$C$62</f>
        <v>550</v>
      </c>
      <c r="BK25" s="33">
        <f>'1_PANEL_CONTROL'!$C$62</f>
        <v>550</v>
      </c>
      <c r="BL25" s="33">
        <f>'1_PANEL_CONTROL'!$C$62</f>
        <v>550</v>
      </c>
      <c r="BM25" s="33">
        <f>'1_PANEL_CONTROL'!$C$62</f>
        <v>550</v>
      </c>
      <c r="BN25" s="33">
        <f>'1_PANEL_CONTROL'!$C$62</f>
        <v>550</v>
      </c>
      <c r="BO25" s="33">
        <f>'1_PANEL_CONTROL'!$C$62</f>
        <v>550</v>
      </c>
      <c r="BP25" s="33">
        <f>'1_PANEL_CONTROL'!$C$62</f>
        <v>550</v>
      </c>
      <c r="BQ25" s="33">
        <f>'1_PANEL_CONTROL'!$C$62</f>
        <v>550</v>
      </c>
      <c r="BR25" s="33">
        <f>'1_PANEL_CONTROL'!$C$62</f>
        <v>550</v>
      </c>
      <c r="BS25" s="33">
        <f>'1_PANEL_CONTROL'!$C$62</f>
        <v>550</v>
      </c>
      <c r="BT25" s="33">
        <f>'1_PANEL_CONTROL'!$C$62</f>
        <v>550</v>
      </c>
      <c r="BU25" s="33">
        <f>'1_PANEL_CONTROL'!$C$62</f>
        <v>550</v>
      </c>
      <c r="BV25" s="33">
        <f>'1_PANEL_CONTROL'!$C$62</f>
        <v>550</v>
      </c>
      <c r="BW25" s="33">
        <f>'1_PANEL_CONTROL'!$C$62</f>
        <v>550</v>
      </c>
      <c r="BX25" s="33">
        <f>'1_PANEL_CONTROL'!$C$62</f>
        <v>550</v>
      </c>
      <c r="BY25" s="33">
        <f>'1_PANEL_CONTROL'!$C$62</f>
        <v>550</v>
      </c>
      <c r="BZ25" s="33">
        <f>'1_PANEL_CONTROL'!$C$62</f>
        <v>550</v>
      </c>
      <c r="CA25" s="33">
        <f>'1_PANEL_CONTROL'!$C$62</f>
        <v>550</v>
      </c>
      <c r="CB25" s="33">
        <f>'1_PANEL_CONTROL'!$C$62</f>
        <v>550</v>
      </c>
      <c r="CC25" s="33">
        <f>'1_PANEL_CONTROL'!$C$62</f>
        <v>550</v>
      </c>
      <c r="CD25" s="33">
        <f>'1_PANEL_CONTROL'!$C$62</f>
        <v>550</v>
      </c>
      <c r="CE25" s="33">
        <f>'1_PANEL_CONTROL'!$C$62</f>
        <v>550</v>
      </c>
      <c r="CF25" s="33">
        <f>'1_PANEL_CONTROL'!$C$62</f>
        <v>550</v>
      </c>
      <c r="CG25" s="33">
        <f>'1_PANEL_CONTROL'!$C$62</f>
        <v>550</v>
      </c>
      <c r="CH25" s="33">
        <f>'1_PANEL_CONTROL'!$C$62</f>
        <v>550</v>
      </c>
      <c r="CI25" s="33">
        <f>'1_PANEL_CONTROL'!$C$62</f>
        <v>550</v>
      </c>
    </row>
    <row r="26" spans="1:87" ht="16.5">
      <c r="A26" s="6" t="s">
        <v>150</v>
      </c>
      <c r="B26" s="30" t="s">
        <v>465</v>
      </c>
      <c r="C26" s="17" t="s">
        <v>640</v>
      </c>
      <c r="D26" s="33">
        <f>'1_PANEL_CONTROL'!$C$63</f>
        <v>880</v>
      </c>
      <c r="E26" s="33">
        <f>'1_PANEL_CONTROL'!$C$63</f>
        <v>880</v>
      </c>
      <c r="F26" s="33">
        <f>'1_PANEL_CONTROL'!$C$63</f>
        <v>880</v>
      </c>
      <c r="G26" s="33">
        <f>'1_PANEL_CONTROL'!$C$63</f>
        <v>880</v>
      </c>
      <c r="H26" s="33">
        <f>'1_PANEL_CONTROL'!$C$63</f>
        <v>880</v>
      </c>
      <c r="I26" s="33">
        <f>'1_PANEL_CONTROL'!$C$63</f>
        <v>880</v>
      </c>
      <c r="J26" s="33">
        <f>'1_PANEL_CONTROL'!$C$63</f>
        <v>880</v>
      </c>
      <c r="K26" s="33">
        <f>'1_PANEL_CONTROL'!$C$63</f>
        <v>880</v>
      </c>
      <c r="L26" s="33">
        <f>'1_PANEL_CONTROL'!$C$63</f>
        <v>880</v>
      </c>
      <c r="M26" s="33">
        <f>'1_PANEL_CONTROL'!$C$63</f>
        <v>880</v>
      </c>
      <c r="N26" s="33">
        <f>'1_PANEL_CONTROL'!$C$63</f>
        <v>880</v>
      </c>
      <c r="O26" s="33">
        <f>'1_PANEL_CONTROL'!$C$63</f>
        <v>880</v>
      </c>
      <c r="P26" s="33">
        <f>'1_PANEL_CONTROL'!$C$63</f>
        <v>880</v>
      </c>
      <c r="Q26" s="33">
        <f>'1_PANEL_CONTROL'!$C$63</f>
        <v>880</v>
      </c>
      <c r="R26" s="33">
        <f>'1_PANEL_CONTROL'!$C$63</f>
        <v>880</v>
      </c>
      <c r="S26" s="33">
        <f>'1_PANEL_CONTROL'!$C$63</f>
        <v>880</v>
      </c>
      <c r="T26" s="33">
        <f>'1_PANEL_CONTROL'!$C$63</f>
        <v>880</v>
      </c>
      <c r="U26" s="33">
        <f>'1_PANEL_CONTROL'!$C$63</f>
        <v>880</v>
      </c>
      <c r="V26" s="33">
        <f>'1_PANEL_CONTROL'!$C$63</f>
        <v>880</v>
      </c>
      <c r="W26" s="33">
        <f>'1_PANEL_CONTROL'!$C$63</f>
        <v>880</v>
      </c>
      <c r="X26" s="33">
        <f>'1_PANEL_CONTROL'!$C$63</f>
        <v>880</v>
      </c>
      <c r="Y26" s="33">
        <f>'1_PANEL_CONTROL'!$C$63</f>
        <v>880</v>
      </c>
      <c r="Z26" s="33">
        <f>'1_PANEL_CONTROL'!$C$63</f>
        <v>880</v>
      </c>
      <c r="AA26" s="33">
        <f>'1_PANEL_CONTROL'!$C$63</f>
        <v>880</v>
      </c>
      <c r="AB26" s="33">
        <f>'1_PANEL_CONTROL'!$C$63</f>
        <v>880</v>
      </c>
      <c r="AC26" s="33">
        <f>'1_PANEL_CONTROL'!$C$63</f>
        <v>880</v>
      </c>
      <c r="AD26" s="33">
        <f>'1_PANEL_CONTROL'!$C$63</f>
        <v>880</v>
      </c>
      <c r="AE26" s="33">
        <f>'1_PANEL_CONTROL'!$C$63</f>
        <v>880</v>
      </c>
      <c r="AF26" s="33">
        <f>'1_PANEL_CONTROL'!$C$63</f>
        <v>880</v>
      </c>
      <c r="AG26" s="33">
        <f>'1_PANEL_CONTROL'!$C$63</f>
        <v>880</v>
      </c>
      <c r="AH26" s="33">
        <f>'1_PANEL_CONTROL'!$C$63</f>
        <v>880</v>
      </c>
      <c r="AI26" s="33">
        <f>'1_PANEL_CONTROL'!$C$63</f>
        <v>880</v>
      </c>
      <c r="AJ26" s="33">
        <f>'1_PANEL_CONTROL'!$C$63</f>
        <v>880</v>
      </c>
      <c r="AK26" s="33">
        <f>'1_PANEL_CONTROL'!$C$63</f>
        <v>880</v>
      </c>
      <c r="AL26" s="33">
        <f>'1_PANEL_CONTROL'!$C$63</f>
        <v>880</v>
      </c>
      <c r="AM26" s="33">
        <f>'1_PANEL_CONTROL'!$C$63</f>
        <v>880</v>
      </c>
      <c r="AN26" s="33">
        <f>'1_PANEL_CONTROL'!$C$63</f>
        <v>880</v>
      </c>
      <c r="AO26" s="33">
        <f>'1_PANEL_CONTROL'!$C$63</f>
        <v>880</v>
      </c>
      <c r="AP26" s="33">
        <f>'1_PANEL_CONTROL'!$C$63</f>
        <v>880</v>
      </c>
      <c r="AQ26" s="33">
        <f>'1_PANEL_CONTROL'!$C$63</f>
        <v>880</v>
      </c>
      <c r="AR26" s="33">
        <f>'1_PANEL_CONTROL'!$C$63</f>
        <v>880</v>
      </c>
      <c r="AS26" s="33">
        <f>'1_PANEL_CONTROL'!$C$63</f>
        <v>880</v>
      </c>
      <c r="AT26" s="33">
        <f>'1_PANEL_CONTROL'!$C$63</f>
        <v>880</v>
      </c>
      <c r="AU26" s="33">
        <f>'1_PANEL_CONTROL'!$C$63</f>
        <v>880</v>
      </c>
      <c r="AV26" s="33">
        <f>'1_PANEL_CONTROL'!$C$63</f>
        <v>880</v>
      </c>
      <c r="AW26" s="33">
        <f>'1_PANEL_CONTROL'!$C$63</f>
        <v>880</v>
      </c>
      <c r="AX26" s="33">
        <f>'1_PANEL_CONTROL'!$C$63</f>
        <v>880</v>
      </c>
      <c r="AY26" s="33">
        <f>'1_PANEL_CONTROL'!$C$63</f>
        <v>880</v>
      </c>
      <c r="AZ26" s="33">
        <f>'1_PANEL_CONTROL'!$C$63</f>
        <v>880</v>
      </c>
      <c r="BA26" s="33">
        <f>'1_PANEL_CONTROL'!$C$63</f>
        <v>880</v>
      </c>
      <c r="BB26" s="33">
        <f>'1_PANEL_CONTROL'!$C$63</f>
        <v>880</v>
      </c>
      <c r="BC26" s="33">
        <f>'1_PANEL_CONTROL'!$C$63</f>
        <v>880</v>
      </c>
      <c r="BD26" s="33">
        <f>'1_PANEL_CONTROL'!$C$63</f>
        <v>880</v>
      </c>
      <c r="BE26" s="33">
        <f>'1_PANEL_CONTROL'!$C$63</f>
        <v>880</v>
      </c>
      <c r="BF26" s="33">
        <f>'1_PANEL_CONTROL'!$C$63</f>
        <v>880</v>
      </c>
      <c r="BG26" s="33">
        <f>'1_PANEL_CONTROL'!$C$63</f>
        <v>880</v>
      </c>
      <c r="BH26" s="33">
        <f>'1_PANEL_CONTROL'!$C$63</f>
        <v>880</v>
      </c>
      <c r="BI26" s="33">
        <f>'1_PANEL_CONTROL'!$C$63</f>
        <v>880</v>
      </c>
      <c r="BJ26" s="33">
        <f>'1_PANEL_CONTROL'!$C$63</f>
        <v>880</v>
      </c>
      <c r="BK26" s="33">
        <f>'1_PANEL_CONTROL'!$C$63</f>
        <v>880</v>
      </c>
      <c r="BL26" s="33">
        <f>'1_PANEL_CONTROL'!$C$63</f>
        <v>880</v>
      </c>
      <c r="BM26" s="33">
        <f>'1_PANEL_CONTROL'!$C$63</f>
        <v>880</v>
      </c>
      <c r="BN26" s="33">
        <f>'1_PANEL_CONTROL'!$C$63</f>
        <v>880</v>
      </c>
      <c r="BO26" s="33">
        <f>'1_PANEL_CONTROL'!$C$63</f>
        <v>880</v>
      </c>
      <c r="BP26" s="33">
        <f>'1_PANEL_CONTROL'!$C$63</f>
        <v>880</v>
      </c>
      <c r="BQ26" s="33">
        <f>'1_PANEL_CONTROL'!$C$63</f>
        <v>880</v>
      </c>
      <c r="BR26" s="33">
        <f>'1_PANEL_CONTROL'!$C$63</f>
        <v>880</v>
      </c>
      <c r="BS26" s="33">
        <f>'1_PANEL_CONTROL'!$C$63</f>
        <v>880</v>
      </c>
      <c r="BT26" s="33">
        <f>'1_PANEL_CONTROL'!$C$63</f>
        <v>880</v>
      </c>
      <c r="BU26" s="33">
        <f>'1_PANEL_CONTROL'!$C$63</f>
        <v>880</v>
      </c>
      <c r="BV26" s="33">
        <f>'1_PANEL_CONTROL'!$C$63</f>
        <v>880</v>
      </c>
      <c r="BW26" s="33">
        <f>'1_PANEL_CONTROL'!$C$63</f>
        <v>880</v>
      </c>
      <c r="BX26" s="33">
        <f>'1_PANEL_CONTROL'!$C$63</f>
        <v>880</v>
      </c>
      <c r="BY26" s="33">
        <f>'1_PANEL_CONTROL'!$C$63</f>
        <v>880</v>
      </c>
      <c r="BZ26" s="33">
        <f>'1_PANEL_CONTROL'!$C$63</f>
        <v>880</v>
      </c>
      <c r="CA26" s="33">
        <f>'1_PANEL_CONTROL'!$C$63</f>
        <v>880</v>
      </c>
      <c r="CB26" s="33">
        <f>'1_PANEL_CONTROL'!$C$63</f>
        <v>880</v>
      </c>
      <c r="CC26" s="33">
        <f>'1_PANEL_CONTROL'!$C$63</f>
        <v>880</v>
      </c>
      <c r="CD26" s="33">
        <f>'1_PANEL_CONTROL'!$C$63</f>
        <v>880</v>
      </c>
      <c r="CE26" s="33">
        <f>'1_PANEL_CONTROL'!$C$63</f>
        <v>880</v>
      </c>
      <c r="CF26" s="33">
        <f>'1_PANEL_CONTROL'!$C$63</f>
        <v>880</v>
      </c>
      <c r="CG26" s="33">
        <f>'1_PANEL_CONTROL'!$C$63</f>
        <v>880</v>
      </c>
      <c r="CH26" s="33">
        <f>'1_PANEL_CONTROL'!$C$63</f>
        <v>880</v>
      </c>
      <c r="CI26" s="33">
        <f>'1_PANEL_CONTROL'!$C$63</f>
        <v>880</v>
      </c>
    </row>
    <row r="27" spans="1:87" ht="16.5">
      <c r="A27" s="6" t="s">
        <v>641</v>
      </c>
      <c r="B27" s="30" t="s">
        <v>465</v>
      </c>
      <c r="C27" s="17" t="s">
        <v>642</v>
      </c>
      <c r="D27" s="33">
        <f>'1_PANEL_CONTROL'!$C$64</f>
        <v>500</v>
      </c>
      <c r="E27" s="33">
        <f>'1_PANEL_CONTROL'!$C$64</f>
        <v>500</v>
      </c>
      <c r="F27" s="33">
        <f>'1_PANEL_CONTROL'!$C$64</f>
        <v>500</v>
      </c>
      <c r="G27" s="33">
        <f>'1_PANEL_CONTROL'!$C$64</f>
        <v>500</v>
      </c>
      <c r="H27" s="33">
        <f>'1_PANEL_CONTROL'!$C$64</f>
        <v>500</v>
      </c>
      <c r="I27" s="33">
        <f>'1_PANEL_CONTROL'!$C$64</f>
        <v>500</v>
      </c>
      <c r="J27" s="33">
        <f>'1_PANEL_CONTROL'!$C$64</f>
        <v>500</v>
      </c>
      <c r="K27" s="33">
        <f>'1_PANEL_CONTROL'!$C$64</f>
        <v>500</v>
      </c>
      <c r="L27" s="33">
        <f>'1_PANEL_CONTROL'!$C$64</f>
        <v>500</v>
      </c>
      <c r="M27" s="33">
        <f>'1_PANEL_CONTROL'!$C$64</f>
        <v>500</v>
      </c>
      <c r="N27" s="33">
        <f>'1_PANEL_CONTROL'!$C$64</f>
        <v>500</v>
      </c>
      <c r="O27" s="33">
        <f>'1_PANEL_CONTROL'!$C$64</f>
        <v>500</v>
      </c>
      <c r="P27" s="33">
        <f>'1_PANEL_CONTROL'!$C$64</f>
        <v>500</v>
      </c>
      <c r="Q27" s="33">
        <f>'1_PANEL_CONTROL'!$C$64</f>
        <v>500</v>
      </c>
      <c r="R27" s="33">
        <f>'1_PANEL_CONTROL'!$C$64</f>
        <v>500</v>
      </c>
      <c r="S27" s="33">
        <f>'1_PANEL_CONTROL'!$C$64</f>
        <v>500</v>
      </c>
      <c r="T27" s="33">
        <f>'1_PANEL_CONTROL'!$C$64</f>
        <v>500</v>
      </c>
      <c r="U27" s="33">
        <f>'1_PANEL_CONTROL'!$C$64</f>
        <v>500</v>
      </c>
      <c r="V27" s="33">
        <f>'1_PANEL_CONTROL'!$C$64</f>
        <v>500</v>
      </c>
      <c r="W27" s="33">
        <f>'1_PANEL_CONTROL'!$C$64</f>
        <v>500</v>
      </c>
      <c r="X27" s="33">
        <f>'1_PANEL_CONTROL'!$C$64</f>
        <v>500</v>
      </c>
      <c r="Y27" s="33">
        <f>'1_PANEL_CONTROL'!$C$64</f>
        <v>500</v>
      </c>
      <c r="Z27" s="33">
        <f>'1_PANEL_CONTROL'!$C$64</f>
        <v>500</v>
      </c>
      <c r="AA27" s="33">
        <f>'1_PANEL_CONTROL'!$C$64</f>
        <v>500</v>
      </c>
      <c r="AB27" s="33">
        <f>'1_PANEL_CONTROL'!$C$64</f>
        <v>500</v>
      </c>
      <c r="AC27" s="33">
        <f>'1_PANEL_CONTROL'!$C$64</f>
        <v>500</v>
      </c>
      <c r="AD27" s="33">
        <f>'1_PANEL_CONTROL'!$C$64</f>
        <v>500</v>
      </c>
      <c r="AE27" s="33">
        <f>'1_PANEL_CONTROL'!$C$64</f>
        <v>500</v>
      </c>
      <c r="AF27" s="33">
        <f>'1_PANEL_CONTROL'!$C$64</f>
        <v>500</v>
      </c>
      <c r="AG27" s="33">
        <f>'1_PANEL_CONTROL'!$C$64</f>
        <v>500</v>
      </c>
      <c r="AH27" s="33">
        <f>'1_PANEL_CONTROL'!$C$64</f>
        <v>500</v>
      </c>
      <c r="AI27" s="33">
        <f>'1_PANEL_CONTROL'!$C$64</f>
        <v>500</v>
      </c>
      <c r="AJ27" s="33">
        <f>'1_PANEL_CONTROL'!$C$64</f>
        <v>500</v>
      </c>
      <c r="AK27" s="33">
        <f>'1_PANEL_CONTROL'!$C$64</f>
        <v>500</v>
      </c>
      <c r="AL27" s="33">
        <f>'1_PANEL_CONTROL'!$C$64</f>
        <v>500</v>
      </c>
      <c r="AM27" s="33">
        <f>'1_PANEL_CONTROL'!$C$64</f>
        <v>500</v>
      </c>
      <c r="AN27" s="33">
        <f>'1_PANEL_CONTROL'!$C$64</f>
        <v>500</v>
      </c>
      <c r="AO27" s="33">
        <f>'1_PANEL_CONTROL'!$C$64</f>
        <v>500</v>
      </c>
      <c r="AP27" s="33">
        <f>'1_PANEL_CONTROL'!$C$64</f>
        <v>500</v>
      </c>
      <c r="AQ27" s="33">
        <f>'1_PANEL_CONTROL'!$C$64</f>
        <v>500</v>
      </c>
      <c r="AR27" s="33">
        <f>'1_PANEL_CONTROL'!$C$64</f>
        <v>500</v>
      </c>
      <c r="AS27" s="33">
        <f>'1_PANEL_CONTROL'!$C$64</f>
        <v>500</v>
      </c>
      <c r="AT27" s="33">
        <f>'1_PANEL_CONTROL'!$C$64</f>
        <v>500</v>
      </c>
      <c r="AU27" s="33">
        <f>'1_PANEL_CONTROL'!$C$64</f>
        <v>500</v>
      </c>
      <c r="AV27" s="33">
        <f>'1_PANEL_CONTROL'!$C$64</f>
        <v>500</v>
      </c>
      <c r="AW27" s="33">
        <f>'1_PANEL_CONTROL'!$C$64</f>
        <v>500</v>
      </c>
      <c r="AX27" s="33">
        <f>'1_PANEL_CONTROL'!$C$64</f>
        <v>500</v>
      </c>
      <c r="AY27" s="33">
        <f>'1_PANEL_CONTROL'!$C$64</f>
        <v>500</v>
      </c>
      <c r="AZ27" s="33">
        <f>'1_PANEL_CONTROL'!$C$64</f>
        <v>500</v>
      </c>
      <c r="BA27" s="33">
        <f>'1_PANEL_CONTROL'!$C$64</f>
        <v>500</v>
      </c>
      <c r="BB27" s="33">
        <f>'1_PANEL_CONTROL'!$C$64</f>
        <v>500</v>
      </c>
      <c r="BC27" s="33">
        <f>'1_PANEL_CONTROL'!$C$64</f>
        <v>500</v>
      </c>
      <c r="BD27" s="33">
        <f>'1_PANEL_CONTROL'!$C$64</f>
        <v>500</v>
      </c>
      <c r="BE27" s="33">
        <f>'1_PANEL_CONTROL'!$C$64</f>
        <v>500</v>
      </c>
      <c r="BF27" s="33">
        <f>'1_PANEL_CONTROL'!$C$64</f>
        <v>500</v>
      </c>
      <c r="BG27" s="33">
        <f>'1_PANEL_CONTROL'!$C$64</f>
        <v>500</v>
      </c>
      <c r="BH27" s="33">
        <f>'1_PANEL_CONTROL'!$C$64</f>
        <v>500</v>
      </c>
      <c r="BI27" s="33">
        <f>'1_PANEL_CONTROL'!$C$64</f>
        <v>500</v>
      </c>
      <c r="BJ27" s="33">
        <f>'1_PANEL_CONTROL'!$C$64</f>
        <v>500</v>
      </c>
      <c r="BK27" s="33">
        <f>'1_PANEL_CONTROL'!$C$64</f>
        <v>500</v>
      </c>
      <c r="BL27" s="33">
        <f>'1_PANEL_CONTROL'!$C$64</f>
        <v>500</v>
      </c>
      <c r="BM27" s="33">
        <f>'1_PANEL_CONTROL'!$C$64</f>
        <v>500</v>
      </c>
      <c r="BN27" s="33">
        <f>'1_PANEL_CONTROL'!$C$64</f>
        <v>500</v>
      </c>
      <c r="BO27" s="33">
        <f>'1_PANEL_CONTROL'!$C$64</f>
        <v>500</v>
      </c>
      <c r="BP27" s="33">
        <f>'1_PANEL_CONTROL'!$C$64</f>
        <v>500</v>
      </c>
      <c r="BQ27" s="33">
        <f>'1_PANEL_CONTROL'!$C$64</f>
        <v>500</v>
      </c>
      <c r="BR27" s="33">
        <f>'1_PANEL_CONTROL'!$C$64</f>
        <v>500</v>
      </c>
      <c r="BS27" s="33">
        <f>'1_PANEL_CONTROL'!$C$64</f>
        <v>500</v>
      </c>
      <c r="BT27" s="33">
        <f>'1_PANEL_CONTROL'!$C$64</f>
        <v>500</v>
      </c>
      <c r="BU27" s="33">
        <f>'1_PANEL_CONTROL'!$C$64</f>
        <v>500</v>
      </c>
      <c r="BV27" s="33">
        <f>'1_PANEL_CONTROL'!$C$64</f>
        <v>500</v>
      </c>
      <c r="BW27" s="33">
        <f>'1_PANEL_CONTROL'!$C$64</f>
        <v>500</v>
      </c>
      <c r="BX27" s="33">
        <f>'1_PANEL_CONTROL'!$C$64</f>
        <v>500</v>
      </c>
      <c r="BY27" s="33">
        <f>'1_PANEL_CONTROL'!$C$64</f>
        <v>500</v>
      </c>
      <c r="BZ27" s="33">
        <f>'1_PANEL_CONTROL'!$C$64</f>
        <v>500</v>
      </c>
      <c r="CA27" s="33">
        <f>'1_PANEL_CONTROL'!$C$64</f>
        <v>500</v>
      </c>
      <c r="CB27" s="33">
        <f>'1_PANEL_CONTROL'!$C$64</f>
        <v>500</v>
      </c>
      <c r="CC27" s="33">
        <f>'1_PANEL_CONTROL'!$C$64</f>
        <v>500</v>
      </c>
      <c r="CD27" s="33">
        <f>'1_PANEL_CONTROL'!$C$64</f>
        <v>500</v>
      </c>
      <c r="CE27" s="33">
        <f>'1_PANEL_CONTROL'!$C$64</f>
        <v>500</v>
      </c>
      <c r="CF27" s="33">
        <f>'1_PANEL_CONTROL'!$C$64</f>
        <v>500</v>
      </c>
      <c r="CG27" s="33">
        <f>'1_PANEL_CONTROL'!$C$64</f>
        <v>500</v>
      </c>
      <c r="CH27" s="33">
        <f>'1_PANEL_CONTROL'!$C$64</f>
        <v>500</v>
      </c>
      <c r="CI27" s="33">
        <f>'1_PANEL_CONTROL'!$C$64</f>
        <v>500</v>
      </c>
    </row>
    <row r="28" spans="1:87" ht="16.5">
      <c r="A28" s="6" t="s">
        <v>643</v>
      </c>
      <c r="B28" s="30" t="s">
        <v>465</v>
      </c>
      <c r="C28" s="17" t="s">
        <v>644</v>
      </c>
      <c r="D28" s="33">
        <f>'1_PANEL_CONTROL'!$C$65</f>
        <v>0</v>
      </c>
      <c r="E28" s="33">
        <f>'1_PANEL_CONTROL'!$C$65</f>
        <v>0</v>
      </c>
      <c r="F28" s="33">
        <f>'1_PANEL_CONTROL'!$C$65</f>
        <v>0</v>
      </c>
      <c r="G28" s="33">
        <f>'1_PANEL_CONTROL'!$C$65</f>
        <v>0</v>
      </c>
      <c r="H28" s="33">
        <f>'1_PANEL_CONTROL'!$C$65</f>
        <v>0</v>
      </c>
      <c r="I28" s="33">
        <f>'1_PANEL_CONTROL'!$C$65</f>
        <v>0</v>
      </c>
      <c r="J28" s="33">
        <f>'1_PANEL_CONTROL'!$C$65</f>
        <v>0</v>
      </c>
      <c r="K28" s="33">
        <f>'1_PANEL_CONTROL'!$C$65</f>
        <v>0</v>
      </c>
      <c r="L28" s="33">
        <f>'1_PANEL_CONTROL'!$C$65</f>
        <v>0</v>
      </c>
      <c r="M28" s="33">
        <f>'1_PANEL_CONTROL'!$C$65</f>
        <v>0</v>
      </c>
      <c r="N28" s="33">
        <f>'1_PANEL_CONTROL'!$C$65</f>
        <v>0</v>
      </c>
      <c r="O28" s="33">
        <f>'1_PANEL_CONTROL'!$C$65</f>
        <v>0</v>
      </c>
      <c r="P28" s="33">
        <f>'1_PANEL_CONTROL'!$C$65</f>
        <v>0</v>
      </c>
      <c r="Q28" s="33">
        <f>'1_PANEL_CONTROL'!$C$65</f>
        <v>0</v>
      </c>
      <c r="R28" s="33">
        <f>'1_PANEL_CONTROL'!$C$65</f>
        <v>0</v>
      </c>
      <c r="S28" s="33">
        <f>'1_PANEL_CONTROL'!$C$65</f>
        <v>0</v>
      </c>
      <c r="T28" s="33">
        <f>'1_PANEL_CONTROL'!$C$65</f>
        <v>0</v>
      </c>
      <c r="U28" s="33">
        <f>'1_PANEL_CONTROL'!$C$65</f>
        <v>0</v>
      </c>
      <c r="V28" s="33">
        <f>'1_PANEL_CONTROL'!$C$65</f>
        <v>0</v>
      </c>
      <c r="W28" s="33">
        <f>'1_PANEL_CONTROL'!$C$65</f>
        <v>0</v>
      </c>
      <c r="X28" s="33">
        <f>'1_PANEL_CONTROL'!$C$65</f>
        <v>0</v>
      </c>
      <c r="Y28" s="33">
        <f>'1_PANEL_CONTROL'!$C$65</f>
        <v>0</v>
      </c>
      <c r="Z28" s="33">
        <f>'1_PANEL_CONTROL'!$C$65</f>
        <v>0</v>
      </c>
      <c r="AA28" s="33">
        <f>'1_PANEL_CONTROL'!$C$65</f>
        <v>0</v>
      </c>
      <c r="AB28" s="33">
        <f>'1_PANEL_CONTROL'!$C$65</f>
        <v>0</v>
      </c>
      <c r="AC28" s="33">
        <f>'1_PANEL_CONTROL'!$C$65</f>
        <v>0</v>
      </c>
      <c r="AD28" s="33">
        <f>'1_PANEL_CONTROL'!$C$65</f>
        <v>0</v>
      </c>
      <c r="AE28" s="33">
        <f>'1_PANEL_CONTROL'!$C$65</f>
        <v>0</v>
      </c>
      <c r="AF28" s="33">
        <f>'1_PANEL_CONTROL'!$C$65</f>
        <v>0</v>
      </c>
      <c r="AG28" s="33">
        <f>'1_PANEL_CONTROL'!$C$65</f>
        <v>0</v>
      </c>
      <c r="AH28" s="33">
        <f>'1_PANEL_CONTROL'!$C$65</f>
        <v>0</v>
      </c>
      <c r="AI28" s="33">
        <f>'1_PANEL_CONTROL'!$C$65</f>
        <v>0</v>
      </c>
      <c r="AJ28" s="33">
        <f>'1_PANEL_CONTROL'!$C$65</f>
        <v>0</v>
      </c>
      <c r="AK28" s="33">
        <f>'1_PANEL_CONTROL'!$C$65</f>
        <v>0</v>
      </c>
      <c r="AL28" s="33">
        <f>'1_PANEL_CONTROL'!$C$65</f>
        <v>0</v>
      </c>
      <c r="AM28" s="33">
        <f>'1_PANEL_CONTROL'!$C$65</f>
        <v>0</v>
      </c>
      <c r="AN28" s="33">
        <f>'1_PANEL_CONTROL'!$C$65</f>
        <v>0</v>
      </c>
      <c r="AO28" s="33">
        <f>'1_PANEL_CONTROL'!$C$65</f>
        <v>0</v>
      </c>
      <c r="AP28" s="33">
        <f>'1_PANEL_CONTROL'!$C$65</f>
        <v>0</v>
      </c>
      <c r="AQ28" s="33">
        <f>'1_PANEL_CONTROL'!$C$65</f>
        <v>0</v>
      </c>
      <c r="AR28" s="33">
        <f>'1_PANEL_CONTROL'!$C$65</f>
        <v>0</v>
      </c>
      <c r="AS28" s="33">
        <f>'1_PANEL_CONTROL'!$C$65</f>
        <v>0</v>
      </c>
      <c r="AT28" s="33">
        <f>'1_PANEL_CONTROL'!$C$65</f>
        <v>0</v>
      </c>
      <c r="AU28" s="33">
        <f>'1_PANEL_CONTROL'!$C$65</f>
        <v>0</v>
      </c>
      <c r="AV28" s="33">
        <f>'1_PANEL_CONTROL'!$C$65</f>
        <v>0</v>
      </c>
      <c r="AW28" s="33">
        <f>'1_PANEL_CONTROL'!$C$65</f>
        <v>0</v>
      </c>
      <c r="AX28" s="33">
        <f>'1_PANEL_CONTROL'!$C$65</f>
        <v>0</v>
      </c>
      <c r="AY28" s="33">
        <f>'1_PANEL_CONTROL'!$C$65</f>
        <v>0</v>
      </c>
      <c r="AZ28" s="33">
        <f>'1_PANEL_CONTROL'!$C$65</f>
        <v>0</v>
      </c>
      <c r="BA28" s="33">
        <f>'1_PANEL_CONTROL'!$C$65</f>
        <v>0</v>
      </c>
      <c r="BB28" s="33">
        <f>'1_PANEL_CONTROL'!$C$65</f>
        <v>0</v>
      </c>
      <c r="BC28" s="33">
        <f>'1_PANEL_CONTROL'!$C$65</f>
        <v>0</v>
      </c>
      <c r="BD28" s="33">
        <f>'1_PANEL_CONTROL'!$C$65</f>
        <v>0</v>
      </c>
      <c r="BE28" s="33">
        <f>'1_PANEL_CONTROL'!$C$65</f>
        <v>0</v>
      </c>
      <c r="BF28" s="33">
        <f>'1_PANEL_CONTROL'!$C$65</f>
        <v>0</v>
      </c>
      <c r="BG28" s="33">
        <f>'1_PANEL_CONTROL'!$C$65</f>
        <v>0</v>
      </c>
      <c r="BH28" s="33">
        <f>'1_PANEL_CONTROL'!$C$65</f>
        <v>0</v>
      </c>
      <c r="BI28" s="33">
        <f>'1_PANEL_CONTROL'!$C$65</f>
        <v>0</v>
      </c>
      <c r="BJ28" s="33">
        <f>'1_PANEL_CONTROL'!$C$65</f>
        <v>0</v>
      </c>
      <c r="BK28" s="33">
        <f>'1_PANEL_CONTROL'!$C$65</f>
        <v>0</v>
      </c>
      <c r="BL28" s="33">
        <f>'1_PANEL_CONTROL'!$C$65</f>
        <v>0</v>
      </c>
      <c r="BM28" s="33">
        <f>'1_PANEL_CONTROL'!$C$65</f>
        <v>0</v>
      </c>
      <c r="BN28" s="33">
        <f>'1_PANEL_CONTROL'!$C$65</f>
        <v>0</v>
      </c>
      <c r="BO28" s="33">
        <f>'1_PANEL_CONTROL'!$C$65</f>
        <v>0</v>
      </c>
      <c r="BP28" s="33">
        <f>'1_PANEL_CONTROL'!$C$65</f>
        <v>0</v>
      </c>
      <c r="BQ28" s="33">
        <f>'1_PANEL_CONTROL'!$C$65</f>
        <v>0</v>
      </c>
      <c r="BR28" s="33">
        <f>'1_PANEL_CONTROL'!$C$65</f>
        <v>0</v>
      </c>
      <c r="BS28" s="33">
        <f>'1_PANEL_CONTROL'!$C$65</f>
        <v>0</v>
      </c>
      <c r="BT28" s="33">
        <f>'1_PANEL_CONTROL'!$C$65</f>
        <v>0</v>
      </c>
      <c r="BU28" s="33">
        <f>'1_PANEL_CONTROL'!$C$65</f>
        <v>0</v>
      </c>
      <c r="BV28" s="33">
        <f>'1_PANEL_CONTROL'!$C$65</f>
        <v>0</v>
      </c>
      <c r="BW28" s="33">
        <f>'1_PANEL_CONTROL'!$C$65</f>
        <v>0</v>
      </c>
      <c r="BX28" s="33">
        <f>'1_PANEL_CONTROL'!$C$65</f>
        <v>0</v>
      </c>
      <c r="BY28" s="33">
        <f>'1_PANEL_CONTROL'!$C$65</f>
        <v>0</v>
      </c>
      <c r="BZ28" s="33">
        <f>'1_PANEL_CONTROL'!$C$65</f>
        <v>0</v>
      </c>
      <c r="CA28" s="33">
        <f>'1_PANEL_CONTROL'!$C$65</f>
        <v>0</v>
      </c>
      <c r="CB28" s="33">
        <f>'1_PANEL_CONTROL'!$C$65</f>
        <v>0</v>
      </c>
      <c r="CC28" s="33">
        <f>'1_PANEL_CONTROL'!$C$65</f>
        <v>0</v>
      </c>
      <c r="CD28" s="33">
        <f>'1_PANEL_CONTROL'!$C$65</f>
        <v>0</v>
      </c>
      <c r="CE28" s="33">
        <f>'1_PANEL_CONTROL'!$C$65</f>
        <v>0</v>
      </c>
      <c r="CF28" s="33">
        <f>'1_PANEL_CONTROL'!$C$65</f>
        <v>0</v>
      </c>
      <c r="CG28" s="33">
        <f>'1_PANEL_CONTROL'!$C$65</f>
        <v>0</v>
      </c>
      <c r="CH28" s="33">
        <f>'1_PANEL_CONTROL'!$C$65</f>
        <v>0</v>
      </c>
      <c r="CI28" s="33">
        <f>'1_PANEL_CONTROL'!$C$65</f>
        <v>0</v>
      </c>
    </row>
    <row r="29" spans="1:87" ht="16.5">
      <c r="A29" s="6" t="s">
        <v>645</v>
      </c>
      <c r="B29" s="30" t="s">
        <v>465</v>
      </c>
      <c r="C29" s="17" t="s">
        <v>646</v>
      </c>
      <c r="D29" s="33">
        <f>'1_PANEL_CONTROL'!$C$66</f>
        <v>400</v>
      </c>
      <c r="E29" s="33">
        <f>'1_PANEL_CONTROL'!$C$66</f>
        <v>400</v>
      </c>
      <c r="F29" s="33">
        <f>'1_PANEL_CONTROL'!$C$66</f>
        <v>400</v>
      </c>
      <c r="G29" s="33">
        <f>'1_PANEL_CONTROL'!$C$66</f>
        <v>400</v>
      </c>
      <c r="H29" s="33">
        <f>'1_PANEL_CONTROL'!$C$66</f>
        <v>400</v>
      </c>
      <c r="I29" s="33">
        <f>'1_PANEL_CONTROL'!$C$66</f>
        <v>400</v>
      </c>
      <c r="J29" s="33">
        <f>'1_PANEL_CONTROL'!$C$66</f>
        <v>400</v>
      </c>
      <c r="K29" s="33">
        <f>'1_PANEL_CONTROL'!$C$66</f>
        <v>400</v>
      </c>
      <c r="L29" s="33">
        <f>'1_PANEL_CONTROL'!$C$66</f>
        <v>400</v>
      </c>
      <c r="M29" s="33">
        <f>'1_PANEL_CONTROL'!$C$66</f>
        <v>400</v>
      </c>
      <c r="N29" s="33">
        <f>'1_PANEL_CONTROL'!$C$66</f>
        <v>400</v>
      </c>
      <c r="O29" s="33">
        <f>'1_PANEL_CONTROL'!$C$66</f>
        <v>400</v>
      </c>
      <c r="P29" s="33">
        <f>'1_PANEL_CONTROL'!$C$66</f>
        <v>400</v>
      </c>
      <c r="Q29" s="33">
        <f>'1_PANEL_CONTROL'!$C$66</f>
        <v>400</v>
      </c>
      <c r="R29" s="33">
        <f>'1_PANEL_CONTROL'!$C$66</f>
        <v>400</v>
      </c>
      <c r="S29" s="33">
        <f>'1_PANEL_CONTROL'!$C$66</f>
        <v>400</v>
      </c>
      <c r="T29" s="33">
        <f>'1_PANEL_CONTROL'!$C$66</f>
        <v>400</v>
      </c>
      <c r="U29" s="33">
        <f>'1_PANEL_CONTROL'!$C$66</f>
        <v>400</v>
      </c>
      <c r="V29" s="33">
        <f>'1_PANEL_CONTROL'!$C$66</f>
        <v>400</v>
      </c>
      <c r="W29" s="33">
        <f>'1_PANEL_CONTROL'!$C$66</f>
        <v>400</v>
      </c>
      <c r="X29" s="33">
        <f>'1_PANEL_CONTROL'!$C$66</f>
        <v>400</v>
      </c>
      <c r="Y29" s="33">
        <f>'1_PANEL_CONTROL'!$C$66</f>
        <v>400</v>
      </c>
      <c r="Z29" s="33">
        <f>'1_PANEL_CONTROL'!$C$66</f>
        <v>400</v>
      </c>
      <c r="AA29" s="33">
        <f>'1_PANEL_CONTROL'!$C$66</f>
        <v>400</v>
      </c>
      <c r="AB29" s="33">
        <f>'1_PANEL_CONTROL'!$C$66</f>
        <v>400</v>
      </c>
      <c r="AC29" s="33">
        <f>'1_PANEL_CONTROL'!$C$66</f>
        <v>400</v>
      </c>
      <c r="AD29" s="33">
        <f>'1_PANEL_CONTROL'!$C$66</f>
        <v>400</v>
      </c>
      <c r="AE29" s="33">
        <f>'1_PANEL_CONTROL'!$C$66</f>
        <v>400</v>
      </c>
      <c r="AF29" s="33">
        <f>'1_PANEL_CONTROL'!$C$66</f>
        <v>400</v>
      </c>
      <c r="AG29" s="33">
        <f>'1_PANEL_CONTROL'!$C$66</f>
        <v>400</v>
      </c>
      <c r="AH29" s="33">
        <f>'1_PANEL_CONTROL'!$C$66</f>
        <v>400</v>
      </c>
      <c r="AI29" s="33">
        <f>'1_PANEL_CONTROL'!$C$66</f>
        <v>400</v>
      </c>
      <c r="AJ29" s="33">
        <f>'1_PANEL_CONTROL'!$C$66</f>
        <v>400</v>
      </c>
      <c r="AK29" s="33">
        <f>'1_PANEL_CONTROL'!$C$66</f>
        <v>400</v>
      </c>
      <c r="AL29" s="33">
        <f>'1_PANEL_CONTROL'!$C$66</f>
        <v>400</v>
      </c>
      <c r="AM29" s="33">
        <f>'1_PANEL_CONTROL'!$C$66</f>
        <v>400</v>
      </c>
      <c r="AN29" s="33">
        <f>'1_PANEL_CONTROL'!$C$66</f>
        <v>400</v>
      </c>
      <c r="AO29" s="33">
        <f>'1_PANEL_CONTROL'!$C$66</f>
        <v>400</v>
      </c>
      <c r="AP29" s="33">
        <f>'1_PANEL_CONTROL'!$C$66</f>
        <v>400</v>
      </c>
      <c r="AQ29" s="33">
        <f>'1_PANEL_CONTROL'!$C$66</f>
        <v>400</v>
      </c>
      <c r="AR29" s="33">
        <f>'1_PANEL_CONTROL'!$C$66</f>
        <v>400</v>
      </c>
      <c r="AS29" s="33">
        <f>'1_PANEL_CONTROL'!$C$66</f>
        <v>400</v>
      </c>
      <c r="AT29" s="33">
        <f>'1_PANEL_CONTROL'!$C$66</f>
        <v>400</v>
      </c>
      <c r="AU29" s="33">
        <f>'1_PANEL_CONTROL'!$C$66</f>
        <v>400</v>
      </c>
      <c r="AV29" s="33">
        <f>'1_PANEL_CONTROL'!$C$66</f>
        <v>400</v>
      </c>
      <c r="AW29" s="33">
        <f>'1_PANEL_CONTROL'!$C$66</f>
        <v>400</v>
      </c>
      <c r="AX29" s="33">
        <f>'1_PANEL_CONTROL'!$C$66</f>
        <v>400</v>
      </c>
      <c r="AY29" s="33">
        <f>'1_PANEL_CONTROL'!$C$66</f>
        <v>400</v>
      </c>
      <c r="AZ29" s="33">
        <f>'1_PANEL_CONTROL'!$C$66</f>
        <v>400</v>
      </c>
      <c r="BA29" s="33">
        <f>'1_PANEL_CONTROL'!$C$66</f>
        <v>400</v>
      </c>
      <c r="BB29" s="33">
        <f>'1_PANEL_CONTROL'!$C$66</f>
        <v>400</v>
      </c>
      <c r="BC29" s="33">
        <f>'1_PANEL_CONTROL'!$C$66</f>
        <v>400</v>
      </c>
      <c r="BD29" s="33">
        <f>'1_PANEL_CONTROL'!$C$66</f>
        <v>400</v>
      </c>
      <c r="BE29" s="33">
        <f>'1_PANEL_CONTROL'!$C$66</f>
        <v>400</v>
      </c>
      <c r="BF29" s="33">
        <f>'1_PANEL_CONTROL'!$C$66</f>
        <v>400</v>
      </c>
      <c r="BG29" s="33">
        <f>'1_PANEL_CONTROL'!$C$66</f>
        <v>400</v>
      </c>
      <c r="BH29" s="33">
        <f>'1_PANEL_CONTROL'!$C$66</f>
        <v>400</v>
      </c>
      <c r="BI29" s="33">
        <f>'1_PANEL_CONTROL'!$C$66</f>
        <v>400</v>
      </c>
      <c r="BJ29" s="33">
        <f>'1_PANEL_CONTROL'!$C$66</f>
        <v>400</v>
      </c>
      <c r="BK29" s="33">
        <f>'1_PANEL_CONTROL'!$C$66</f>
        <v>400</v>
      </c>
      <c r="BL29" s="33">
        <f>'1_PANEL_CONTROL'!$C$66</f>
        <v>400</v>
      </c>
      <c r="BM29" s="33">
        <f>'1_PANEL_CONTROL'!$C$66</f>
        <v>400</v>
      </c>
      <c r="BN29" s="33">
        <f>'1_PANEL_CONTROL'!$C$66</f>
        <v>400</v>
      </c>
      <c r="BO29" s="33">
        <f>'1_PANEL_CONTROL'!$C$66</f>
        <v>400</v>
      </c>
      <c r="BP29" s="33">
        <f>'1_PANEL_CONTROL'!$C$66</f>
        <v>400</v>
      </c>
      <c r="BQ29" s="33">
        <f>'1_PANEL_CONTROL'!$C$66</f>
        <v>400</v>
      </c>
      <c r="BR29" s="33">
        <f>'1_PANEL_CONTROL'!$C$66</f>
        <v>400</v>
      </c>
      <c r="BS29" s="33">
        <f>'1_PANEL_CONTROL'!$C$66</f>
        <v>400</v>
      </c>
      <c r="BT29" s="33">
        <f>'1_PANEL_CONTROL'!$C$66</f>
        <v>400</v>
      </c>
      <c r="BU29" s="33">
        <f>'1_PANEL_CONTROL'!$C$66</f>
        <v>400</v>
      </c>
      <c r="BV29" s="33">
        <f>'1_PANEL_CONTROL'!$C$66</f>
        <v>400</v>
      </c>
      <c r="BW29" s="33">
        <f>'1_PANEL_CONTROL'!$C$66</f>
        <v>400</v>
      </c>
      <c r="BX29" s="33">
        <f>'1_PANEL_CONTROL'!$C$66</f>
        <v>400</v>
      </c>
      <c r="BY29" s="33">
        <f>'1_PANEL_CONTROL'!$C$66</f>
        <v>400</v>
      </c>
      <c r="BZ29" s="33">
        <f>'1_PANEL_CONTROL'!$C$66</f>
        <v>400</v>
      </c>
      <c r="CA29" s="33">
        <f>'1_PANEL_CONTROL'!$C$66</f>
        <v>400</v>
      </c>
      <c r="CB29" s="33">
        <f>'1_PANEL_CONTROL'!$C$66</f>
        <v>400</v>
      </c>
      <c r="CC29" s="33">
        <f>'1_PANEL_CONTROL'!$C$66</f>
        <v>400</v>
      </c>
      <c r="CD29" s="33">
        <f>'1_PANEL_CONTROL'!$C$66</f>
        <v>400</v>
      </c>
      <c r="CE29" s="33">
        <f>'1_PANEL_CONTROL'!$C$66</f>
        <v>400</v>
      </c>
      <c r="CF29" s="33">
        <f>'1_PANEL_CONTROL'!$C$66</f>
        <v>400</v>
      </c>
      <c r="CG29" s="33">
        <f>'1_PANEL_CONTROL'!$C$66</f>
        <v>400</v>
      </c>
      <c r="CH29" s="33">
        <f>'1_PANEL_CONTROL'!$C$66</f>
        <v>400</v>
      </c>
      <c r="CI29" s="33">
        <f>'1_PANEL_CONTROL'!$C$66</f>
        <v>400</v>
      </c>
    </row>
    <row r="30" spans="1:87" ht="16.5">
      <c r="A30" s="6" t="s">
        <v>158</v>
      </c>
      <c r="B30" s="30" t="s">
        <v>465</v>
      </c>
      <c r="C30" s="17" t="s">
        <v>647</v>
      </c>
      <c r="D30" s="33">
        <f>'1_PANEL_CONTROL'!$C$67</f>
        <v>50</v>
      </c>
      <c r="E30" s="33">
        <f>'1_PANEL_CONTROL'!$C$67</f>
        <v>50</v>
      </c>
      <c r="F30" s="33">
        <f>'1_PANEL_CONTROL'!$C$67</f>
        <v>50</v>
      </c>
      <c r="G30" s="33">
        <f>'1_PANEL_CONTROL'!$C$67</f>
        <v>50</v>
      </c>
      <c r="H30" s="33">
        <f>'1_PANEL_CONTROL'!$C$67</f>
        <v>50</v>
      </c>
      <c r="I30" s="33">
        <f>'1_PANEL_CONTROL'!$C$67</f>
        <v>50</v>
      </c>
      <c r="J30" s="33">
        <f>'1_PANEL_CONTROL'!$C$67</f>
        <v>50</v>
      </c>
      <c r="K30" s="33">
        <f>'1_PANEL_CONTROL'!$C$67</f>
        <v>50</v>
      </c>
      <c r="L30" s="33">
        <f>'1_PANEL_CONTROL'!$C$67</f>
        <v>50</v>
      </c>
      <c r="M30" s="33">
        <f>'1_PANEL_CONTROL'!$C$67</f>
        <v>50</v>
      </c>
      <c r="N30" s="33">
        <f>'1_PANEL_CONTROL'!$C$67</f>
        <v>50</v>
      </c>
      <c r="O30" s="33">
        <f>'1_PANEL_CONTROL'!$C$67</f>
        <v>50</v>
      </c>
      <c r="P30" s="33">
        <f>'1_PANEL_CONTROL'!$C$67</f>
        <v>50</v>
      </c>
      <c r="Q30" s="33">
        <f>'1_PANEL_CONTROL'!$C$67</f>
        <v>50</v>
      </c>
      <c r="R30" s="33">
        <f>'1_PANEL_CONTROL'!$C$67</f>
        <v>50</v>
      </c>
      <c r="S30" s="33">
        <f>'1_PANEL_CONTROL'!$C$67</f>
        <v>50</v>
      </c>
      <c r="T30" s="33">
        <f>'1_PANEL_CONTROL'!$C$67</f>
        <v>50</v>
      </c>
      <c r="U30" s="33">
        <f>'1_PANEL_CONTROL'!$C$67</f>
        <v>50</v>
      </c>
      <c r="V30" s="33">
        <f>'1_PANEL_CONTROL'!$C$67</f>
        <v>50</v>
      </c>
      <c r="W30" s="33">
        <f>'1_PANEL_CONTROL'!$C$67</f>
        <v>50</v>
      </c>
      <c r="X30" s="33">
        <f>'1_PANEL_CONTROL'!$C$67</f>
        <v>50</v>
      </c>
      <c r="Y30" s="33">
        <f>'1_PANEL_CONTROL'!$C$67</f>
        <v>50</v>
      </c>
      <c r="Z30" s="33">
        <f>'1_PANEL_CONTROL'!$C$67</f>
        <v>50</v>
      </c>
      <c r="AA30" s="33">
        <f>'1_PANEL_CONTROL'!$C$67</f>
        <v>50</v>
      </c>
      <c r="AB30" s="33">
        <f>'1_PANEL_CONTROL'!$C$67</f>
        <v>50</v>
      </c>
      <c r="AC30" s="33">
        <f>'1_PANEL_CONTROL'!$C$67</f>
        <v>50</v>
      </c>
      <c r="AD30" s="33">
        <f>'1_PANEL_CONTROL'!$C$67</f>
        <v>50</v>
      </c>
      <c r="AE30" s="33">
        <f>'1_PANEL_CONTROL'!$C$67</f>
        <v>50</v>
      </c>
      <c r="AF30" s="33">
        <f>'1_PANEL_CONTROL'!$C$67</f>
        <v>50</v>
      </c>
      <c r="AG30" s="33">
        <f>'1_PANEL_CONTROL'!$C$67</f>
        <v>50</v>
      </c>
      <c r="AH30" s="33">
        <f>'1_PANEL_CONTROL'!$C$67</f>
        <v>50</v>
      </c>
      <c r="AI30" s="33">
        <f>'1_PANEL_CONTROL'!$C$67</f>
        <v>50</v>
      </c>
      <c r="AJ30" s="33">
        <f>'1_PANEL_CONTROL'!$C$67</f>
        <v>50</v>
      </c>
      <c r="AK30" s="33">
        <f>'1_PANEL_CONTROL'!$C$67</f>
        <v>50</v>
      </c>
      <c r="AL30" s="33">
        <f>'1_PANEL_CONTROL'!$C$67</f>
        <v>50</v>
      </c>
      <c r="AM30" s="33">
        <f>'1_PANEL_CONTROL'!$C$67</f>
        <v>50</v>
      </c>
      <c r="AN30" s="33">
        <f>'1_PANEL_CONTROL'!$C$67</f>
        <v>50</v>
      </c>
      <c r="AO30" s="33">
        <f>'1_PANEL_CONTROL'!$C$67</f>
        <v>50</v>
      </c>
      <c r="AP30" s="33">
        <f>'1_PANEL_CONTROL'!$C$67</f>
        <v>50</v>
      </c>
      <c r="AQ30" s="33">
        <f>'1_PANEL_CONTROL'!$C$67</f>
        <v>50</v>
      </c>
      <c r="AR30" s="33">
        <f>'1_PANEL_CONTROL'!$C$67</f>
        <v>50</v>
      </c>
      <c r="AS30" s="33">
        <f>'1_PANEL_CONTROL'!$C$67</f>
        <v>50</v>
      </c>
      <c r="AT30" s="33">
        <f>'1_PANEL_CONTROL'!$C$67</f>
        <v>50</v>
      </c>
      <c r="AU30" s="33">
        <f>'1_PANEL_CONTROL'!$C$67</f>
        <v>50</v>
      </c>
      <c r="AV30" s="33">
        <f>'1_PANEL_CONTROL'!$C$67</f>
        <v>50</v>
      </c>
      <c r="AW30" s="33">
        <f>'1_PANEL_CONTROL'!$C$67</f>
        <v>50</v>
      </c>
      <c r="AX30" s="33">
        <f>'1_PANEL_CONTROL'!$C$67</f>
        <v>50</v>
      </c>
      <c r="AY30" s="33">
        <f>'1_PANEL_CONTROL'!$C$67</f>
        <v>50</v>
      </c>
      <c r="AZ30" s="33">
        <f>'1_PANEL_CONTROL'!$C$67</f>
        <v>50</v>
      </c>
      <c r="BA30" s="33">
        <f>'1_PANEL_CONTROL'!$C$67</f>
        <v>50</v>
      </c>
      <c r="BB30" s="33">
        <f>'1_PANEL_CONTROL'!$C$67</f>
        <v>50</v>
      </c>
      <c r="BC30" s="33">
        <f>'1_PANEL_CONTROL'!$C$67</f>
        <v>50</v>
      </c>
      <c r="BD30" s="33">
        <f>'1_PANEL_CONTROL'!$C$67</f>
        <v>50</v>
      </c>
      <c r="BE30" s="33">
        <f>'1_PANEL_CONTROL'!$C$67</f>
        <v>50</v>
      </c>
      <c r="BF30" s="33">
        <f>'1_PANEL_CONTROL'!$C$67</f>
        <v>50</v>
      </c>
      <c r="BG30" s="33">
        <f>'1_PANEL_CONTROL'!$C$67</f>
        <v>50</v>
      </c>
      <c r="BH30" s="33">
        <f>'1_PANEL_CONTROL'!$C$67</f>
        <v>50</v>
      </c>
      <c r="BI30" s="33">
        <f>'1_PANEL_CONTROL'!$C$67</f>
        <v>50</v>
      </c>
      <c r="BJ30" s="33">
        <f>'1_PANEL_CONTROL'!$C$67</f>
        <v>50</v>
      </c>
      <c r="BK30" s="33">
        <f>'1_PANEL_CONTROL'!$C$67</f>
        <v>50</v>
      </c>
      <c r="BL30" s="33">
        <f>'1_PANEL_CONTROL'!$C$67</f>
        <v>50</v>
      </c>
      <c r="BM30" s="33">
        <f>'1_PANEL_CONTROL'!$C$67</f>
        <v>50</v>
      </c>
      <c r="BN30" s="33">
        <f>'1_PANEL_CONTROL'!$C$67</f>
        <v>50</v>
      </c>
      <c r="BO30" s="33">
        <f>'1_PANEL_CONTROL'!$C$67</f>
        <v>50</v>
      </c>
      <c r="BP30" s="33">
        <f>'1_PANEL_CONTROL'!$C$67</f>
        <v>50</v>
      </c>
      <c r="BQ30" s="33">
        <f>'1_PANEL_CONTROL'!$C$67</f>
        <v>50</v>
      </c>
      <c r="BR30" s="33">
        <f>'1_PANEL_CONTROL'!$C$67</f>
        <v>50</v>
      </c>
      <c r="BS30" s="33">
        <f>'1_PANEL_CONTROL'!$C$67</f>
        <v>50</v>
      </c>
      <c r="BT30" s="33">
        <f>'1_PANEL_CONTROL'!$C$67</f>
        <v>50</v>
      </c>
      <c r="BU30" s="33">
        <f>'1_PANEL_CONTROL'!$C$67</f>
        <v>50</v>
      </c>
      <c r="BV30" s="33">
        <f>'1_PANEL_CONTROL'!$C$67</f>
        <v>50</v>
      </c>
      <c r="BW30" s="33">
        <f>'1_PANEL_CONTROL'!$C$67</f>
        <v>50</v>
      </c>
      <c r="BX30" s="33">
        <f>'1_PANEL_CONTROL'!$C$67</f>
        <v>50</v>
      </c>
      <c r="BY30" s="33">
        <f>'1_PANEL_CONTROL'!$C$67</f>
        <v>50</v>
      </c>
      <c r="BZ30" s="33">
        <f>'1_PANEL_CONTROL'!$C$67</f>
        <v>50</v>
      </c>
      <c r="CA30" s="33">
        <f>'1_PANEL_CONTROL'!$C$67</f>
        <v>50</v>
      </c>
      <c r="CB30" s="33">
        <f>'1_PANEL_CONTROL'!$C$67</f>
        <v>50</v>
      </c>
      <c r="CC30" s="33">
        <f>'1_PANEL_CONTROL'!$C$67</f>
        <v>50</v>
      </c>
      <c r="CD30" s="33">
        <f>'1_PANEL_CONTROL'!$C$67</f>
        <v>50</v>
      </c>
      <c r="CE30" s="33">
        <f>'1_PANEL_CONTROL'!$C$67</f>
        <v>50</v>
      </c>
      <c r="CF30" s="33">
        <f>'1_PANEL_CONTROL'!$C$67</f>
        <v>50</v>
      </c>
      <c r="CG30" s="33">
        <f>'1_PANEL_CONTROL'!$C$67</f>
        <v>50</v>
      </c>
      <c r="CH30" s="33">
        <f>'1_PANEL_CONTROL'!$C$67</f>
        <v>50</v>
      </c>
      <c r="CI30" s="33">
        <f>'1_PANEL_CONTROL'!$C$67</f>
        <v>50</v>
      </c>
    </row>
    <row r="31" spans="1:87" ht="16.5">
      <c r="A31" s="6" t="s">
        <v>648</v>
      </c>
      <c r="B31" s="30" t="s">
        <v>465</v>
      </c>
      <c r="C31" s="17" t="s">
        <v>649</v>
      </c>
      <c r="D31" s="33">
        <f>'1_PANEL_CONTROL'!$C$68</f>
        <v>300</v>
      </c>
      <c r="E31" s="33">
        <f>'1_PANEL_CONTROL'!$C$68</f>
        <v>300</v>
      </c>
      <c r="F31" s="33">
        <f>'1_PANEL_CONTROL'!$C$68</f>
        <v>300</v>
      </c>
      <c r="G31" s="33">
        <f>'1_PANEL_CONTROL'!$C$68</f>
        <v>300</v>
      </c>
      <c r="H31" s="33">
        <f>'1_PANEL_CONTROL'!$C$68</f>
        <v>300</v>
      </c>
      <c r="I31" s="33">
        <f>'1_PANEL_CONTROL'!$C$68</f>
        <v>300</v>
      </c>
      <c r="J31" s="33">
        <f>'1_PANEL_CONTROL'!$C$68</f>
        <v>300</v>
      </c>
      <c r="K31" s="33">
        <f>'1_PANEL_CONTROL'!$C$68</f>
        <v>300</v>
      </c>
      <c r="L31" s="33">
        <f>'1_PANEL_CONTROL'!$C$68</f>
        <v>300</v>
      </c>
      <c r="M31" s="33">
        <f>'1_PANEL_CONTROL'!$C$68</f>
        <v>300</v>
      </c>
      <c r="N31" s="33">
        <f>'1_PANEL_CONTROL'!$C$68</f>
        <v>300</v>
      </c>
      <c r="O31" s="33">
        <f>'1_PANEL_CONTROL'!$C$68</f>
        <v>300</v>
      </c>
      <c r="P31" s="33">
        <f>'1_PANEL_CONTROL'!$C$68</f>
        <v>300</v>
      </c>
      <c r="Q31" s="33">
        <f>'1_PANEL_CONTROL'!$C$68</f>
        <v>300</v>
      </c>
      <c r="R31" s="33">
        <f>'1_PANEL_CONTROL'!$C$68</f>
        <v>300</v>
      </c>
      <c r="S31" s="33">
        <f>'1_PANEL_CONTROL'!$C$68</f>
        <v>300</v>
      </c>
      <c r="T31" s="33">
        <f>'1_PANEL_CONTROL'!$C$68</f>
        <v>300</v>
      </c>
      <c r="U31" s="33">
        <f>'1_PANEL_CONTROL'!$C$68</f>
        <v>300</v>
      </c>
      <c r="V31" s="33">
        <f>'1_PANEL_CONTROL'!$C$68</f>
        <v>300</v>
      </c>
      <c r="W31" s="33">
        <f>'1_PANEL_CONTROL'!$C$68</f>
        <v>300</v>
      </c>
      <c r="X31" s="33">
        <f>'1_PANEL_CONTROL'!$C$68</f>
        <v>300</v>
      </c>
      <c r="Y31" s="33">
        <f>'1_PANEL_CONTROL'!$C$68</f>
        <v>300</v>
      </c>
      <c r="Z31" s="33">
        <f>'1_PANEL_CONTROL'!$C$68</f>
        <v>300</v>
      </c>
      <c r="AA31" s="33">
        <f>'1_PANEL_CONTROL'!$C$68</f>
        <v>300</v>
      </c>
      <c r="AB31" s="33">
        <f>'1_PANEL_CONTROL'!$C$68</f>
        <v>300</v>
      </c>
      <c r="AC31" s="33">
        <f>'1_PANEL_CONTROL'!$C$68</f>
        <v>300</v>
      </c>
      <c r="AD31" s="33">
        <f>'1_PANEL_CONTROL'!$C$68</f>
        <v>300</v>
      </c>
      <c r="AE31" s="33">
        <f>'1_PANEL_CONTROL'!$C$68</f>
        <v>300</v>
      </c>
      <c r="AF31" s="33">
        <f>'1_PANEL_CONTROL'!$C$68</f>
        <v>300</v>
      </c>
      <c r="AG31" s="33">
        <f>'1_PANEL_CONTROL'!$C$68</f>
        <v>300</v>
      </c>
      <c r="AH31" s="33">
        <f>'1_PANEL_CONTROL'!$C$68</f>
        <v>300</v>
      </c>
      <c r="AI31" s="33">
        <f>'1_PANEL_CONTROL'!$C$68</f>
        <v>300</v>
      </c>
      <c r="AJ31" s="33">
        <f>'1_PANEL_CONTROL'!$C$68</f>
        <v>300</v>
      </c>
      <c r="AK31" s="33">
        <f>'1_PANEL_CONTROL'!$C$68</f>
        <v>300</v>
      </c>
      <c r="AL31" s="33">
        <f>'1_PANEL_CONTROL'!$C$68</f>
        <v>300</v>
      </c>
      <c r="AM31" s="33">
        <f>'1_PANEL_CONTROL'!$C$68</f>
        <v>300</v>
      </c>
      <c r="AN31" s="33">
        <f>'1_PANEL_CONTROL'!$C$68</f>
        <v>300</v>
      </c>
      <c r="AO31" s="33">
        <f>'1_PANEL_CONTROL'!$C$68</f>
        <v>300</v>
      </c>
      <c r="AP31" s="33">
        <f>'1_PANEL_CONTROL'!$C$68</f>
        <v>300</v>
      </c>
      <c r="AQ31" s="33">
        <f>'1_PANEL_CONTROL'!$C$68</f>
        <v>300</v>
      </c>
      <c r="AR31" s="33">
        <f>'1_PANEL_CONTROL'!$C$68</f>
        <v>300</v>
      </c>
      <c r="AS31" s="33">
        <f>'1_PANEL_CONTROL'!$C$68</f>
        <v>300</v>
      </c>
      <c r="AT31" s="33">
        <f>'1_PANEL_CONTROL'!$C$68</f>
        <v>300</v>
      </c>
      <c r="AU31" s="33">
        <f>'1_PANEL_CONTROL'!$C$68</f>
        <v>300</v>
      </c>
      <c r="AV31" s="33">
        <f>'1_PANEL_CONTROL'!$C$68</f>
        <v>300</v>
      </c>
      <c r="AW31" s="33">
        <f>'1_PANEL_CONTROL'!$C$68</f>
        <v>300</v>
      </c>
      <c r="AX31" s="33">
        <f>'1_PANEL_CONTROL'!$C$68</f>
        <v>300</v>
      </c>
      <c r="AY31" s="33">
        <f>'1_PANEL_CONTROL'!$C$68</f>
        <v>300</v>
      </c>
      <c r="AZ31" s="33">
        <f>'1_PANEL_CONTROL'!$C$68</f>
        <v>300</v>
      </c>
      <c r="BA31" s="33">
        <f>'1_PANEL_CONTROL'!$C$68</f>
        <v>300</v>
      </c>
      <c r="BB31" s="33">
        <f>'1_PANEL_CONTROL'!$C$68</f>
        <v>300</v>
      </c>
      <c r="BC31" s="33">
        <f>'1_PANEL_CONTROL'!$C$68</f>
        <v>300</v>
      </c>
      <c r="BD31" s="33">
        <f>'1_PANEL_CONTROL'!$C$68</f>
        <v>300</v>
      </c>
      <c r="BE31" s="33">
        <f>'1_PANEL_CONTROL'!$C$68</f>
        <v>300</v>
      </c>
      <c r="BF31" s="33">
        <f>'1_PANEL_CONTROL'!$C$68</f>
        <v>300</v>
      </c>
      <c r="BG31" s="33">
        <f>'1_PANEL_CONTROL'!$C$68</f>
        <v>300</v>
      </c>
      <c r="BH31" s="33">
        <f>'1_PANEL_CONTROL'!$C$68</f>
        <v>300</v>
      </c>
      <c r="BI31" s="33">
        <f>'1_PANEL_CONTROL'!$C$68</f>
        <v>300</v>
      </c>
      <c r="BJ31" s="33">
        <f>'1_PANEL_CONTROL'!$C$68</f>
        <v>300</v>
      </c>
      <c r="BK31" s="33">
        <f>'1_PANEL_CONTROL'!$C$68</f>
        <v>300</v>
      </c>
      <c r="BL31" s="33">
        <f>'1_PANEL_CONTROL'!$C$68</f>
        <v>300</v>
      </c>
      <c r="BM31" s="33">
        <f>'1_PANEL_CONTROL'!$C$68</f>
        <v>300</v>
      </c>
      <c r="BN31" s="33">
        <f>'1_PANEL_CONTROL'!$C$68</f>
        <v>300</v>
      </c>
      <c r="BO31" s="33">
        <f>'1_PANEL_CONTROL'!$C$68</f>
        <v>300</v>
      </c>
      <c r="BP31" s="33">
        <f>'1_PANEL_CONTROL'!$C$68</f>
        <v>300</v>
      </c>
      <c r="BQ31" s="33">
        <f>'1_PANEL_CONTROL'!$C$68</f>
        <v>300</v>
      </c>
      <c r="BR31" s="33">
        <f>'1_PANEL_CONTROL'!$C$68</f>
        <v>300</v>
      </c>
      <c r="BS31" s="33">
        <f>'1_PANEL_CONTROL'!$C$68</f>
        <v>300</v>
      </c>
      <c r="BT31" s="33">
        <f>'1_PANEL_CONTROL'!$C$68</f>
        <v>300</v>
      </c>
      <c r="BU31" s="33">
        <f>'1_PANEL_CONTROL'!$C$68</f>
        <v>300</v>
      </c>
      <c r="BV31" s="33">
        <f>'1_PANEL_CONTROL'!$C$68</f>
        <v>300</v>
      </c>
      <c r="BW31" s="33">
        <f>'1_PANEL_CONTROL'!$C$68</f>
        <v>300</v>
      </c>
      <c r="BX31" s="33">
        <f>'1_PANEL_CONTROL'!$C$68</f>
        <v>300</v>
      </c>
      <c r="BY31" s="33">
        <f>'1_PANEL_CONTROL'!$C$68</f>
        <v>300</v>
      </c>
      <c r="BZ31" s="33">
        <f>'1_PANEL_CONTROL'!$C$68</f>
        <v>300</v>
      </c>
      <c r="CA31" s="33">
        <f>'1_PANEL_CONTROL'!$C$68</f>
        <v>300</v>
      </c>
      <c r="CB31" s="33">
        <f>'1_PANEL_CONTROL'!$C$68</f>
        <v>300</v>
      </c>
      <c r="CC31" s="33">
        <f>'1_PANEL_CONTROL'!$C$68</f>
        <v>300</v>
      </c>
      <c r="CD31" s="33">
        <f>'1_PANEL_CONTROL'!$C$68</f>
        <v>300</v>
      </c>
      <c r="CE31" s="33">
        <f>'1_PANEL_CONTROL'!$C$68</f>
        <v>300</v>
      </c>
      <c r="CF31" s="33">
        <f>'1_PANEL_CONTROL'!$C$68</f>
        <v>300</v>
      </c>
      <c r="CG31" s="33">
        <f>'1_PANEL_CONTROL'!$C$68</f>
        <v>300</v>
      </c>
      <c r="CH31" s="33">
        <f>'1_PANEL_CONTROL'!$C$68</f>
        <v>300</v>
      </c>
      <c r="CI31" s="33">
        <f>'1_PANEL_CONTROL'!$C$68</f>
        <v>300</v>
      </c>
    </row>
    <row r="32" spans="1:87" ht="16.5">
      <c r="A32" s="6" t="s">
        <v>650</v>
      </c>
      <c r="B32" s="30" t="s">
        <v>465</v>
      </c>
      <c r="C32" s="17" t="s">
        <v>651</v>
      </c>
      <c r="D32" s="33">
        <f>'1_PANEL_CONTROL'!$C$69</f>
        <v>655</v>
      </c>
      <c r="E32" s="33">
        <f>'1_PANEL_CONTROL'!$C$69</f>
        <v>655</v>
      </c>
      <c r="F32" s="33">
        <f>'1_PANEL_CONTROL'!$C$69</f>
        <v>655</v>
      </c>
      <c r="G32" s="33">
        <f>'1_PANEL_CONTROL'!$C$69</f>
        <v>655</v>
      </c>
      <c r="H32" s="33">
        <f>'1_PANEL_CONTROL'!$C$69</f>
        <v>655</v>
      </c>
      <c r="I32" s="33">
        <f>'1_PANEL_CONTROL'!$C$69</f>
        <v>655</v>
      </c>
      <c r="J32" s="33">
        <f>'1_PANEL_CONTROL'!$C$69</f>
        <v>655</v>
      </c>
      <c r="K32" s="33">
        <f>'1_PANEL_CONTROL'!$C$69</f>
        <v>655</v>
      </c>
      <c r="L32" s="33">
        <f>'1_PANEL_CONTROL'!$C$69</f>
        <v>655</v>
      </c>
      <c r="M32" s="33">
        <f>'1_PANEL_CONTROL'!$C$69</f>
        <v>655</v>
      </c>
      <c r="N32" s="33">
        <f>'1_PANEL_CONTROL'!$C$69</f>
        <v>655</v>
      </c>
      <c r="O32" s="33">
        <f>'1_PANEL_CONTROL'!$C$69</f>
        <v>655</v>
      </c>
      <c r="P32" s="33">
        <f>'1_PANEL_CONTROL'!$C$69</f>
        <v>655</v>
      </c>
      <c r="Q32" s="33">
        <f>'1_PANEL_CONTROL'!$C$69</f>
        <v>655</v>
      </c>
      <c r="R32" s="33">
        <f>'1_PANEL_CONTROL'!$C$69</f>
        <v>655</v>
      </c>
      <c r="S32" s="33">
        <f>'1_PANEL_CONTROL'!$C$69</f>
        <v>655</v>
      </c>
      <c r="T32" s="33">
        <f>'1_PANEL_CONTROL'!$C$69</f>
        <v>655</v>
      </c>
      <c r="U32" s="33">
        <f>'1_PANEL_CONTROL'!$C$69</f>
        <v>655</v>
      </c>
      <c r="V32" s="33">
        <f>'1_PANEL_CONTROL'!$C$69</f>
        <v>655</v>
      </c>
      <c r="W32" s="33">
        <f>'1_PANEL_CONTROL'!$C$69</f>
        <v>655</v>
      </c>
      <c r="X32" s="33">
        <f>'1_PANEL_CONTROL'!$C$69</f>
        <v>655</v>
      </c>
      <c r="Y32" s="33">
        <f>'1_PANEL_CONTROL'!$C$69</f>
        <v>655</v>
      </c>
      <c r="Z32" s="33">
        <f>'1_PANEL_CONTROL'!$C$69</f>
        <v>655</v>
      </c>
      <c r="AA32" s="33">
        <f>'1_PANEL_CONTROL'!$C$69</f>
        <v>655</v>
      </c>
      <c r="AB32" s="33">
        <f>'1_PANEL_CONTROL'!$C$69</f>
        <v>655</v>
      </c>
      <c r="AC32" s="33">
        <f>'1_PANEL_CONTROL'!$C$69</f>
        <v>655</v>
      </c>
      <c r="AD32" s="33">
        <f>'1_PANEL_CONTROL'!$C$69</f>
        <v>655</v>
      </c>
      <c r="AE32" s="33">
        <f>'1_PANEL_CONTROL'!$C$69</f>
        <v>655</v>
      </c>
      <c r="AF32" s="33">
        <f>'1_PANEL_CONTROL'!$C$69</f>
        <v>655</v>
      </c>
      <c r="AG32" s="33">
        <f>'1_PANEL_CONTROL'!$C$69</f>
        <v>655</v>
      </c>
      <c r="AH32" s="33">
        <f>'1_PANEL_CONTROL'!$C$69</f>
        <v>655</v>
      </c>
      <c r="AI32" s="33">
        <f>'1_PANEL_CONTROL'!$C$69</f>
        <v>655</v>
      </c>
      <c r="AJ32" s="33">
        <f>'1_PANEL_CONTROL'!$C$69</f>
        <v>655</v>
      </c>
      <c r="AK32" s="33">
        <f>'1_PANEL_CONTROL'!$C$69</f>
        <v>655</v>
      </c>
      <c r="AL32" s="33">
        <f>'1_PANEL_CONTROL'!$C$69</f>
        <v>655</v>
      </c>
      <c r="AM32" s="33">
        <f>'1_PANEL_CONTROL'!$C$69</f>
        <v>655</v>
      </c>
      <c r="AN32" s="33">
        <f>'1_PANEL_CONTROL'!$C$69</f>
        <v>655</v>
      </c>
      <c r="AO32" s="33">
        <f>'1_PANEL_CONTROL'!$C$69</f>
        <v>655</v>
      </c>
      <c r="AP32" s="33">
        <f>'1_PANEL_CONTROL'!$C$69</f>
        <v>655</v>
      </c>
      <c r="AQ32" s="33">
        <f>'1_PANEL_CONTROL'!$C$69</f>
        <v>655</v>
      </c>
      <c r="AR32" s="33">
        <f>'1_PANEL_CONTROL'!$C$69</f>
        <v>655</v>
      </c>
      <c r="AS32" s="33">
        <f>'1_PANEL_CONTROL'!$C$69</f>
        <v>655</v>
      </c>
      <c r="AT32" s="33">
        <f>'1_PANEL_CONTROL'!$C$69</f>
        <v>655</v>
      </c>
      <c r="AU32" s="33">
        <f>'1_PANEL_CONTROL'!$C$69</f>
        <v>655</v>
      </c>
      <c r="AV32" s="33">
        <f>'1_PANEL_CONTROL'!$C$69</f>
        <v>655</v>
      </c>
      <c r="AW32" s="33">
        <f>'1_PANEL_CONTROL'!$C$69</f>
        <v>655</v>
      </c>
      <c r="AX32" s="33">
        <f>'1_PANEL_CONTROL'!$C$69</f>
        <v>655</v>
      </c>
      <c r="AY32" s="33">
        <f>'1_PANEL_CONTROL'!$C$69</f>
        <v>655</v>
      </c>
      <c r="AZ32" s="33">
        <f>'1_PANEL_CONTROL'!$C$69</f>
        <v>655</v>
      </c>
      <c r="BA32" s="33">
        <f>'1_PANEL_CONTROL'!$C$69</f>
        <v>655</v>
      </c>
      <c r="BB32" s="33">
        <f>'1_PANEL_CONTROL'!$C$69</f>
        <v>655</v>
      </c>
      <c r="BC32" s="33">
        <f>'1_PANEL_CONTROL'!$C$69</f>
        <v>655</v>
      </c>
      <c r="BD32" s="33">
        <f>'1_PANEL_CONTROL'!$C$69</f>
        <v>655</v>
      </c>
      <c r="BE32" s="33">
        <f>'1_PANEL_CONTROL'!$C$69</f>
        <v>655</v>
      </c>
      <c r="BF32" s="33">
        <f>'1_PANEL_CONTROL'!$C$69</f>
        <v>655</v>
      </c>
      <c r="BG32" s="33">
        <f>'1_PANEL_CONTROL'!$C$69</f>
        <v>655</v>
      </c>
      <c r="BH32" s="33">
        <f>'1_PANEL_CONTROL'!$C$69</f>
        <v>655</v>
      </c>
      <c r="BI32" s="33">
        <f>'1_PANEL_CONTROL'!$C$69</f>
        <v>655</v>
      </c>
      <c r="BJ32" s="33">
        <f>'1_PANEL_CONTROL'!$C$69</f>
        <v>655</v>
      </c>
      <c r="BK32" s="33">
        <f>'1_PANEL_CONTROL'!$C$69</f>
        <v>655</v>
      </c>
      <c r="BL32" s="33">
        <f>'1_PANEL_CONTROL'!$C$69</f>
        <v>655</v>
      </c>
      <c r="BM32" s="33">
        <f>'1_PANEL_CONTROL'!$C$69</f>
        <v>655</v>
      </c>
      <c r="BN32" s="33">
        <f>'1_PANEL_CONTROL'!$C$69</f>
        <v>655</v>
      </c>
      <c r="BO32" s="33">
        <f>'1_PANEL_CONTROL'!$C$69</f>
        <v>655</v>
      </c>
      <c r="BP32" s="33">
        <f>'1_PANEL_CONTROL'!$C$69</f>
        <v>655</v>
      </c>
      <c r="BQ32" s="33">
        <f>'1_PANEL_CONTROL'!$C$69</f>
        <v>655</v>
      </c>
      <c r="BR32" s="33">
        <f>'1_PANEL_CONTROL'!$C$69</f>
        <v>655</v>
      </c>
      <c r="BS32" s="33">
        <f>'1_PANEL_CONTROL'!$C$69</f>
        <v>655</v>
      </c>
      <c r="BT32" s="33">
        <f>'1_PANEL_CONTROL'!$C$69</f>
        <v>655</v>
      </c>
      <c r="BU32" s="33">
        <f>'1_PANEL_CONTROL'!$C$69</f>
        <v>655</v>
      </c>
      <c r="BV32" s="33">
        <f>'1_PANEL_CONTROL'!$C$69</f>
        <v>655</v>
      </c>
      <c r="BW32" s="33">
        <f>'1_PANEL_CONTROL'!$C$69</f>
        <v>655</v>
      </c>
      <c r="BX32" s="33">
        <f>'1_PANEL_CONTROL'!$C$69</f>
        <v>655</v>
      </c>
      <c r="BY32" s="33">
        <f>'1_PANEL_CONTROL'!$C$69</f>
        <v>655</v>
      </c>
      <c r="BZ32" s="33">
        <f>'1_PANEL_CONTROL'!$C$69</f>
        <v>655</v>
      </c>
      <c r="CA32" s="33">
        <f>'1_PANEL_CONTROL'!$C$69</f>
        <v>655</v>
      </c>
      <c r="CB32" s="33">
        <f>'1_PANEL_CONTROL'!$C$69</f>
        <v>655</v>
      </c>
      <c r="CC32" s="33">
        <f>'1_PANEL_CONTROL'!$C$69</f>
        <v>655</v>
      </c>
      <c r="CD32" s="33">
        <f>'1_PANEL_CONTROL'!$C$69</f>
        <v>655</v>
      </c>
      <c r="CE32" s="33">
        <f>'1_PANEL_CONTROL'!$C$69</f>
        <v>655</v>
      </c>
      <c r="CF32" s="33">
        <f>'1_PANEL_CONTROL'!$C$69</f>
        <v>655</v>
      </c>
      <c r="CG32" s="33">
        <f>'1_PANEL_CONTROL'!$C$69</f>
        <v>655</v>
      </c>
      <c r="CH32" s="33">
        <f>'1_PANEL_CONTROL'!$C$69</f>
        <v>655</v>
      </c>
      <c r="CI32" s="33">
        <f>'1_PANEL_CONTROL'!$C$69</f>
        <v>655</v>
      </c>
    </row>
    <row r="33" spans="1:87" ht="16.5">
      <c r="A33" s="6" t="s">
        <v>164</v>
      </c>
      <c r="B33" s="30" t="s">
        <v>465</v>
      </c>
      <c r="C33" s="17" t="s">
        <v>652</v>
      </c>
      <c r="D33" s="33">
        <f>'1_PANEL_CONTROL'!$C$70</f>
        <v>400.05</v>
      </c>
      <c r="E33" s="33">
        <f>'1_PANEL_CONTROL'!$C$70</f>
        <v>400.05</v>
      </c>
      <c r="F33" s="33">
        <f>'1_PANEL_CONTROL'!$C$70</f>
        <v>400.05</v>
      </c>
      <c r="G33" s="33">
        <f>'1_PANEL_CONTROL'!$C$70</f>
        <v>400.05</v>
      </c>
      <c r="H33" s="33">
        <f>'1_PANEL_CONTROL'!$C$70</f>
        <v>400.05</v>
      </c>
      <c r="I33" s="33">
        <f>'1_PANEL_CONTROL'!$C$70</f>
        <v>400.05</v>
      </c>
      <c r="J33" s="33">
        <f>'1_PANEL_CONTROL'!$C$70</f>
        <v>400.05</v>
      </c>
      <c r="K33" s="33">
        <f>'1_PANEL_CONTROL'!$C$70</f>
        <v>400.05</v>
      </c>
      <c r="L33" s="33">
        <f>'1_PANEL_CONTROL'!$C$70</f>
        <v>400.05</v>
      </c>
      <c r="M33" s="33">
        <f>'1_PANEL_CONTROL'!$C$70</f>
        <v>400.05</v>
      </c>
      <c r="N33" s="33">
        <f>'1_PANEL_CONTROL'!$C$70</f>
        <v>400.05</v>
      </c>
      <c r="O33" s="33">
        <f>'1_PANEL_CONTROL'!$C$70</f>
        <v>400.05</v>
      </c>
      <c r="P33" s="33">
        <f>'1_PANEL_CONTROL'!$C$70</f>
        <v>400.05</v>
      </c>
      <c r="Q33" s="33">
        <f>'1_PANEL_CONTROL'!$C$70</f>
        <v>400.05</v>
      </c>
      <c r="R33" s="33">
        <f>'1_PANEL_CONTROL'!$C$70</f>
        <v>400.05</v>
      </c>
      <c r="S33" s="33">
        <f>'1_PANEL_CONTROL'!$C$70</f>
        <v>400.05</v>
      </c>
      <c r="T33" s="33">
        <f>'1_PANEL_CONTROL'!$C$70</f>
        <v>400.05</v>
      </c>
      <c r="U33" s="33">
        <f>'1_PANEL_CONTROL'!$C$70</f>
        <v>400.05</v>
      </c>
      <c r="V33" s="33">
        <f>'1_PANEL_CONTROL'!$C$70</f>
        <v>400.05</v>
      </c>
      <c r="W33" s="33">
        <f>'1_PANEL_CONTROL'!$C$70</f>
        <v>400.05</v>
      </c>
      <c r="X33" s="33">
        <f>'1_PANEL_CONTROL'!$C$70</f>
        <v>400.05</v>
      </c>
      <c r="Y33" s="33">
        <f>'1_PANEL_CONTROL'!$C$70</f>
        <v>400.05</v>
      </c>
      <c r="Z33" s="33">
        <f>'1_PANEL_CONTROL'!$C$70</f>
        <v>400.05</v>
      </c>
      <c r="AA33" s="33">
        <f>'1_PANEL_CONTROL'!$C$70</f>
        <v>400.05</v>
      </c>
      <c r="AB33" s="33">
        <f>'1_PANEL_CONTROL'!$C$70</f>
        <v>400.05</v>
      </c>
      <c r="AC33" s="33">
        <f>'1_PANEL_CONTROL'!$C$70</f>
        <v>400.05</v>
      </c>
      <c r="AD33" s="33">
        <f>'1_PANEL_CONTROL'!$C$70</f>
        <v>400.05</v>
      </c>
      <c r="AE33" s="33">
        <f>'1_PANEL_CONTROL'!$C$70</f>
        <v>400.05</v>
      </c>
      <c r="AF33" s="33">
        <f>'1_PANEL_CONTROL'!$C$70</f>
        <v>400.05</v>
      </c>
      <c r="AG33" s="33">
        <f>'1_PANEL_CONTROL'!$C$70</f>
        <v>400.05</v>
      </c>
      <c r="AH33" s="33">
        <f>'1_PANEL_CONTROL'!$C$70</f>
        <v>400.05</v>
      </c>
      <c r="AI33" s="33">
        <f>'1_PANEL_CONTROL'!$C$70</f>
        <v>400.05</v>
      </c>
      <c r="AJ33" s="33">
        <f>'1_PANEL_CONTROL'!$C$70</f>
        <v>400.05</v>
      </c>
      <c r="AK33" s="33">
        <f>'1_PANEL_CONTROL'!$C$70</f>
        <v>400.05</v>
      </c>
      <c r="AL33" s="33">
        <f>'1_PANEL_CONTROL'!$C$70</f>
        <v>400.05</v>
      </c>
      <c r="AM33" s="33">
        <f>'1_PANEL_CONTROL'!$C$70</f>
        <v>400.05</v>
      </c>
      <c r="AN33" s="33">
        <f>'1_PANEL_CONTROL'!$C$70</f>
        <v>400.05</v>
      </c>
      <c r="AO33" s="33">
        <f>'1_PANEL_CONTROL'!$C$70</f>
        <v>400.05</v>
      </c>
      <c r="AP33" s="33">
        <f>'1_PANEL_CONTROL'!$C$70</f>
        <v>400.05</v>
      </c>
      <c r="AQ33" s="33">
        <f>'1_PANEL_CONTROL'!$C$70</f>
        <v>400.05</v>
      </c>
      <c r="AR33" s="33">
        <f>'1_PANEL_CONTROL'!$C$70</f>
        <v>400.05</v>
      </c>
      <c r="AS33" s="33">
        <f>'1_PANEL_CONTROL'!$C$70</f>
        <v>400.05</v>
      </c>
      <c r="AT33" s="33">
        <f>'1_PANEL_CONTROL'!$C$70</f>
        <v>400.05</v>
      </c>
      <c r="AU33" s="33">
        <f>'1_PANEL_CONTROL'!$C$70</f>
        <v>400.05</v>
      </c>
      <c r="AV33" s="33">
        <f>'1_PANEL_CONTROL'!$C$70</f>
        <v>400.05</v>
      </c>
      <c r="AW33" s="33">
        <f>'1_PANEL_CONTROL'!$C$70</f>
        <v>400.05</v>
      </c>
      <c r="AX33" s="33">
        <f>'1_PANEL_CONTROL'!$C$70</f>
        <v>400.05</v>
      </c>
      <c r="AY33" s="33">
        <f>'1_PANEL_CONTROL'!$C$70</f>
        <v>400.05</v>
      </c>
      <c r="AZ33" s="33">
        <f>'1_PANEL_CONTROL'!$C$70</f>
        <v>400.05</v>
      </c>
      <c r="BA33" s="33">
        <f>'1_PANEL_CONTROL'!$C$70</f>
        <v>400.05</v>
      </c>
      <c r="BB33" s="33">
        <f>'1_PANEL_CONTROL'!$C$70</f>
        <v>400.05</v>
      </c>
      <c r="BC33" s="33">
        <f>'1_PANEL_CONTROL'!$C$70</f>
        <v>400.05</v>
      </c>
      <c r="BD33" s="33">
        <f>'1_PANEL_CONTROL'!$C$70</f>
        <v>400.05</v>
      </c>
      <c r="BE33" s="33">
        <f>'1_PANEL_CONTROL'!$C$70</f>
        <v>400.05</v>
      </c>
      <c r="BF33" s="33">
        <f>'1_PANEL_CONTROL'!$C$70</f>
        <v>400.05</v>
      </c>
      <c r="BG33" s="33">
        <f>'1_PANEL_CONTROL'!$C$70</f>
        <v>400.05</v>
      </c>
      <c r="BH33" s="33">
        <f>'1_PANEL_CONTROL'!$C$70</f>
        <v>400.05</v>
      </c>
      <c r="BI33" s="33">
        <f>'1_PANEL_CONTROL'!$C$70</f>
        <v>400.05</v>
      </c>
      <c r="BJ33" s="33">
        <f>'1_PANEL_CONTROL'!$C$70</f>
        <v>400.05</v>
      </c>
      <c r="BK33" s="33">
        <f>'1_PANEL_CONTROL'!$C$70</f>
        <v>400.05</v>
      </c>
      <c r="BL33" s="33">
        <f>'1_PANEL_CONTROL'!$C$70</f>
        <v>400.05</v>
      </c>
      <c r="BM33" s="33">
        <f>'1_PANEL_CONTROL'!$C$70</f>
        <v>400.05</v>
      </c>
      <c r="BN33" s="33">
        <f>'1_PANEL_CONTROL'!$C$70</f>
        <v>400.05</v>
      </c>
      <c r="BO33" s="33">
        <f>'1_PANEL_CONTROL'!$C$70</f>
        <v>400.05</v>
      </c>
      <c r="BP33" s="33">
        <f>'1_PANEL_CONTROL'!$C$70</f>
        <v>400.05</v>
      </c>
      <c r="BQ33" s="33">
        <f>'1_PANEL_CONTROL'!$C$70</f>
        <v>400.05</v>
      </c>
      <c r="BR33" s="33">
        <f>'1_PANEL_CONTROL'!$C$70</f>
        <v>400.05</v>
      </c>
      <c r="BS33" s="33">
        <f>'1_PANEL_CONTROL'!$C$70</f>
        <v>400.05</v>
      </c>
      <c r="BT33" s="33">
        <f>'1_PANEL_CONTROL'!$C$70</f>
        <v>400.05</v>
      </c>
      <c r="BU33" s="33">
        <f>'1_PANEL_CONTROL'!$C$70</f>
        <v>400.05</v>
      </c>
      <c r="BV33" s="33">
        <f>'1_PANEL_CONTROL'!$C$70</f>
        <v>400.05</v>
      </c>
      <c r="BW33" s="33">
        <f>'1_PANEL_CONTROL'!$C$70</f>
        <v>400.05</v>
      </c>
      <c r="BX33" s="33">
        <f>'1_PANEL_CONTROL'!$C$70</f>
        <v>400.05</v>
      </c>
      <c r="BY33" s="33">
        <f>'1_PANEL_CONTROL'!$C$70</f>
        <v>400.05</v>
      </c>
      <c r="BZ33" s="33">
        <f>'1_PANEL_CONTROL'!$C$70</f>
        <v>400.05</v>
      </c>
      <c r="CA33" s="33">
        <f>'1_PANEL_CONTROL'!$C$70</f>
        <v>400.05</v>
      </c>
      <c r="CB33" s="33">
        <f>'1_PANEL_CONTROL'!$C$70</f>
        <v>400.05</v>
      </c>
      <c r="CC33" s="33">
        <f>'1_PANEL_CONTROL'!$C$70</f>
        <v>400.05</v>
      </c>
      <c r="CD33" s="33">
        <f>'1_PANEL_CONTROL'!$C$70</f>
        <v>400.05</v>
      </c>
      <c r="CE33" s="33">
        <f>'1_PANEL_CONTROL'!$C$70</f>
        <v>400.05</v>
      </c>
      <c r="CF33" s="33">
        <f>'1_PANEL_CONTROL'!$C$70</f>
        <v>400.05</v>
      </c>
      <c r="CG33" s="33">
        <f>'1_PANEL_CONTROL'!$C$70</f>
        <v>400.05</v>
      </c>
      <c r="CH33" s="33">
        <f>'1_PANEL_CONTROL'!$C$70</f>
        <v>400.05</v>
      </c>
      <c r="CI33" s="33">
        <f>'1_PANEL_CONTROL'!$C$70</f>
        <v>400.05</v>
      </c>
    </row>
    <row r="34" spans="1:87" ht="16.5">
      <c r="A34" s="6" t="s">
        <v>653</v>
      </c>
      <c r="B34" s="30" t="s">
        <v>465</v>
      </c>
      <c r="C34" s="17" t="s">
        <v>654</v>
      </c>
      <c r="D34" s="33">
        <f>'1_PANEL_CONTROL'!$C$71</f>
        <v>1028</v>
      </c>
      <c r="E34" s="33">
        <f>'1_PANEL_CONTROL'!$C$71</f>
        <v>1028</v>
      </c>
      <c r="F34" s="33">
        <f>'1_PANEL_CONTROL'!$C$71</f>
        <v>1028</v>
      </c>
      <c r="G34" s="33">
        <f>'1_PANEL_CONTROL'!$C$71</f>
        <v>1028</v>
      </c>
      <c r="H34" s="33">
        <f>'1_PANEL_CONTROL'!$C$71</f>
        <v>1028</v>
      </c>
      <c r="I34" s="33">
        <f>'1_PANEL_CONTROL'!$C$71</f>
        <v>1028</v>
      </c>
      <c r="J34" s="33">
        <f>'1_PANEL_CONTROL'!$C$71</f>
        <v>1028</v>
      </c>
      <c r="K34" s="33">
        <f>'1_PANEL_CONTROL'!$C$71</f>
        <v>1028</v>
      </c>
      <c r="L34" s="33">
        <f>'1_PANEL_CONTROL'!$C$71</f>
        <v>1028</v>
      </c>
      <c r="M34" s="33">
        <f>'1_PANEL_CONTROL'!$C$71</f>
        <v>1028</v>
      </c>
      <c r="N34" s="33">
        <f>'1_PANEL_CONTROL'!$C$71</f>
        <v>1028</v>
      </c>
      <c r="O34" s="33">
        <f>'1_PANEL_CONTROL'!$C$71</f>
        <v>1028</v>
      </c>
      <c r="P34" s="33">
        <f>'1_PANEL_CONTROL'!$C$71</f>
        <v>1028</v>
      </c>
      <c r="Q34" s="33">
        <f>'1_PANEL_CONTROL'!$C$71</f>
        <v>1028</v>
      </c>
      <c r="R34" s="33">
        <f>'1_PANEL_CONTROL'!$C$71</f>
        <v>1028</v>
      </c>
      <c r="S34" s="33">
        <f>'1_PANEL_CONTROL'!$C$71</f>
        <v>1028</v>
      </c>
      <c r="T34" s="33">
        <f>'1_PANEL_CONTROL'!$C$71</f>
        <v>1028</v>
      </c>
      <c r="U34" s="33">
        <f>'1_PANEL_CONTROL'!$C$71</f>
        <v>1028</v>
      </c>
      <c r="V34" s="33">
        <f>'1_PANEL_CONTROL'!$C$71</f>
        <v>1028</v>
      </c>
      <c r="W34" s="33">
        <f>'1_PANEL_CONTROL'!$C$71</f>
        <v>1028</v>
      </c>
      <c r="X34" s="33">
        <f>'1_PANEL_CONTROL'!$C$71</f>
        <v>1028</v>
      </c>
      <c r="Y34" s="33">
        <f>'1_PANEL_CONTROL'!$C$71</f>
        <v>1028</v>
      </c>
      <c r="Z34" s="33">
        <f>'1_PANEL_CONTROL'!$C$71</f>
        <v>1028</v>
      </c>
      <c r="AA34" s="33">
        <f>'1_PANEL_CONTROL'!$C$71</f>
        <v>1028</v>
      </c>
      <c r="AB34" s="33">
        <f>'1_PANEL_CONTROL'!$C$71</f>
        <v>1028</v>
      </c>
      <c r="AC34" s="33">
        <f>'1_PANEL_CONTROL'!$C$71</f>
        <v>1028</v>
      </c>
      <c r="AD34" s="33">
        <f>'1_PANEL_CONTROL'!$C$71</f>
        <v>1028</v>
      </c>
      <c r="AE34" s="33">
        <f>'1_PANEL_CONTROL'!$C$71</f>
        <v>1028</v>
      </c>
      <c r="AF34" s="33">
        <f>'1_PANEL_CONTROL'!$C$71</f>
        <v>1028</v>
      </c>
      <c r="AG34" s="33">
        <f>'1_PANEL_CONTROL'!$C$71</f>
        <v>1028</v>
      </c>
      <c r="AH34" s="33">
        <f>'1_PANEL_CONTROL'!$C$71</f>
        <v>1028</v>
      </c>
      <c r="AI34" s="33">
        <f>'1_PANEL_CONTROL'!$C$71</f>
        <v>1028</v>
      </c>
      <c r="AJ34" s="33">
        <f>'1_PANEL_CONTROL'!$C$71</f>
        <v>1028</v>
      </c>
      <c r="AK34" s="33">
        <f>'1_PANEL_CONTROL'!$C$71</f>
        <v>1028</v>
      </c>
      <c r="AL34" s="33">
        <f>'1_PANEL_CONTROL'!$C$71</f>
        <v>1028</v>
      </c>
      <c r="AM34" s="33">
        <f>'1_PANEL_CONTROL'!$C$71</f>
        <v>1028</v>
      </c>
      <c r="AN34" s="33">
        <f>'1_PANEL_CONTROL'!$C$71</f>
        <v>1028</v>
      </c>
      <c r="AO34" s="33">
        <f>'1_PANEL_CONTROL'!$C$71</f>
        <v>1028</v>
      </c>
      <c r="AP34" s="33">
        <f>'1_PANEL_CONTROL'!$C$71</f>
        <v>1028</v>
      </c>
      <c r="AQ34" s="33">
        <f>'1_PANEL_CONTROL'!$C$71</f>
        <v>1028</v>
      </c>
      <c r="AR34" s="33">
        <f>'1_PANEL_CONTROL'!$C$71</f>
        <v>1028</v>
      </c>
      <c r="AS34" s="33">
        <f>'1_PANEL_CONTROL'!$C$71</f>
        <v>1028</v>
      </c>
      <c r="AT34" s="33">
        <f>'1_PANEL_CONTROL'!$C$71</f>
        <v>1028</v>
      </c>
      <c r="AU34" s="33">
        <f>'1_PANEL_CONTROL'!$C$71</f>
        <v>1028</v>
      </c>
      <c r="AV34" s="33">
        <f>'1_PANEL_CONTROL'!$C$71</f>
        <v>1028</v>
      </c>
      <c r="AW34" s="33">
        <f>'1_PANEL_CONTROL'!$C$71</f>
        <v>1028</v>
      </c>
      <c r="AX34" s="33">
        <f>'1_PANEL_CONTROL'!$C$71</f>
        <v>1028</v>
      </c>
      <c r="AY34" s="33">
        <f>'1_PANEL_CONTROL'!$C$71</f>
        <v>1028</v>
      </c>
      <c r="AZ34" s="33">
        <f>'1_PANEL_CONTROL'!$C$71</f>
        <v>1028</v>
      </c>
      <c r="BA34" s="33">
        <f>'1_PANEL_CONTROL'!$C$71</f>
        <v>1028</v>
      </c>
      <c r="BB34" s="33">
        <f>'1_PANEL_CONTROL'!$C$71</f>
        <v>1028</v>
      </c>
      <c r="BC34" s="33">
        <f>'1_PANEL_CONTROL'!$C$71</f>
        <v>1028</v>
      </c>
      <c r="BD34" s="33">
        <f>'1_PANEL_CONTROL'!$C$71</f>
        <v>1028</v>
      </c>
      <c r="BE34" s="33">
        <f>'1_PANEL_CONTROL'!$C$71</f>
        <v>1028</v>
      </c>
      <c r="BF34" s="33">
        <f>'1_PANEL_CONTROL'!$C$71</f>
        <v>1028</v>
      </c>
      <c r="BG34" s="33">
        <f>'1_PANEL_CONTROL'!$C$71</f>
        <v>1028</v>
      </c>
      <c r="BH34" s="33">
        <f>'1_PANEL_CONTROL'!$C$71</f>
        <v>1028</v>
      </c>
      <c r="BI34" s="33">
        <f>'1_PANEL_CONTROL'!$C$71</f>
        <v>1028</v>
      </c>
      <c r="BJ34" s="33">
        <f>'1_PANEL_CONTROL'!$C$71</f>
        <v>1028</v>
      </c>
      <c r="BK34" s="33">
        <f>'1_PANEL_CONTROL'!$C$71</f>
        <v>1028</v>
      </c>
      <c r="BL34" s="33">
        <f>'1_PANEL_CONTROL'!$C$71</f>
        <v>1028</v>
      </c>
      <c r="BM34" s="33">
        <f>'1_PANEL_CONTROL'!$C$71</f>
        <v>1028</v>
      </c>
      <c r="BN34" s="33">
        <f>'1_PANEL_CONTROL'!$C$71</f>
        <v>1028</v>
      </c>
      <c r="BO34" s="33">
        <f>'1_PANEL_CONTROL'!$C$71</f>
        <v>1028</v>
      </c>
      <c r="BP34" s="33">
        <f>'1_PANEL_CONTROL'!$C$71</f>
        <v>1028</v>
      </c>
      <c r="BQ34" s="33">
        <f>'1_PANEL_CONTROL'!$C$71</f>
        <v>1028</v>
      </c>
      <c r="BR34" s="33">
        <f>'1_PANEL_CONTROL'!$C$71</f>
        <v>1028</v>
      </c>
      <c r="BS34" s="33">
        <f>'1_PANEL_CONTROL'!$C$71</f>
        <v>1028</v>
      </c>
      <c r="BT34" s="33">
        <f>'1_PANEL_CONTROL'!$C$71</f>
        <v>1028</v>
      </c>
      <c r="BU34" s="33">
        <f>'1_PANEL_CONTROL'!$C$71</f>
        <v>1028</v>
      </c>
      <c r="BV34" s="33">
        <f>'1_PANEL_CONTROL'!$C$71</f>
        <v>1028</v>
      </c>
      <c r="BW34" s="33">
        <f>'1_PANEL_CONTROL'!$C$71</f>
        <v>1028</v>
      </c>
      <c r="BX34" s="33">
        <f>'1_PANEL_CONTROL'!$C$71</f>
        <v>1028</v>
      </c>
      <c r="BY34" s="33">
        <f>'1_PANEL_CONTROL'!$C$71</f>
        <v>1028</v>
      </c>
      <c r="BZ34" s="33">
        <f>'1_PANEL_CONTROL'!$C$71</f>
        <v>1028</v>
      </c>
      <c r="CA34" s="33">
        <f>'1_PANEL_CONTROL'!$C$71</f>
        <v>1028</v>
      </c>
      <c r="CB34" s="33">
        <f>'1_PANEL_CONTROL'!$C$71</f>
        <v>1028</v>
      </c>
      <c r="CC34" s="33">
        <f>'1_PANEL_CONTROL'!$C$71</f>
        <v>1028</v>
      </c>
      <c r="CD34" s="33">
        <f>'1_PANEL_CONTROL'!$C$71</f>
        <v>1028</v>
      </c>
      <c r="CE34" s="33">
        <f>'1_PANEL_CONTROL'!$C$71</f>
        <v>1028</v>
      </c>
      <c r="CF34" s="33">
        <f>'1_PANEL_CONTROL'!$C$71</f>
        <v>1028</v>
      </c>
      <c r="CG34" s="33">
        <f>'1_PANEL_CONTROL'!$C$71</f>
        <v>1028</v>
      </c>
      <c r="CH34" s="33">
        <f>'1_PANEL_CONTROL'!$C$71</f>
        <v>1028</v>
      </c>
      <c r="CI34" s="33">
        <f>'1_PANEL_CONTROL'!$C$71</f>
        <v>1028</v>
      </c>
    </row>
    <row r="35" spans="1:87" ht="16.5">
      <c r="A35" s="6" t="s">
        <v>655</v>
      </c>
      <c r="B35" s="30" t="s">
        <v>465</v>
      </c>
      <c r="C35" s="17" t="s">
        <v>656</v>
      </c>
      <c r="D35" s="33">
        <f>'1_PANEL_CONTROL'!$C$72</f>
        <v>539.96</v>
      </c>
      <c r="E35" s="33">
        <f>'1_PANEL_CONTROL'!$C$72</f>
        <v>539.96</v>
      </c>
      <c r="F35" s="33">
        <f>'1_PANEL_CONTROL'!$C$72</f>
        <v>539.96</v>
      </c>
      <c r="G35" s="33">
        <f>'1_PANEL_CONTROL'!$C$72</f>
        <v>539.96</v>
      </c>
      <c r="H35" s="33">
        <f>'1_PANEL_CONTROL'!$C$72</f>
        <v>539.96</v>
      </c>
      <c r="I35" s="33">
        <f>'1_PANEL_CONTROL'!$C$72</f>
        <v>539.96</v>
      </c>
      <c r="J35" s="33">
        <f>'1_PANEL_CONTROL'!$C$72</f>
        <v>539.96</v>
      </c>
      <c r="K35" s="33">
        <f>'1_PANEL_CONTROL'!$C$72</f>
        <v>539.96</v>
      </c>
      <c r="L35" s="33">
        <f>'1_PANEL_CONTROL'!$C$72</f>
        <v>539.96</v>
      </c>
      <c r="M35" s="33">
        <f>'1_PANEL_CONTROL'!$C$72</f>
        <v>539.96</v>
      </c>
      <c r="N35" s="33">
        <f>'1_PANEL_CONTROL'!$C$72</f>
        <v>539.96</v>
      </c>
      <c r="O35" s="33">
        <f>'1_PANEL_CONTROL'!$C$72</f>
        <v>539.96</v>
      </c>
      <c r="P35" s="33">
        <f>'1_PANEL_CONTROL'!$C$72</f>
        <v>539.96</v>
      </c>
      <c r="Q35" s="33">
        <f>'1_PANEL_CONTROL'!$C$72</f>
        <v>539.96</v>
      </c>
      <c r="R35" s="33">
        <f>'1_PANEL_CONTROL'!$C$72</f>
        <v>539.96</v>
      </c>
      <c r="S35" s="33">
        <f>'1_PANEL_CONTROL'!$C$72</f>
        <v>539.96</v>
      </c>
      <c r="T35" s="33">
        <f>'1_PANEL_CONTROL'!$C$72</f>
        <v>539.96</v>
      </c>
      <c r="U35" s="33">
        <f>'1_PANEL_CONTROL'!$C$72</f>
        <v>539.96</v>
      </c>
      <c r="V35" s="33">
        <f>'1_PANEL_CONTROL'!$C$72</f>
        <v>539.96</v>
      </c>
      <c r="W35" s="33">
        <f>'1_PANEL_CONTROL'!$C$72</f>
        <v>539.96</v>
      </c>
      <c r="X35" s="33">
        <f>'1_PANEL_CONTROL'!$C$72</f>
        <v>539.96</v>
      </c>
      <c r="Y35" s="33">
        <f>'1_PANEL_CONTROL'!$C$72</f>
        <v>539.96</v>
      </c>
      <c r="Z35" s="33">
        <f>'1_PANEL_CONTROL'!$C$72</f>
        <v>539.96</v>
      </c>
      <c r="AA35" s="33">
        <f>'1_PANEL_CONTROL'!$C$72</f>
        <v>539.96</v>
      </c>
      <c r="AB35" s="33">
        <f>'1_PANEL_CONTROL'!$C$72</f>
        <v>539.96</v>
      </c>
      <c r="AC35" s="33">
        <f>'1_PANEL_CONTROL'!$C$72</f>
        <v>539.96</v>
      </c>
      <c r="AD35" s="33">
        <f>'1_PANEL_CONTROL'!$C$72</f>
        <v>539.96</v>
      </c>
      <c r="AE35" s="33">
        <f>'1_PANEL_CONTROL'!$C$72</f>
        <v>539.96</v>
      </c>
      <c r="AF35" s="33">
        <f>'1_PANEL_CONTROL'!$C$72</f>
        <v>539.96</v>
      </c>
      <c r="AG35" s="33">
        <f>'1_PANEL_CONTROL'!$C$72</f>
        <v>539.96</v>
      </c>
      <c r="AH35" s="33">
        <f>'1_PANEL_CONTROL'!$C$72</f>
        <v>539.96</v>
      </c>
      <c r="AI35" s="33">
        <f>'1_PANEL_CONTROL'!$C$72</f>
        <v>539.96</v>
      </c>
      <c r="AJ35" s="33">
        <f>'1_PANEL_CONTROL'!$C$72</f>
        <v>539.96</v>
      </c>
      <c r="AK35" s="33">
        <f>'1_PANEL_CONTROL'!$C$72</f>
        <v>539.96</v>
      </c>
      <c r="AL35" s="33">
        <f>'1_PANEL_CONTROL'!$C$72</f>
        <v>539.96</v>
      </c>
      <c r="AM35" s="33">
        <f>'1_PANEL_CONTROL'!$C$72</f>
        <v>539.96</v>
      </c>
      <c r="AN35" s="33">
        <f>'1_PANEL_CONTROL'!$C$72</f>
        <v>539.96</v>
      </c>
      <c r="AO35" s="33">
        <f>'1_PANEL_CONTROL'!$C$72</f>
        <v>539.96</v>
      </c>
      <c r="AP35" s="33">
        <f>'1_PANEL_CONTROL'!$C$72</f>
        <v>539.96</v>
      </c>
      <c r="AQ35" s="33">
        <f>'1_PANEL_CONTROL'!$C$72</f>
        <v>539.96</v>
      </c>
      <c r="AR35" s="33">
        <f>'1_PANEL_CONTROL'!$C$72</f>
        <v>539.96</v>
      </c>
      <c r="AS35" s="33">
        <f>'1_PANEL_CONTROL'!$C$72</f>
        <v>539.96</v>
      </c>
      <c r="AT35" s="33">
        <f>'1_PANEL_CONTROL'!$C$72</f>
        <v>539.96</v>
      </c>
      <c r="AU35" s="33">
        <f>'1_PANEL_CONTROL'!$C$72</f>
        <v>539.96</v>
      </c>
      <c r="AV35" s="33">
        <f>'1_PANEL_CONTROL'!$C$72</f>
        <v>539.96</v>
      </c>
      <c r="AW35" s="33">
        <f>'1_PANEL_CONTROL'!$C$72</f>
        <v>539.96</v>
      </c>
      <c r="AX35" s="33">
        <f>'1_PANEL_CONTROL'!$C$72</f>
        <v>539.96</v>
      </c>
      <c r="AY35" s="33">
        <f>'1_PANEL_CONTROL'!$C$72</f>
        <v>539.96</v>
      </c>
      <c r="AZ35" s="33">
        <f>'1_PANEL_CONTROL'!$C$72</f>
        <v>539.96</v>
      </c>
      <c r="BA35" s="33">
        <f>'1_PANEL_CONTROL'!$C$72</f>
        <v>539.96</v>
      </c>
      <c r="BB35" s="33">
        <f>'1_PANEL_CONTROL'!$C$72</f>
        <v>539.96</v>
      </c>
      <c r="BC35" s="33">
        <f>'1_PANEL_CONTROL'!$C$72</f>
        <v>539.96</v>
      </c>
      <c r="BD35" s="33">
        <f>'1_PANEL_CONTROL'!$C$72</f>
        <v>539.96</v>
      </c>
      <c r="BE35" s="33">
        <f>'1_PANEL_CONTROL'!$C$72</f>
        <v>539.96</v>
      </c>
      <c r="BF35" s="33">
        <f>'1_PANEL_CONTROL'!$C$72</f>
        <v>539.96</v>
      </c>
      <c r="BG35" s="33">
        <f>'1_PANEL_CONTROL'!$C$72</f>
        <v>539.96</v>
      </c>
      <c r="BH35" s="33">
        <f>'1_PANEL_CONTROL'!$C$72</f>
        <v>539.96</v>
      </c>
      <c r="BI35" s="33">
        <f>'1_PANEL_CONTROL'!$C$72</f>
        <v>539.96</v>
      </c>
      <c r="BJ35" s="33">
        <f>'1_PANEL_CONTROL'!$C$72</f>
        <v>539.96</v>
      </c>
      <c r="BK35" s="33">
        <f>'1_PANEL_CONTROL'!$C$72</f>
        <v>539.96</v>
      </c>
      <c r="BL35" s="33">
        <f>'1_PANEL_CONTROL'!$C$72</f>
        <v>539.96</v>
      </c>
      <c r="BM35" s="33">
        <f>'1_PANEL_CONTROL'!$C$72</f>
        <v>539.96</v>
      </c>
      <c r="BN35" s="33">
        <f>'1_PANEL_CONTROL'!$C$72</f>
        <v>539.96</v>
      </c>
      <c r="BO35" s="33">
        <f>'1_PANEL_CONTROL'!$C$72</f>
        <v>539.96</v>
      </c>
      <c r="BP35" s="33">
        <f>'1_PANEL_CONTROL'!$C$72</f>
        <v>539.96</v>
      </c>
      <c r="BQ35" s="33">
        <f>'1_PANEL_CONTROL'!$C$72</f>
        <v>539.96</v>
      </c>
      <c r="BR35" s="33">
        <f>'1_PANEL_CONTROL'!$C$72</f>
        <v>539.96</v>
      </c>
      <c r="BS35" s="33">
        <f>'1_PANEL_CONTROL'!$C$72</f>
        <v>539.96</v>
      </c>
      <c r="BT35" s="33">
        <f>'1_PANEL_CONTROL'!$C$72</f>
        <v>539.96</v>
      </c>
      <c r="BU35" s="33">
        <f>'1_PANEL_CONTROL'!$C$72</f>
        <v>539.96</v>
      </c>
      <c r="BV35" s="33">
        <f>'1_PANEL_CONTROL'!$C$72</f>
        <v>539.96</v>
      </c>
      <c r="BW35" s="33">
        <f>'1_PANEL_CONTROL'!$C$72</f>
        <v>539.96</v>
      </c>
      <c r="BX35" s="33">
        <f>'1_PANEL_CONTROL'!$C$72</f>
        <v>539.96</v>
      </c>
      <c r="BY35" s="33">
        <f>'1_PANEL_CONTROL'!$C$72</f>
        <v>539.96</v>
      </c>
      <c r="BZ35" s="33">
        <f>'1_PANEL_CONTROL'!$C$72</f>
        <v>539.96</v>
      </c>
      <c r="CA35" s="33">
        <f>'1_PANEL_CONTROL'!$C$72</f>
        <v>539.96</v>
      </c>
      <c r="CB35" s="33">
        <f>'1_PANEL_CONTROL'!$C$72</f>
        <v>539.96</v>
      </c>
      <c r="CC35" s="33">
        <f>'1_PANEL_CONTROL'!$C$72</f>
        <v>539.96</v>
      </c>
      <c r="CD35" s="33">
        <f>'1_PANEL_CONTROL'!$C$72</f>
        <v>539.96</v>
      </c>
      <c r="CE35" s="33">
        <f>'1_PANEL_CONTROL'!$C$72</f>
        <v>539.96</v>
      </c>
      <c r="CF35" s="33">
        <f>'1_PANEL_CONTROL'!$C$72</f>
        <v>539.96</v>
      </c>
      <c r="CG35" s="33">
        <f>'1_PANEL_CONTROL'!$C$72</f>
        <v>539.96</v>
      </c>
      <c r="CH35" s="33">
        <f>'1_PANEL_CONTROL'!$C$72</f>
        <v>539.96</v>
      </c>
      <c r="CI35" s="33">
        <f>'1_PANEL_CONTROL'!$C$72</f>
        <v>539.96</v>
      </c>
    </row>
    <row r="36" spans="1:87" ht="16.5">
      <c r="A36" s="6" t="s">
        <v>657</v>
      </c>
      <c r="B36" s="30" t="s">
        <v>465</v>
      </c>
      <c r="C36" s="17" t="s">
        <v>658</v>
      </c>
      <c r="D36" s="33">
        <f>'1_PANEL_CONTROL'!$C$73</f>
        <v>150</v>
      </c>
      <c r="E36" s="33">
        <f>'1_PANEL_CONTROL'!$C$73</f>
        <v>150</v>
      </c>
      <c r="F36" s="33">
        <f>'1_PANEL_CONTROL'!$C$73</f>
        <v>150</v>
      </c>
      <c r="G36" s="33">
        <f>'1_PANEL_CONTROL'!$C$73</f>
        <v>150</v>
      </c>
      <c r="H36" s="33">
        <f>'1_PANEL_CONTROL'!$C$73</f>
        <v>150</v>
      </c>
      <c r="I36" s="33">
        <f>'1_PANEL_CONTROL'!$C$73</f>
        <v>150</v>
      </c>
      <c r="J36" s="33">
        <f>'1_PANEL_CONTROL'!$C$73</f>
        <v>150</v>
      </c>
      <c r="K36" s="33">
        <f>'1_PANEL_CONTROL'!$C$73</f>
        <v>150</v>
      </c>
      <c r="L36" s="33">
        <f>'1_PANEL_CONTROL'!$C$73</f>
        <v>150</v>
      </c>
      <c r="M36" s="33">
        <f>'1_PANEL_CONTROL'!$C$73</f>
        <v>150</v>
      </c>
      <c r="N36" s="33">
        <f>'1_PANEL_CONTROL'!$C$73</f>
        <v>150</v>
      </c>
      <c r="O36" s="33">
        <f>'1_PANEL_CONTROL'!$C$73</f>
        <v>150</v>
      </c>
      <c r="P36" s="33">
        <f>'1_PANEL_CONTROL'!$C$73</f>
        <v>150</v>
      </c>
      <c r="Q36" s="33">
        <f>'1_PANEL_CONTROL'!$C$73</f>
        <v>150</v>
      </c>
      <c r="R36" s="33">
        <f>'1_PANEL_CONTROL'!$C$73</f>
        <v>150</v>
      </c>
      <c r="S36" s="33">
        <f>'1_PANEL_CONTROL'!$C$73</f>
        <v>150</v>
      </c>
      <c r="T36" s="33">
        <f>'1_PANEL_CONTROL'!$C$73</f>
        <v>150</v>
      </c>
      <c r="U36" s="33">
        <f>'1_PANEL_CONTROL'!$C$73</f>
        <v>150</v>
      </c>
      <c r="V36" s="33">
        <f>'1_PANEL_CONTROL'!$C$73</f>
        <v>150</v>
      </c>
      <c r="W36" s="33">
        <f>'1_PANEL_CONTROL'!$C$73</f>
        <v>150</v>
      </c>
      <c r="X36" s="33">
        <f>'1_PANEL_CONTROL'!$C$73</f>
        <v>150</v>
      </c>
      <c r="Y36" s="33">
        <f>'1_PANEL_CONTROL'!$C$73</f>
        <v>150</v>
      </c>
      <c r="Z36" s="33">
        <f>'1_PANEL_CONTROL'!$C$73</f>
        <v>150</v>
      </c>
      <c r="AA36" s="33">
        <f>'1_PANEL_CONTROL'!$C$73</f>
        <v>150</v>
      </c>
      <c r="AB36" s="33">
        <f>'1_PANEL_CONTROL'!$C$73</f>
        <v>150</v>
      </c>
      <c r="AC36" s="33">
        <f>'1_PANEL_CONTROL'!$C$73</f>
        <v>150</v>
      </c>
      <c r="AD36" s="33">
        <f>'1_PANEL_CONTROL'!$C$73</f>
        <v>150</v>
      </c>
      <c r="AE36" s="33">
        <f>'1_PANEL_CONTROL'!$C$73</f>
        <v>150</v>
      </c>
      <c r="AF36" s="33">
        <f>'1_PANEL_CONTROL'!$C$73</f>
        <v>150</v>
      </c>
      <c r="AG36" s="33">
        <f>'1_PANEL_CONTROL'!$C$73</f>
        <v>150</v>
      </c>
      <c r="AH36" s="33">
        <f>'1_PANEL_CONTROL'!$C$73</f>
        <v>150</v>
      </c>
      <c r="AI36" s="33">
        <f>'1_PANEL_CONTROL'!$C$73</f>
        <v>150</v>
      </c>
      <c r="AJ36" s="33">
        <f>'1_PANEL_CONTROL'!$C$73</f>
        <v>150</v>
      </c>
      <c r="AK36" s="33">
        <f>'1_PANEL_CONTROL'!$C$73</f>
        <v>150</v>
      </c>
      <c r="AL36" s="33">
        <f>'1_PANEL_CONTROL'!$C$73</f>
        <v>150</v>
      </c>
      <c r="AM36" s="33">
        <f>'1_PANEL_CONTROL'!$C$73</f>
        <v>150</v>
      </c>
      <c r="AN36" s="33">
        <f>'1_PANEL_CONTROL'!$C$73</f>
        <v>150</v>
      </c>
      <c r="AO36" s="33">
        <f>'1_PANEL_CONTROL'!$C$73</f>
        <v>150</v>
      </c>
      <c r="AP36" s="33">
        <f>'1_PANEL_CONTROL'!$C$73</f>
        <v>150</v>
      </c>
      <c r="AQ36" s="33">
        <f>'1_PANEL_CONTROL'!$C$73</f>
        <v>150</v>
      </c>
      <c r="AR36" s="33">
        <f>'1_PANEL_CONTROL'!$C$73</f>
        <v>150</v>
      </c>
      <c r="AS36" s="33">
        <f>'1_PANEL_CONTROL'!$C$73</f>
        <v>150</v>
      </c>
      <c r="AT36" s="33">
        <f>'1_PANEL_CONTROL'!$C$73</f>
        <v>150</v>
      </c>
      <c r="AU36" s="33">
        <f>'1_PANEL_CONTROL'!$C$73</f>
        <v>150</v>
      </c>
      <c r="AV36" s="33">
        <f>'1_PANEL_CONTROL'!$C$73</f>
        <v>150</v>
      </c>
      <c r="AW36" s="33">
        <f>'1_PANEL_CONTROL'!$C$73</f>
        <v>150</v>
      </c>
      <c r="AX36" s="33">
        <f>'1_PANEL_CONTROL'!$C$73</f>
        <v>150</v>
      </c>
      <c r="AY36" s="33">
        <f>'1_PANEL_CONTROL'!$C$73</f>
        <v>150</v>
      </c>
      <c r="AZ36" s="33">
        <f>'1_PANEL_CONTROL'!$C$73</f>
        <v>150</v>
      </c>
      <c r="BA36" s="33">
        <f>'1_PANEL_CONTROL'!$C$73</f>
        <v>150</v>
      </c>
      <c r="BB36" s="33">
        <f>'1_PANEL_CONTROL'!$C$73</f>
        <v>150</v>
      </c>
      <c r="BC36" s="33">
        <f>'1_PANEL_CONTROL'!$C$73</f>
        <v>150</v>
      </c>
      <c r="BD36" s="33">
        <f>'1_PANEL_CONTROL'!$C$73</f>
        <v>150</v>
      </c>
      <c r="BE36" s="33">
        <f>'1_PANEL_CONTROL'!$C$73</f>
        <v>150</v>
      </c>
      <c r="BF36" s="33">
        <f>'1_PANEL_CONTROL'!$C$73</f>
        <v>150</v>
      </c>
      <c r="BG36" s="33">
        <f>'1_PANEL_CONTROL'!$C$73</f>
        <v>150</v>
      </c>
      <c r="BH36" s="33">
        <f>'1_PANEL_CONTROL'!$C$73</f>
        <v>150</v>
      </c>
      <c r="BI36" s="33">
        <f>'1_PANEL_CONTROL'!$C$73</f>
        <v>150</v>
      </c>
      <c r="BJ36" s="33">
        <f>'1_PANEL_CONTROL'!$C$73</f>
        <v>150</v>
      </c>
      <c r="BK36" s="33">
        <f>'1_PANEL_CONTROL'!$C$73</f>
        <v>150</v>
      </c>
      <c r="BL36" s="33">
        <f>'1_PANEL_CONTROL'!$C$73</f>
        <v>150</v>
      </c>
      <c r="BM36" s="33">
        <f>'1_PANEL_CONTROL'!$C$73</f>
        <v>150</v>
      </c>
      <c r="BN36" s="33">
        <f>'1_PANEL_CONTROL'!$C$73</f>
        <v>150</v>
      </c>
      <c r="BO36" s="33">
        <f>'1_PANEL_CONTROL'!$C$73</f>
        <v>150</v>
      </c>
      <c r="BP36" s="33">
        <f>'1_PANEL_CONTROL'!$C$73</f>
        <v>150</v>
      </c>
      <c r="BQ36" s="33">
        <f>'1_PANEL_CONTROL'!$C$73</f>
        <v>150</v>
      </c>
      <c r="BR36" s="33">
        <f>'1_PANEL_CONTROL'!$C$73</f>
        <v>150</v>
      </c>
      <c r="BS36" s="33">
        <f>'1_PANEL_CONTROL'!$C$73</f>
        <v>150</v>
      </c>
      <c r="BT36" s="33">
        <f>'1_PANEL_CONTROL'!$C$73</f>
        <v>150</v>
      </c>
      <c r="BU36" s="33">
        <f>'1_PANEL_CONTROL'!$C$73</f>
        <v>150</v>
      </c>
      <c r="BV36" s="33">
        <f>'1_PANEL_CONTROL'!$C$73</f>
        <v>150</v>
      </c>
      <c r="BW36" s="33">
        <f>'1_PANEL_CONTROL'!$C$73</f>
        <v>150</v>
      </c>
      <c r="BX36" s="33">
        <f>'1_PANEL_CONTROL'!$C$73</f>
        <v>150</v>
      </c>
      <c r="BY36" s="33">
        <f>'1_PANEL_CONTROL'!$C$73</f>
        <v>150</v>
      </c>
      <c r="BZ36" s="33">
        <f>'1_PANEL_CONTROL'!$C$73</f>
        <v>150</v>
      </c>
      <c r="CA36" s="33">
        <f>'1_PANEL_CONTROL'!$C$73</f>
        <v>150</v>
      </c>
      <c r="CB36" s="33">
        <f>'1_PANEL_CONTROL'!$C$73</f>
        <v>150</v>
      </c>
      <c r="CC36" s="33">
        <f>'1_PANEL_CONTROL'!$C$73</f>
        <v>150</v>
      </c>
      <c r="CD36" s="33">
        <f>'1_PANEL_CONTROL'!$C$73</f>
        <v>150</v>
      </c>
      <c r="CE36" s="33">
        <f>'1_PANEL_CONTROL'!$C$73</f>
        <v>150</v>
      </c>
      <c r="CF36" s="33">
        <f>'1_PANEL_CONTROL'!$C$73</f>
        <v>150</v>
      </c>
      <c r="CG36" s="33">
        <f>'1_PANEL_CONTROL'!$C$73</f>
        <v>150</v>
      </c>
      <c r="CH36" s="33">
        <f>'1_PANEL_CONTROL'!$C$73</f>
        <v>150</v>
      </c>
      <c r="CI36" s="33">
        <f>'1_PANEL_CONTROL'!$C$73</f>
        <v>150</v>
      </c>
    </row>
    <row r="37" spans="1:87" ht="16.5">
      <c r="A37" s="6" t="s">
        <v>659</v>
      </c>
      <c r="B37" s="30" t="s">
        <v>465</v>
      </c>
      <c r="C37" s="17" t="s">
        <v>660</v>
      </c>
      <c r="D37" s="33">
        <f>'1_PANEL_CONTROL'!$C$74</f>
        <v>200</v>
      </c>
      <c r="E37" s="33">
        <f>'1_PANEL_CONTROL'!$C$74</f>
        <v>200</v>
      </c>
      <c r="F37" s="33">
        <f>'1_PANEL_CONTROL'!$C$74</f>
        <v>200</v>
      </c>
      <c r="G37" s="33">
        <f>'1_PANEL_CONTROL'!$C$74</f>
        <v>200</v>
      </c>
      <c r="H37" s="33">
        <f>'1_PANEL_CONTROL'!$C$74</f>
        <v>200</v>
      </c>
      <c r="I37" s="33">
        <f>'1_PANEL_CONTROL'!$C$74</f>
        <v>200</v>
      </c>
      <c r="J37" s="33">
        <f>'1_PANEL_CONTROL'!$C$74</f>
        <v>200</v>
      </c>
      <c r="K37" s="33">
        <f>'1_PANEL_CONTROL'!$C$74</f>
        <v>200</v>
      </c>
      <c r="L37" s="33">
        <f>'1_PANEL_CONTROL'!$C$74</f>
        <v>200</v>
      </c>
      <c r="M37" s="33">
        <f>'1_PANEL_CONTROL'!$C$74</f>
        <v>200</v>
      </c>
      <c r="N37" s="33">
        <f>'1_PANEL_CONTROL'!$C$74</f>
        <v>200</v>
      </c>
      <c r="O37" s="33">
        <f>'1_PANEL_CONTROL'!$C$74</f>
        <v>200</v>
      </c>
      <c r="P37" s="33">
        <f>'1_PANEL_CONTROL'!$C$74</f>
        <v>200</v>
      </c>
      <c r="Q37" s="33">
        <f>'1_PANEL_CONTROL'!$C$74</f>
        <v>200</v>
      </c>
      <c r="R37" s="33">
        <f>'1_PANEL_CONTROL'!$C$74</f>
        <v>200</v>
      </c>
      <c r="S37" s="33">
        <f>'1_PANEL_CONTROL'!$C$74</f>
        <v>200</v>
      </c>
      <c r="T37" s="33">
        <f>'1_PANEL_CONTROL'!$C$74</f>
        <v>200</v>
      </c>
      <c r="U37" s="33">
        <f>'1_PANEL_CONTROL'!$C$74</f>
        <v>200</v>
      </c>
      <c r="V37" s="33">
        <f>'1_PANEL_CONTROL'!$C$74</f>
        <v>200</v>
      </c>
      <c r="W37" s="33">
        <f>'1_PANEL_CONTROL'!$C$74</f>
        <v>200</v>
      </c>
      <c r="X37" s="33">
        <f>'1_PANEL_CONTROL'!$C$74</f>
        <v>200</v>
      </c>
      <c r="Y37" s="33">
        <f>'1_PANEL_CONTROL'!$C$74</f>
        <v>200</v>
      </c>
      <c r="Z37" s="33">
        <f>'1_PANEL_CONTROL'!$C$74</f>
        <v>200</v>
      </c>
      <c r="AA37" s="33">
        <f>'1_PANEL_CONTROL'!$C$74</f>
        <v>200</v>
      </c>
      <c r="AB37" s="33">
        <f>'1_PANEL_CONTROL'!$C$74</f>
        <v>200</v>
      </c>
      <c r="AC37" s="33">
        <f>'1_PANEL_CONTROL'!$C$74</f>
        <v>200</v>
      </c>
      <c r="AD37" s="33">
        <f>'1_PANEL_CONTROL'!$C$74</f>
        <v>200</v>
      </c>
      <c r="AE37" s="33">
        <f>'1_PANEL_CONTROL'!$C$74</f>
        <v>200</v>
      </c>
      <c r="AF37" s="33">
        <f>'1_PANEL_CONTROL'!$C$74</f>
        <v>200</v>
      </c>
      <c r="AG37" s="33">
        <f>'1_PANEL_CONTROL'!$C$74</f>
        <v>200</v>
      </c>
      <c r="AH37" s="33">
        <f>'1_PANEL_CONTROL'!$C$74</f>
        <v>200</v>
      </c>
      <c r="AI37" s="33">
        <f>'1_PANEL_CONTROL'!$C$74</f>
        <v>200</v>
      </c>
      <c r="AJ37" s="33">
        <f>'1_PANEL_CONTROL'!$C$74</f>
        <v>200</v>
      </c>
      <c r="AK37" s="33">
        <f>'1_PANEL_CONTROL'!$C$74</f>
        <v>200</v>
      </c>
      <c r="AL37" s="33">
        <f>'1_PANEL_CONTROL'!$C$74</f>
        <v>200</v>
      </c>
      <c r="AM37" s="33">
        <f>'1_PANEL_CONTROL'!$C$74</f>
        <v>200</v>
      </c>
      <c r="AN37" s="33">
        <f>'1_PANEL_CONTROL'!$C$74</f>
        <v>200</v>
      </c>
      <c r="AO37" s="33">
        <f>'1_PANEL_CONTROL'!$C$74</f>
        <v>200</v>
      </c>
      <c r="AP37" s="33">
        <f>'1_PANEL_CONTROL'!$C$74</f>
        <v>200</v>
      </c>
      <c r="AQ37" s="33">
        <f>'1_PANEL_CONTROL'!$C$74</f>
        <v>200</v>
      </c>
      <c r="AR37" s="33">
        <f>'1_PANEL_CONTROL'!$C$74</f>
        <v>200</v>
      </c>
      <c r="AS37" s="33">
        <f>'1_PANEL_CONTROL'!$C$74</f>
        <v>200</v>
      </c>
      <c r="AT37" s="33">
        <f>'1_PANEL_CONTROL'!$C$74</f>
        <v>200</v>
      </c>
      <c r="AU37" s="33">
        <f>'1_PANEL_CONTROL'!$C$74</f>
        <v>200</v>
      </c>
      <c r="AV37" s="33">
        <f>'1_PANEL_CONTROL'!$C$74</f>
        <v>200</v>
      </c>
      <c r="AW37" s="33">
        <f>'1_PANEL_CONTROL'!$C$74</f>
        <v>200</v>
      </c>
      <c r="AX37" s="33">
        <f>'1_PANEL_CONTROL'!$C$74</f>
        <v>200</v>
      </c>
      <c r="AY37" s="33">
        <f>'1_PANEL_CONTROL'!$C$74</f>
        <v>200</v>
      </c>
      <c r="AZ37" s="33">
        <f>'1_PANEL_CONTROL'!$C$74</f>
        <v>200</v>
      </c>
      <c r="BA37" s="33">
        <f>'1_PANEL_CONTROL'!$C$74</f>
        <v>200</v>
      </c>
      <c r="BB37" s="33">
        <f>'1_PANEL_CONTROL'!$C$74</f>
        <v>200</v>
      </c>
      <c r="BC37" s="33">
        <f>'1_PANEL_CONTROL'!$C$74</f>
        <v>200</v>
      </c>
      <c r="BD37" s="33">
        <f>'1_PANEL_CONTROL'!$C$74</f>
        <v>200</v>
      </c>
      <c r="BE37" s="33">
        <f>'1_PANEL_CONTROL'!$C$74</f>
        <v>200</v>
      </c>
      <c r="BF37" s="33">
        <f>'1_PANEL_CONTROL'!$C$74</f>
        <v>200</v>
      </c>
      <c r="BG37" s="33">
        <f>'1_PANEL_CONTROL'!$C$74</f>
        <v>200</v>
      </c>
      <c r="BH37" s="33">
        <f>'1_PANEL_CONTROL'!$C$74</f>
        <v>200</v>
      </c>
      <c r="BI37" s="33">
        <f>'1_PANEL_CONTROL'!$C$74</f>
        <v>200</v>
      </c>
      <c r="BJ37" s="33">
        <f>'1_PANEL_CONTROL'!$C$74</f>
        <v>200</v>
      </c>
      <c r="BK37" s="33">
        <f>'1_PANEL_CONTROL'!$C$74</f>
        <v>200</v>
      </c>
      <c r="BL37" s="33">
        <f>'1_PANEL_CONTROL'!$C$74</f>
        <v>200</v>
      </c>
      <c r="BM37" s="33">
        <f>'1_PANEL_CONTROL'!$C$74</f>
        <v>200</v>
      </c>
      <c r="BN37" s="33">
        <f>'1_PANEL_CONTROL'!$C$74</f>
        <v>200</v>
      </c>
      <c r="BO37" s="33">
        <f>'1_PANEL_CONTROL'!$C$74</f>
        <v>200</v>
      </c>
      <c r="BP37" s="33">
        <f>'1_PANEL_CONTROL'!$C$74</f>
        <v>200</v>
      </c>
      <c r="BQ37" s="33">
        <f>'1_PANEL_CONTROL'!$C$74</f>
        <v>200</v>
      </c>
      <c r="BR37" s="33">
        <f>'1_PANEL_CONTROL'!$C$74</f>
        <v>200</v>
      </c>
      <c r="BS37" s="33">
        <f>'1_PANEL_CONTROL'!$C$74</f>
        <v>200</v>
      </c>
      <c r="BT37" s="33">
        <f>'1_PANEL_CONTROL'!$C$74</f>
        <v>200</v>
      </c>
      <c r="BU37" s="33">
        <f>'1_PANEL_CONTROL'!$C$74</f>
        <v>200</v>
      </c>
      <c r="BV37" s="33">
        <f>'1_PANEL_CONTROL'!$C$74</f>
        <v>200</v>
      </c>
      <c r="BW37" s="33">
        <f>'1_PANEL_CONTROL'!$C$74</f>
        <v>200</v>
      </c>
      <c r="BX37" s="33">
        <f>'1_PANEL_CONTROL'!$C$74</f>
        <v>200</v>
      </c>
      <c r="BY37" s="33">
        <f>'1_PANEL_CONTROL'!$C$74</f>
        <v>200</v>
      </c>
      <c r="BZ37" s="33">
        <f>'1_PANEL_CONTROL'!$C$74</f>
        <v>200</v>
      </c>
      <c r="CA37" s="33">
        <f>'1_PANEL_CONTROL'!$C$74</f>
        <v>200</v>
      </c>
      <c r="CB37" s="33">
        <f>'1_PANEL_CONTROL'!$C$74</f>
        <v>200</v>
      </c>
      <c r="CC37" s="33">
        <f>'1_PANEL_CONTROL'!$C$74</f>
        <v>200</v>
      </c>
      <c r="CD37" s="33">
        <f>'1_PANEL_CONTROL'!$C$74</f>
        <v>200</v>
      </c>
      <c r="CE37" s="33">
        <f>'1_PANEL_CONTROL'!$C$74</f>
        <v>200</v>
      </c>
      <c r="CF37" s="33">
        <f>'1_PANEL_CONTROL'!$C$74</f>
        <v>200</v>
      </c>
      <c r="CG37" s="33">
        <f>'1_PANEL_CONTROL'!$C$74</f>
        <v>200</v>
      </c>
      <c r="CH37" s="33">
        <f>'1_PANEL_CONTROL'!$C$74</f>
        <v>200</v>
      </c>
      <c r="CI37" s="33">
        <f>'1_PANEL_CONTROL'!$C$74</f>
        <v>200</v>
      </c>
    </row>
    <row r="38" spans="1:87" ht="16.5">
      <c r="A38" s="6" t="s">
        <v>661</v>
      </c>
      <c r="B38" s="30" t="s">
        <v>465</v>
      </c>
      <c r="C38" s="17" t="s">
        <v>662</v>
      </c>
      <c r="D38" s="33">
        <f>'1_PANEL_CONTROL'!$C$75</f>
        <v>50</v>
      </c>
      <c r="E38" s="33">
        <f>'1_PANEL_CONTROL'!$C$75</f>
        <v>50</v>
      </c>
      <c r="F38" s="33">
        <f>'1_PANEL_CONTROL'!$C$75</f>
        <v>50</v>
      </c>
      <c r="G38" s="33">
        <f>'1_PANEL_CONTROL'!$C$75</f>
        <v>50</v>
      </c>
      <c r="H38" s="33">
        <f>'1_PANEL_CONTROL'!$C$75</f>
        <v>50</v>
      </c>
      <c r="I38" s="33">
        <f>'1_PANEL_CONTROL'!$C$75</f>
        <v>50</v>
      </c>
      <c r="J38" s="33">
        <f>'1_PANEL_CONTROL'!$C$75</f>
        <v>50</v>
      </c>
      <c r="K38" s="33">
        <f>'1_PANEL_CONTROL'!$C$75</f>
        <v>50</v>
      </c>
      <c r="L38" s="33">
        <f>'1_PANEL_CONTROL'!$C$75</f>
        <v>50</v>
      </c>
      <c r="M38" s="33">
        <f>'1_PANEL_CONTROL'!$C$75</f>
        <v>50</v>
      </c>
      <c r="N38" s="33">
        <f>'1_PANEL_CONTROL'!$C$75</f>
        <v>50</v>
      </c>
      <c r="O38" s="33">
        <f>'1_PANEL_CONTROL'!$C$75</f>
        <v>50</v>
      </c>
      <c r="P38" s="33">
        <f>'1_PANEL_CONTROL'!$C$75</f>
        <v>50</v>
      </c>
      <c r="Q38" s="33">
        <f>'1_PANEL_CONTROL'!$C$75</f>
        <v>50</v>
      </c>
      <c r="R38" s="33">
        <f>'1_PANEL_CONTROL'!$C$75</f>
        <v>50</v>
      </c>
      <c r="S38" s="33">
        <f>'1_PANEL_CONTROL'!$C$75</f>
        <v>50</v>
      </c>
      <c r="T38" s="33">
        <f>'1_PANEL_CONTROL'!$C$75</f>
        <v>50</v>
      </c>
      <c r="U38" s="33">
        <f>'1_PANEL_CONTROL'!$C$75</f>
        <v>50</v>
      </c>
      <c r="V38" s="33">
        <f>'1_PANEL_CONTROL'!$C$75</f>
        <v>50</v>
      </c>
      <c r="W38" s="33">
        <f>'1_PANEL_CONTROL'!$C$75</f>
        <v>50</v>
      </c>
      <c r="X38" s="33">
        <f>'1_PANEL_CONTROL'!$C$75</f>
        <v>50</v>
      </c>
      <c r="Y38" s="33">
        <f>'1_PANEL_CONTROL'!$C$75</f>
        <v>50</v>
      </c>
      <c r="Z38" s="33">
        <f>'1_PANEL_CONTROL'!$C$75</f>
        <v>50</v>
      </c>
      <c r="AA38" s="33">
        <f>'1_PANEL_CONTROL'!$C$75</f>
        <v>50</v>
      </c>
      <c r="AB38" s="33">
        <f>'1_PANEL_CONTROL'!$C$75</f>
        <v>50</v>
      </c>
      <c r="AC38" s="33">
        <f>'1_PANEL_CONTROL'!$C$75</f>
        <v>50</v>
      </c>
      <c r="AD38" s="33">
        <f>'1_PANEL_CONTROL'!$C$75</f>
        <v>50</v>
      </c>
      <c r="AE38" s="33">
        <f>'1_PANEL_CONTROL'!$C$75</f>
        <v>50</v>
      </c>
      <c r="AF38" s="33">
        <f>'1_PANEL_CONTROL'!$C$75</f>
        <v>50</v>
      </c>
      <c r="AG38" s="33">
        <f>'1_PANEL_CONTROL'!$C$75</f>
        <v>50</v>
      </c>
      <c r="AH38" s="33">
        <f>'1_PANEL_CONTROL'!$C$75</f>
        <v>50</v>
      </c>
      <c r="AI38" s="33">
        <f>'1_PANEL_CONTROL'!$C$75</f>
        <v>50</v>
      </c>
      <c r="AJ38" s="33">
        <f>'1_PANEL_CONTROL'!$C$75</f>
        <v>50</v>
      </c>
      <c r="AK38" s="33">
        <f>'1_PANEL_CONTROL'!$C$75</f>
        <v>50</v>
      </c>
      <c r="AL38" s="33">
        <f>'1_PANEL_CONTROL'!$C$75</f>
        <v>50</v>
      </c>
      <c r="AM38" s="33">
        <f>'1_PANEL_CONTROL'!$C$75</f>
        <v>50</v>
      </c>
      <c r="AN38" s="33">
        <f>'1_PANEL_CONTROL'!$C$75</f>
        <v>50</v>
      </c>
      <c r="AO38" s="33">
        <f>'1_PANEL_CONTROL'!$C$75</f>
        <v>50</v>
      </c>
      <c r="AP38" s="33">
        <f>'1_PANEL_CONTROL'!$C$75</f>
        <v>50</v>
      </c>
      <c r="AQ38" s="33">
        <f>'1_PANEL_CONTROL'!$C$75</f>
        <v>50</v>
      </c>
      <c r="AR38" s="33">
        <f>'1_PANEL_CONTROL'!$C$75</f>
        <v>50</v>
      </c>
      <c r="AS38" s="33">
        <f>'1_PANEL_CONTROL'!$C$75</f>
        <v>50</v>
      </c>
      <c r="AT38" s="33">
        <f>'1_PANEL_CONTROL'!$C$75</f>
        <v>50</v>
      </c>
      <c r="AU38" s="33">
        <f>'1_PANEL_CONTROL'!$C$75</f>
        <v>50</v>
      </c>
      <c r="AV38" s="33">
        <f>'1_PANEL_CONTROL'!$C$75</f>
        <v>50</v>
      </c>
      <c r="AW38" s="33">
        <f>'1_PANEL_CONTROL'!$C$75</f>
        <v>50</v>
      </c>
      <c r="AX38" s="33">
        <f>'1_PANEL_CONTROL'!$C$75</f>
        <v>50</v>
      </c>
      <c r="AY38" s="33">
        <f>'1_PANEL_CONTROL'!$C$75</f>
        <v>50</v>
      </c>
      <c r="AZ38" s="33">
        <f>'1_PANEL_CONTROL'!$C$75</f>
        <v>50</v>
      </c>
      <c r="BA38" s="33">
        <f>'1_PANEL_CONTROL'!$C$75</f>
        <v>50</v>
      </c>
      <c r="BB38" s="33">
        <f>'1_PANEL_CONTROL'!$C$75</f>
        <v>50</v>
      </c>
      <c r="BC38" s="33">
        <f>'1_PANEL_CONTROL'!$C$75</f>
        <v>50</v>
      </c>
      <c r="BD38" s="33">
        <f>'1_PANEL_CONTROL'!$C$75</f>
        <v>50</v>
      </c>
      <c r="BE38" s="33">
        <f>'1_PANEL_CONTROL'!$C$75</f>
        <v>50</v>
      </c>
      <c r="BF38" s="33">
        <f>'1_PANEL_CONTROL'!$C$75</f>
        <v>50</v>
      </c>
      <c r="BG38" s="33">
        <f>'1_PANEL_CONTROL'!$C$75</f>
        <v>50</v>
      </c>
      <c r="BH38" s="33">
        <f>'1_PANEL_CONTROL'!$C$75</f>
        <v>50</v>
      </c>
      <c r="BI38" s="33">
        <f>'1_PANEL_CONTROL'!$C$75</f>
        <v>50</v>
      </c>
      <c r="BJ38" s="33">
        <f>'1_PANEL_CONTROL'!$C$75</f>
        <v>50</v>
      </c>
      <c r="BK38" s="33">
        <f>'1_PANEL_CONTROL'!$C$75</f>
        <v>50</v>
      </c>
      <c r="BL38" s="33">
        <f>'1_PANEL_CONTROL'!$C$75</f>
        <v>50</v>
      </c>
      <c r="BM38" s="33">
        <f>'1_PANEL_CONTROL'!$C$75</f>
        <v>50</v>
      </c>
      <c r="BN38" s="33">
        <f>'1_PANEL_CONTROL'!$C$75</f>
        <v>50</v>
      </c>
      <c r="BO38" s="33">
        <f>'1_PANEL_CONTROL'!$C$75</f>
        <v>50</v>
      </c>
      <c r="BP38" s="33">
        <f>'1_PANEL_CONTROL'!$C$75</f>
        <v>50</v>
      </c>
      <c r="BQ38" s="33">
        <f>'1_PANEL_CONTROL'!$C$75</f>
        <v>50</v>
      </c>
      <c r="BR38" s="33">
        <f>'1_PANEL_CONTROL'!$C$75</f>
        <v>50</v>
      </c>
      <c r="BS38" s="33">
        <f>'1_PANEL_CONTROL'!$C$75</f>
        <v>50</v>
      </c>
      <c r="BT38" s="33">
        <f>'1_PANEL_CONTROL'!$C$75</f>
        <v>50</v>
      </c>
      <c r="BU38" s="33">
        <f>'1_PANEL_CONTROL'!$C$75</f>
        <v>50</v>
      </c>
      <c r="BV38" s="33">
        <f>'1_PANEL_CONTROL'!$C$75</f>
        <v>50</v>
      </c>
      <c r="BW38" s="33">
        <f>'1_PANEL_CONTROL'!$C$75</f>
        <v>50</v>
      </c>
      <c r="BX38" s="33">
        <f>'1_PANEL_CONTROL'!$C$75</f>
        <v>50</v>
      </c>
      <c r="BY38" s="33">
        <f>'1_PANEL_CONTROL'!$C$75</f>
        <v>50</v>
      </c>
      <c r="BZ38" s="33">
        <f>'1_PANEL_CONTROL'!$C$75</f>
        <v>50</v>
      </c>
      <c r="CA38" s="33">
        <f>'1_PANEL_CONTROL'!$C$75</f>
        <v>50</v>
      </c>
      <c r="CB38" s="33">
        <f>'1_PANEL_CONTROL'!$C$75</f>
        <v>50</v>
      </c>
      <c r="CC38" s="33">
        <f>'1_PANEL_CONTROL'!$C$75</f>
        <v>50</v>
      </c>
      <c r="CD38" s="33">
        <f>'1_PANEL_CONTROL'!$C$75</f>
        <v>50</v>
      </c>
      <c r="CE38" s="33">
        <f>'1_PANEL_CONTROL'!$C$75</f>
        <v>50</v>
      </c>
      <c r="CF38" s="33">
        <f>'1_PANEL_CONTROL'!$C$75</f>
        <v>50</v>
      </c>
      <c r="CG38" s="33">
        <f>'1_PANEL_CONTROL'!$C$75</f>
        <v>50</v>
      </c>
      <c r="CH38" s="33">
        <f>'1_PANEL_CONTROL'!$C$75</f>
        <v>50</v>
      </c>
      <c r="CI38" s="33">
        <f>'1_PANEL_CONTROL'!$C$75</f>
        <v>50</v>
      </c>
    </row>
    <row r="39" spans="1:87" ht="16.5">
      <c r="A39" s="6" t="s">
        <v>176</v>
      </c>
      <c r="B39" s="30" t="s">
        <v>465</v>
      </c>
      <c r="C39" s="17" t="s">
        <v>663</v>
      </c>
      <c r="D39" s="33">
        <f>'1_PANEL_CONTROL'!$C$76</f>
        <v>100</v>
      </c>
      <c r="E39" s="33">
        <f>'1_PANEL_CONTROL'!$C$76</f>
        <v>100</v>
      </c>
      <c r="F39" s="33">
        <f>'1_PANEL_CONTROL'!$C$76</f>
        <v>100</v>
      </c>
      <c r="G39" s="33">
        <f>'1_PANEL_CONTROL'!$C$76</f>
        <v>100</v>
      </c>
      <c r="H39" s="33">
        <f>'1_PANEL_CONTROL'!$C$76</f>
        <v>100</v>
      </c>
      <c r="I39" s="33">
        <f>'1_PANEL_CONTROL'!$C$76</f>
        <v>100</v>
      </c>
      <c r="J39" s="33">
        <f>'1_PANEL_CONTROL'!$C$76</f>
        <v>100</v>
      </c>
      <c r="K39" s="33">
        <f>'1_PANEL_CONTROL'!$C$76</f>
        <v>100</v>
      </c>
      <c r="L39" s="33">
        <f>'1_PANEL_CONTROL'!$C$76</f>
        <v>100</v>
      </c>
      <c r="M39" s="33">
        <f>'1_PANEL_CONTROL'!$C$76</f>
        <v>100</v>
      </c>
      <c r="N39" s="33">
        <f>'1_PANEL_CONTROL'!$C$76</f>
        <v>100</v>
      </c>
      <c r="O39" s="33">
        <f>'1_PANEL_CONTROL'!$C$76</f>
        <v>100</v>
      </c>
      <c r="P39" s="33">
        <f>'1_PANEL_CONTROL'!$C$76</f>
        <v>100</v>
      </c>
      <c r="Q39" s="33">
        <f>'1_PANEL_CONTROL'!$C$76</f>
        <v>100</v>
      </c>
      <c r="R39" s="33">
        <f>'1_PANEL_CONTROL'!$C$76</f>
        <v>100</v>
      </c>
      <c r="S39" s="33">
        <f>'1_PANEL_CONTROL'!$C$76</f>
        <v>100</v>
      </c>
      <c r="T39" s="33">
        <f>'1_PANEL_CONTROL'!$C$76</f>
        <v>100</v>
      </c>
      <c r="U39" s="33">
        <f>'1_PANEL_CONTROL'!$C$76</f>
        <v>100</v>
      </c>
      <c r="V39" s="33">
        <f>'1_PANEL_CONTROL'!$C$76</f>
        <v>100</v>
      </c>
      <c r="W39" s="33">
        <f>'1_PANEL_CONTROL'!$C$76</f>
        <v>100</v>
      </c>
      <c r="X39" s="33">
        <f>'1_PANEL_CONTROL'!$C$76</f>
        <v>100</v>
      </c>
      <c r="Y39" s="33">
        <f>'1_PANEL_CONTROL'!$C$76</f>
        <v>100</v>
      </c>
      <c r="Z39" s="33">
        <f>'1_PANEL_CONTROL'!$C$76</f>
        <v>100</v>
      </c>
      <c r="AA39" s="33">
        <f>'1_PANEL_CONTROL'!$C$76</f>
        <v>100</v>
      </c>
      <c r="AB39" s="33">
        <f>'1_PANEL_CONTROL'!$C$76</f>
        <v>100</v>
      </c>
      <c r="AC39" s="33">
        <f>'1_PANEL_CONTROL'!$C$76</f>
        <v>100</v>
      </c>
      <c r="AD39" s="33">
        <f>'1_PANEL_CONTROL'!$C$76</f>
        <v>100</v>
      </c>
      <c r="AE39" s="33">
        <f>'1_PANEL_CONTROL'!$C$76</f>
        <v>100</v>
      </c>
      <c r="AF39" s="33">
        <f>'1_PANEL_CONTROL'!$C$76</f>
        <v>100</v>
      </c>
      <c r="AG39" s="33">
        <f>'1_PANEL_CONTROL'!$C$76</f>
        <v>100</v>
      </c>
      <c r="AH39" s="33">
        <f>'1_PANEL_CONTROL'!$C$76</f>
        <v>100</v>
      </c>
      <c r="AI39" s="33">
        <f>'1_PANEL_CONTROL'!$C$76</f>
        <v>100</v>
      </c>
      <c r="AJ39" s="33">
        <f>'1_PANEL_CONTROL'!$C$76</f>
        <v>100</v>
      </c>
      <c r="AK39" s="33">
        <f>'1_PANEL_CONTROL'!$C$76</f>
        <v>100</v>
      </c>
      <c r="AL39" s="33">
        <f>'1_PANEL_CONTROL'!$C$76</f>
        <v>100</v>
      </c>
      <c r="AM39" s="33">
        <f>'1_PANEL_CONTROL'!$C$76</f>
        <v>100</v>
      </c>
      <c r="AN39" s="33">
        <f>'1_PANEL_CONTROL'!$C$76</f>
        <v>100</v>
      </c>
      <c r="AO39" s="33">
        <f>'1_PANEL_CONTROL'!$C$76</f>
        <v>100</v>
      </c>
      <c r="AP39" s="33">
        <f>'1_PANEL_CONTROL'!$C$76</f>
        <v>100</v>
      </c>
      <c r="AQ39" s="33">
        <f>'1_PANEL_CONTROL'!$C$76</f>
        <v>100</v>
      </c>
      <c r="AR39" s="33">
        <f>'1_PANEL_CONTROL'!$C$76</f>
        <v>100</v>
      </c>
      <c r="AS39" s="33">
        <f>'1_PANEL_CONTROL'!$C$76</f>
        <v>100</v>
      </c>
      <c r="AT39" s="33">
        <f>'1_PANEL_CONTROL'!$C$76</f>
        <v>100</v>
      </c>
      <c r="AU39" s="33">
        <f>'1_PANEL_CONTROL'!$C$76</f>
        <v>100</v>
      </c>
      <c r="AV39" s="33">
        <f>'1_PANEL_CONTROL'!$C$76</f>
        <v>100</v>
      </c>
      <c r="AW39" s="33">
        <f>'1_PANEL_CONTROL'!$C$76</f>
        <v>100</v>
      </c>
      <c r="AX39" s="33">
        <f>'1_PANEL_CONTROL'!$C$76</f>
        <v>100</v>
      </c>
      <c r="AY39" s="33">
        <f>'1_PANEL_CONTROL'!$C$76</f>
        <v>100</v>
      </c>
      <c r="AZ39" s="33">
        <f>'1_PANEL_CONTROL'!$C$76</f>
        <v>100</v>
      </c>
      <c r="BA39" s="33">
        <f>'1_PANEL_CONTROL'!$C$76</f>
        <v>100</v>
      </c>
      <c r="BB39" s="33">
        <f>'1_PANEL_CONTROL'!$C$76</f>
        <v>100</v>
      </c>
      <c r="BC39" s="33">
        <f>'1_PANEL_CONTROL'!$C$76</f>
        <v>100</v>
      </c>
      <c r="BD39" s="33">
        <f>'1_PANEL_CONTROL'!$C$76</f>
        <v>100</v>
      </c>
      <c r="BE39" s="33">
        <f>'1_PANEL_CONTROL'!$C$76</f>
        <v>100</v>
      </c>
      <c r="BF39" s="33">
        <f>'1_PANEL_CONTROL'!$C$76</f>
        <v>100</v>
      </c>
      <c r="BG39" s="33">
        <f>'1_PANEL_CONTROL'!$C$76</f>
        <v>100</v>
      </c>
      <c r="BH39" s="33">
        <f>'1_PANEL_CONTROL'!$C$76</f>
        <v>100</v>
      </c>
      <c r="BI39" s="33">
        <f>'1_PANEL_CONTROL'!$C$76</f>
        <v>100</v>
      </c>
      <c r="BJ39" s="33">
        <f>'1_PANEL_CONTROL'!$C$76</f>
        <v>100</v>
      </c>
      <c r="BK39" s="33">
        <f>'1_PANEL_CONTROL'!$C$76</f>
        <v>100</v>
      </c>
      <c r="BL39" s="33">
        <f>'1_PANEL_CONTROL'!$C$76</f>
        <v>100</v>
      </c>
      <c r="BM39" s="33">
        <f>'1_PANEL_CONTROL'!$C$76</f>
        <v>100</v>
      </c>
      <c r="BN39" s="33">
        <f>'1_PANEL_CONTROL'!$C$76</f>
        <v>100</v>
      </c>
      <c r="BO39" s="33">
        <f>'1_PANEL_CONTROL'!$C$76</f>
        <v>100</v>
      </c>
      <c r="BP39" s="33">
        <f>'1_PANEL_CONTROL'!$C$76</f>
        <v>100</v>
      </c>
      <c r="BQ39" s="33">
        <f>'1_PANEL_CONTROL'!$C$76</f>
        <v>100</v>
      </c>
      <c r="BR39" s="33">
        <f>'1_PANEL_CONTROL'!$C$76</f>
        <v>100</v>
      </c>
      <c r="BS39" s="33">
        <f>'1_PANEL_CONTROL'!$C$76</f>
        <v>100</v>
      </c>
      <c r="BT39" s="33">
        <f>'1_PANEL_CONTROL'!$C$76</f>
        <v>100</v>
      </c>
      <c r="BU39" s="33">
        <f>'1_PANEL_CONTROL'!$C$76</f>
        <v>100</v>
      </c>
      <c r="BV39" s="33">
        <f>'1_PANEL_CONTROL'!$C$76</f>
        <v>100</v>
      </c>
      <c r="BW39" s="33">
        <f>'1_PANEL_CONTROL'!$C$76</f>
        <v>100</v>
      </c>
      <c r="BX39" s="33">
        <f>'1_PANEL_CONTROL'!$C$76</f>
        <v>100</v>
      </c>
      <c r="BY39" s="33">
        <f>'1_PANEL_CONTROL'!$C$76</f>
        <v>100</v>
      </c>
      <c r="BZ39" s="33">
        <f>'1_PANEL_CONTROL'!$C$76</f>
        <v>100</v>
      </c>
      <c r="CA39" s="33">
        <f>'1_PANEL_CONTROL'!$C$76</f>
        <v>100</v>
      </c>
      <c r="CB39" s="33">
        <f>'1_PANEL_CONTROL'!$C$76</f>
        <v>100</v>
      </c>
      <c r="CC39" s="33">
        <f>'1_PANEL_CONTROL'!$C$76</f>
        <v>100</v>
      </c>
      <c r="CD39" s="33">
        <f>'1_PANEL_CONTROL'!$C$76</f>
        <v>100</v>
      </c>
      <c r="CE39" s="33">
        <f>'1_PANEL_CONTROL'!$C$76</f>
        <v>100</v>
      </c>
      <c r="CF39" s="33">
        <f>'1_PANEL_CONTROL'!$C$76</f>
        <v>100</v>
      </c>
      <c r="CG39" s="33">
        <f>'1_PANEL_CONTROL'!$C$76</f>
        <v>100</v>
      </c>
      <c r="CH39" s="33">
        <f>'1_PANEL_CONTROL'!$C$76</f>
        <v>100</v>
      </c>
      <c r="CI39" s="33">
        <f>'1_PANEL_CONTROL'!$C$76</f>
        <v>100</v>
      </c>
    </row>
    <row r="40" spans="1:87" ht="16.5">
      <c r="A40" s="6" t="s">
        <v>178</v>
      </c>
      <c r="B40" s="30" t="s">
        <v>465</v>
      </c>
      <c r="C40" s="17" t="s">
        <v>664</v>
      </c>
      <c r="D40" s="33">
        <f>'1_PANEL_CONTROL'!$C$77</f>
        <v>46.67</v>
      </c>
      <c r="E40" s="33">
        <f>'1_PANEL_CONTROL'!$C$77</f>
        <v>46.67</v>
      </c>
      <c r="F40" s="33">
        <f>'1_PANEL_CONTROL'!$C$77</f>
        <v>46.67</v>
      </c>
      <c r="G40" s="33">
        <f>'1_PANEL_CONTROL'!$C$77</f>
        <v>46.67</v>
      </c>
      <c r="H40" s="33">
        <f>'1_PANEL_CONTROL'!$C$77</f>
        <v>46.67</v>
      </c>
      <c r="I40" s="33">
        <f>'1_PANEL_CONTROL'!$C$77</f>
        <v>46.67</v>
      </c>
      <c r="J40" s="33">
        <f>'1_PANEL_CONTROL'!$C$77</f>
        <v>46.67</v>
      </c>
      <c r="K40" s="33">
        <f>'1_PANEL_CONTROL'!$C$77</f>
        <v>46.67</v>
      </c>
      <c r="L40" s="33">
        <f>'1_PANEL_CONTROL'!$C$77</f>
        <v>46.67</v>
      </c>
      <c r="M40" s="33">
        <f>'1_PANEL_CONTROL'!$C$77</f>
        <v>46.67</v>
      </c>
      <c r="N40" s="33">
        <f>'1_PANEL_CONTROL'!$C$77</f>
        <v>46.67</v>
      </c>
      <c r="O40" s="33">
        <f>'1_PANEL_CONTROL'!$C$77</f>
        <v>46.67</v>
      </c>
      <c r="P40" s="33">
        <f>'1_PANEL_CONTROL'!$C$77</f>
        <v>46.67</v>
      </c>
      <c r="Q40" s="33">
        <f>'1_PANEL_CONTROL'!$C$77</f>
        <v>46.67</v>
      </c>
      <c r="R40" s="33">
        <f>'1_PANEL_CONTROL'!$C$77</f>
        <v>46.67</v>
      </c>
      <c r="S40" s="33">
        <f>'1_PANEL_CONTROL'!$C$77</f>
        <v>46.67</v>
      </c>
      <c r="T40" s="33">
        <f>'1_PANEL_CONTROL'!$C$77</f>
        <v>46.67</v>
      </c>
      <c r="U40" s="33">
        <f>'1_PANEL_CONTROL'!$C$77</f>
        <v>46.67</v>
      </c>
      <c r="V40" s="33">
        <f>'1_PANEL_CONTROL'!$C$77</f>
        <v>46.67</v>
      </c>
      <c r="W40" s="33">
        <f>'1_PANEL_CONTROL'!$C$77</f>
        <v>46.67</v>
      </c>
      <c r="X40" s="33">
        <f>'1_PANEL_CONTROL'!$C$77</f>
        <v>46.67</v>
      </c>
      <c r="Y40" s="33">
        <f>'1_PANEL_CONTROL'!$C$77</f>
        <v>46.67</v>
      </c>
      <c r="Z40" s="33">
        <f>'1_PANEL_CONTROL'!$C$77</f>
        <v>46.67</v>
      </c>
      <c r="AA40" s="33">
        <f>'1_PANEL_CONTROL'!$C$77</f>
        <v>46.67</v>
      </c>
      <c r="AB40" s="33">
        <f>'1_PANEL_CONTROL'!$C$77</f>
        <v>46.67</v>
      </c>
      <c r="AC40" s="33">
        <f>'1_PANEL_CONTROL'!$C$77</f>
        <v>46.67</v>
      </c>
      <c r="AD40" s="33">
        <f>'1_PANEL_CONTROL'!$C$77</f>
        <v>46.67</v>
      </c>
      <c r="AE40" s="33">
        <f>'1_PANEL_CONTROL'!$C$77</f>
        <v>46.67</v>
      </c>
      <c r="AF40" s="33">
        <f>'1_PANEL_CONTROL'!$C$77</f>
        <v>46.67</v>
      </c>
      <c r="AG40" s="33">
        <f>'1_PANEL_CONTROL'!$C$77</f>
        <v>46.67</v>
      </c>
      <c r="AH40" s="33">
        <f>'1_PANEL_CONTROL'!$C$77</f>
        <v>46.67</v>
      </c>
      <c r="AI40" s="33">
        <f>'1_PANEL_CONTROL'!$C$77</f>
        <v>46.67</v>
      </c>
      <c r="AJ40" s="33">
        <f>'1_PANEL_CONTROL'!$C$77</f>
        <v>46.67</v>
      </c>
      <c r="AK40" s="33">
        <f>'1_PANEL_CONTROL'!$C$77</f>
        <v>46.67</v>
      </c>
      <c r="AL40" s="33">
        <f>'1_PANEL_CONTROL'!$C$77</f>
        <v>46.67</v>
      </c>
      <c r="AM40" s="33">
        <f>'1_PANEL_CONTROL'!$C$77</f>
        <v>46.67</v>
      </c>
      <c r="AN40" s="33">
        <f>'1_PANEL_CONTROL'!$C$77</f>
        <v>46.67</v>
      </c>
      <c r="AO40" s="33">
        <f>'1_PANEL_CONTROL'!$C$77</f>
        <v>46.67</v>
      </c>
      <c r="AP40" s="33">
        <f>'1_PANEL_CONTROL'!$C$77</f>
        <v>46.67</v>
      </c>
      <c r="AQ40" s="33">
        <f>'1_PANEL_CONTROL'!$C$77</f>
        <v>46.67</v>
      </c>
      <c r="AR40" s="33">
        <f>'1_PANEL_CONTROL'!$C$77</f>
        <v>46.67</v>
      </c>
      <c r="AS40" s="33">
        <f>'1_PANEL_CONTROL'!$C$77</f>
        <v>46.67</v>
      </c>
      <c r="AT40" s="33">
        <f>'1_PANEL_CONTROL'!$C$77</f>
        <v>46.67</v>
      </c>
      <c r="AU40" s="33">
        <f>'1_PANEL_CONTROL'!$C$77</f>
        <v>46.67</v>
      </c>
      <c r="AV40" s="33">
        <f>'1_PANEL_CONTROL'!$C$77</f>
        <v>46.67</v>
      </c>
      <c r="AW40" s="33">
        <f>'1_PANEL_CONTROL'!$C$77</f>
        <v>46.67</v>
      </c>
      <c r="AX40" s="33">
        <f>'1_PANEL_CONTROL'!$C$77</f>
        <v>46.67</v>
      </c>
      <c r="AY40" s="33">
        <f>'1_PANEL_CONTROL'!$C$77</f>
        <v>46.67</v>
      </c>
      <c r="AZ40" s="33">
        <f>'1_PANEL_CONTROL'!$C$77</f>
        <v>46.67</v>
      </c>
      <c r="BA40" s="33">
        <f>'1_PANEL_CONTROL'!$C$77</f>
        <v>46.67</v>
      </c>
      <c r="BB40" s="33">
        <f>'1_PANEL_CONTROL'!$C$77</f>
        <v>46.67</v>
      </c>
      <c r="BC40" s="33">
        <f>'1_PANEL_CONTROL'!$C$77</f>
        <v>46.67</v>
      </c>
      <c r="BD40" s="33">
        <f>'1_PANEL_CONTROL'!$C$77</f>
        <v>46.67</v>
      </c>
      <c r="BE40" s="33">
        <f>'1_PANEL_CONTROL'!$C$77</f>
        <v>46.67</v>
      </c>
      <c r="BF40" s="33">
        <f>'1_PANEL_CONTROL'!$C$77</f>
        <v>46.67</v>
      </c>
      <c r="BG40" s="33">
        <f>'1_PANEL_CONTROL'!$C$77</f>
        <v>46.67</v>
      </c>
      <c r="BH40" s="33">
        <f>'1_PANEL_CONTROL'!$C$77</f>
        <v>46.67</v>
      </c>
      <c r="BI40" s="33">
        <f>'1_PANEL_CONTROL'!$C$77</f>
        <v>46.67</v>
      </c>
      <c r="BJ40" s="33">
        <f>'1_PANEL_CONTROL'!$C$77</f>
        <v>46.67</v>
      </c>
      <c r="BK40" s="33">
        <f>'1_PANEL_CONTROL'!$C$77</f>
        <v>46.67</v>
      </c>
      <c r="BL40" s="33">
        <f>'1_PANEL_CONTROL'!$C$77</f>
        <v>46.67</v>
      </c>
      <c r="BM40" s="33">
        <f>'1_PANEL_CONTROL'!$C$77</f>
        <v>46.67</v>
      </c>
      <c r="BN40" s="33">
        <f>'1_PANEL_CONTROL'!$C$77</f>
        <v>46.67</v>
      </c>
      <c r="BO40" s="33">
        <f>'1_PANEL_CONTROL'!$C$77</f>
        <v>46.67</v>
      </c>
      <c r="BP40" s="33">
        <f>'1_PANEL_CONTROL'!$C$77</f>
        <v>46.67</v>
      </c>
      <c r="BQ40" s="33">
        <f>'1_PANEL_CONTROL'!$C$77</f>
        <v>46.67</v>
      </c>
      <c r="BR40" s="33">
        <f>'1_PANEL_CONTROL'!$C$77</f>
        <v>46.67</v>
      </c>
      <c r="BS40" s="33">
        <f>'1_PANEL_CONTROL'!$C$77</f>
        <v>46.67</v>
      </c>
      <c r="BT40" s="33">
        <f>'1_PANEL_CONTROL'!$C$77</f>
        <v>46.67</v>
      </c>
      <c r="BU40" s="33">
        <f>'1_PANEL_CONTROL'!$C$77</f>
        <v>46.67</v>
      </c>
      <c r="BV40" s="33">
        <f>'1_PANEL_CONTROL'!$C$77</f>
        <v>46.67</v>
      </c>
      <c r="BW40" s="33">
        <f>'1_PANEL_CONTROL'!$C$77</f>
        <v>46.67</v>
      </c>
      <c r="BX40" s="33">
        <f>'1_PANEL_CONTROL'!$C$77</f>
        <v>46.67</v>
      </c>
      <c r="BY40" s="33">
        <f>'1_PANEL_CONTROL'!$C$77</f>
        <v>46.67</v>
      </c>
      <c r="BZ40" s="33">
        <f>'1_PANEL_CONTROL'!$C$77</f>
        <v>46.67</v>
      </c>
      <c r="CA40" s="33">
        <f>'1_PANEL_CONTROL'!$C$77</f>
        <v>46.67</v>
      </c>
      <c r="CB40" s="33">
        <f>'1_PANEL_CONTROL'!$C$77</f>
        <v>46.67</v>
      </c>
      <c r="CC40" s="33">
        <f>'1_PANEL_CONTROL'!$C$77</f>
        <v>46.67</v>
      </c>
      <c r="CD40" s="33">
        <f>'1_PANEL_CONTROL'!$C$77</f>
        <v>46.67</v>
      </c>
      <c r="CE40" s="33">
        <f>'1_PANEL_CONTROL'!$C$77</f>
        <v>46.67</v>
      </c>
      <c r="CF40" s="33">
        <f>'1_PANEL_CONTROL'!$C$77</f>
        <v>46.67</v>
      </c>
      <c r="CG40" s="33">
        <f>'1_PANEL_CONTROL'!$C$77</f>
        <v>46.67</v>
      </c>
      <c r="CH40" s="33">
        <f>'1_PANEL_CONTROL'!$C$77</f>
        <v>46.67</v>
      </c>
      <c r="CI40" s="33">
        <f>'1_PANEL_CONTROL'!$C$77</f>
        <v>46.67</v>
      </c>
    </row>
    <row r="41" spans="1:87" ht="16.5">
      <c r="A41" s="6" t="s">
        <v>665</v>
      </c>
      <c r="B41" s="30" t="s">
        <v>465</v>
      </c>
      <c r="C41" s="17" t="s">
        <v>666</v>
      </c>
      <c r="D41" s="33">
        <f>'1_PANEL_CONTROL'!$C$78 + '5_DETALLE_INGRESOS'!D18 * 3</f>
        <v>357.14</v>
      </c>
      <c r="E41" s="33">
        <f>'1_PANEL_CONTROL'!$C$78 + '5_DETALLE_INGRESOS'!E18 * 3</f>
        <v>498.14</v>
      </c>
      <c r="F41" s="33">
        <f>'1_PANEL_CONTROL'!$C$78 + '5_DETALLE_INGRESOS'!F18 * 3</f>
        <v>642.14</v>
      </c>
      <c r="G41" s="33">
        <f>'1_PANEL_CONTROL'!$C$78 + '5_DETALLE_INGRESOS'!G18 * 3</f>
        <v>789.14</v>
      </c>
      <c r="H41" s="33">
        <f>'1_PANEL_CONTROL'!$C$78 + '5_DETALLE_INGRESOS'!H18 * 3</f>
        <v>942.14</v>
      </c>
      <c r="I41" s="33">
        <f>'1_PANEL_CONTROL'!$C$78 + '5_DETALLE_INGRESOS'!I18 * 3</f>
        <v>1101.1399999999999</v>
      </c>
      <c r="J41" s="33">
        <f>'1_PANEL_CONTROL'!$C$78 + '5_DETALLE_INGRESOS'!J18 * 3</f>
        <v>1266.1399999999999</v>
      </c>
      <c r="K41" s="33">
        <f>'1_PANEL_CONTROL'!$C$78 + '5_DETALLE_INGRESOS'!K18 * 3</f>
        <v>1437.1399999999999</v>
      </c>
      <c r="L41" s="33">
        <f>'1_PANEL_CONTROL'!$C$78 + '5_DETALLE_INGRESOS'!L18 * 3</f>
        <v>1620.1399999999999</v>
      </c>
      <c r="M41" s="33">
        <f>'1_PANEL_CONTROL'!$C$78 + '5_DETALLE_INGRESOS'!M18 * 3</f>
        <v>1812.1399999999999</v>
      </c>
      <c r="N41" s="33">
        <f>'1_PANEL_CONTROL'!$C$78 + '5_DETALLE_INGRESOS'!N18 * 3</f>
        <v>2016.1399999999999</v>
      </c>
      <c r="O41" s="33">
        <f>'1_PANEL_CONTROL'!$C$78 + '5_DETALLE_INGRESOS'!O18 * 3</f>
        <v>2229.14</v>
      </c>
      <c r="P41" s="33">
        <f>'1_PANEL_CONTROL'!$C$78 + '5_DETALLE_INGRESOS'!P18 * 3</f>
        <v>2454.14</v>
      </c>
      <c r="Q41" s="33">
        <f>'1_PANEL_CONTROL'!$C$78 + '5_DETALLE_INGRESOS'!Q18 * 3</f>
        <v>2691.14</v>
      </c>
      <c r="R41" s="33">
        <f>'1_PANEL_CONTROL'!$C$78 + '5_DETALLE_INGRESOS'!R18 * 3</f>
        <v>2943.14</v>
      </c>
      <c r="S41" s="33">
        <f>'1_PANEL_CONTROL'!$C$78 + '5_DETALLE_INGRESOS'!S18 * 3</f>
        <v>3213.14</v>
      </c>
      <c r="T41" s="33">
        <f>'1_PANEL_CONTROL'!$C$78 + '5_DETALLE_INGRESOS'!T18 * 3</f>
        <v>3501.14</v>
      </c>
      <c r="U41" s="33">
        <f>'1_PANEL_CONTROL'!$C$78 + '5_DETALLE_INGRESOS'!U18 * 3</f>
        <v>3807.14</v>
      </c>
      <c r="V41" s="33">
        <f>'1_PANEL_CONTROL'!$C$78 + '5_DETALLE_INGRESOS'!V18 * 3</f>
        <v>4137.1400000000003</v>
      </c>
      <c r="W41" s="33">
        <f>'1_PANEL_CONTROL'!$C$78 + '5_DETALLE_INGRESOS'!W18 * 3</f>
        <v>4488.1400000000003</v>
      </c>
      <c r="X41" s="33">
        <f>'1_PANEL_CONTROL'!$C$78 + '5_DETALLE_INGRESOS'!X18 * 3</f>
        <v>4866.1400000000003</v>
      </c>
      <c r="Y41" s="33">
        <f>'1_PANEL_CONTROL'!$C$78 + '5_DETALLE_INGRESOS'!Y18 * 3</f>
        <v>5271.14</v>
      </c>
      <c r="Z41" s="33">
        <f>'1_PANEL_CONTROL'!$C$78 + '5_DETALLE_INGRESOS'!Z18 * 3</f>
        <v>5703.14</v>
      </c>
      <c r="AA41" s="33">
        <f>'1_PANEL_CONTROL'!$C$78 + '5_DETALLE_INGRESOS'!AA18 * 3</f>
        <v>6168.14</v>
      </c>
      <c r="AB41" s="33">
        <f>'1_PANEL_CONTROL'!$C$78 + '5_DETALLE_INGRESOS'!AB18 * 3</f>
        <v>6669.14</v>
      </c>
      <c r="AC41" s="33">
        <f>'1_PANEL_CONTROL'!$C$78 + '5_DETALLE_INGRESOS'!AC18 * 3</f>
        <v>7209.14</v>
      </c>
      <c r="AD41" s="33">
        <f>'1_PANEL_CONTROL'!$C$78 + '5_DETALLE_INGRESOS'!AD18 * 3</f>
        <v>7788.14</v>
      </c>
      <c r="AE41" s="33">
        <f>'1_PANEL_CONTROL'!$C$78 + '5_DETALLE_INGRESOS'!AE18 * 3</f>
        <v>8412.14</v>
      </c>
      <c r="AF41" s="33">
        <f>'1_PANEL_CONTROL'!$C$78 + '5_DETALLE_INGRESOS'!AF18 * 3</f>
        <v>9084.14</v>
      </c>
      <c r="AG41" s="33">
        <f>'1_PANEL_CONTROL'!$C$78 + '5_DETALLE_INGRESOS'!AG18 * 3</f>
        <v>9807.14</v>
      </c>
      <c r="AH41" s="33">
        <f>'1_PANEL_CONTROL'!$C$78 + '5_DETALLE_INGRESOS'!AH18 * 3</f>
        <v>10587.14</v>
      </c>
      <c r="AI41" s="33">
        <f>'1_PANEL_CONTROL'!$C$78 + '5_DETALLE_INGRESOS'!AI18 * 3</f>
        <v>11427.14</v>
      </c>
      <c r="AJ41" s="33">
        <f>'1_PANEL_CONTROL'!$C$78 + '5_DETALLE_INGRESOS'!AJ18 * 3</f>
        <v>12333.14</v>
      </c>
      <c r="AK41" s="33">
        <f>'1_PANEL_CONTROL'!$C$78 + '5_DETALLE_INGRESOS'!AK18 * 3</f>
        <v>13308.14</v>
      </c>
      <c r="AL41" s="33">
        <f>'1_PANEL_CONTROL'!$C$78 + '5_DETALLE_INGRESOS'!AL18 * 3</f>
        <v>14361.14</v>
      </c>
      <c r="AM41" s="33">
        <f>'1_PANEL_CONTROL'!$C$78 + '5_DETALLE_INGRESOS'!AM18 * 3</f>
        <v>15495.14</v>
      </c>
      <c r="AN41" s="33">
        <f>'1_PANEL_CONTROL'!$C$78 + '5_DETALLE_INGRESOS'!AN18 * 3</f>
        <v>16719.14</v>
      </c>
      <c r="AO41" s="33">
        <f>'1_PANEL_CONTROL'!$C$78 + '5_DETALLE_INGRESOS'!AO18 * 3</f>
        <v>18039.14</v>
      </c>
      <c r="AP41" s="33">
        <f>'1_PANEL_CONTROL'!$C$78 + '5_DETALLE_INGRESOS'!AP18 * 3</f>
        <v>19464.14</v>
      </c>
      <c r="AQ41" s="33">
        <f>'1_PANEL_CONTROL'!$C$78 + '5_DETALLE_INGRESOS'!AQ18 * 3</f>
        <v>21000.14</v>
      </c>
      <c r="AR41" s="33">
        <f>'1_PANEL_CONTROL'!$C$78 + '5_DETALLE_INGRESOS'!AR18 * 3</f>
        <v>22662.14</v>
      </c>
      <c r="AS41" s="33">
        <f>'1_PANEL_CONTROL'!$C$78 + '5_DETALLE_INGRESOS'!AS18 * 3</f>
        <v>24453.14</v>
      </c>
      <c r="AT41" s="33">
        <f>'1_PANEL_CONTROL'!$C$78 + '5_DETALLE_INGRESOS'!AT18 * 3</f>
        <v>26385.14</v>
      </c>
      <c r="AU41" s="33">
        <f>'1_PANEL_CONTROL'!$C$78 + '5_DETALLE_INGRESOS'!AU18 * 3</f>
        <v>28470.14</v>
      </c>
      <c r="AV41" s="33">
        <f>'1_PANEL_CONTROL'!$C$78 + '5_DETALLE_INGRESOS'!AV18 * 3</f>
        <v>30723.14</v>
      </c>
      <c r="AW41" s="33">
        <f>'1_PANEL_CONTROL'!$C$78 + '5_DETALLE_INGRESOS'!AW18 * 3</f>
        <v>33156.14</v>
      </c>
      <c r="AX41" s="33">
        <f>'1_PANEL_CONTROL'!$C$78 + '5_DETALLE_INGRESOS'!AX18 * 3</f>
        <v>35784.14</v>
      </c>
      <c r="AY41" s="33">
        <f>'1_PANEL_CONTROL'!$C$78 + '5_DETALLE_INGRESOS'!AY18 * 3</f>
        <v>38619.14</v>
      </c>
      <c r="AZ41" s="33">
        <f>'1_PANEL_CONTROL'!$C$78 + '5_DETALLE_INGRESOS'!AZ18 * 3</f>
        <v>41682.14</v>
      </c>
      <c r="BA41" s="33">
        <f>'1_PANEL_CONTROL'!$C$78 + '5_DETALLE_INGRESOS'!BA18 * 3</f>
        <v>44991.14</v>
      </c>
      <c r="BB41" s="33">
        <f>'1_PANEL_CONTROL'!$C$78 + '5_DETALLE_INGRESOS'!BB18 * 3</f>
        <v>48561.14</v>
      </c>
      <c r="BC41" s="33">
        <f>'1_PANEL_CONTROL'!$C$78 + '5_DETALLE_INGRESOS'!BC18 * 3</f>
        <v>52419.14</v>
      </c>
      <c r="BD41" s="33">
        <f>'1_PANEL_CONTROL'!$C$78 + '5_DETALLE_INGRESOS'!BD18 * 3</f>
        <v>56583.14</v>
      </c>
      <c r="BE41" s="33">
        <f>'1_PANEL_CONTROL'!$C$78 + '5_DETALLE_INGRESOS'!BE18 * 3</f>
        <v>61077.14</v>
      </c>
      <c r="BF41" s="33">
        <f>'1_PANEL_CONTROL'!$C$78 + '5_DETALLE_INGRESOS'!BF18 * 3</f>
        <v>65931.14</v>
      </c>
      <c r="BG41" s="33">
        <f>'1_PANEL_CONTROL'!$C$78 + '5_DETALLE_INGRESOS'!BG18 * 3</f>
        <v>71175.14</v>
      </c>
      <c r="BH41" s="33">
        <f>'1_PANEL_CONTROL'!$C$78 + '5_DETALLE_INGRESOS'!BH18 * 3</f>
        <v>76836.14</v>
      </c>
      <c r="BI41" s="33">
        <f>'1_PANEL_CONTROL'!$C$78 + '5_DETALLE_INGRESOS'!BI18 * 3</f>
        <v>82950.14</v>
      </c>
      <c r="BJ41" s="33">
        <f>'1_PANEL_CONTROL'!$C$78 + '5_DETALLE_INGRESOS'!BJ18 * 3</f>
        <v>89550.14</v>
      </c>
      <c r="BK41" s="33">
        <f>'1_PANEL_CONTROL'!$C$78 + '5_DETALLE_INGRESOS'!BK18 * 3</f>
        <v>96681.14</v>
      </c>
      <c r="BL41" s="33">
        <f>'1_PANEL_CONTROL'!$C$78 + '5_DETALLE_INGRESOS'!BL18 * 3</f>
        <v>104382.14</v>
      </c>
      <c r="BM41" s="33">
        <f>'1_PANEL_CONTROL'!$C$78 + '5_DETALLE_INGRESOS'!BM18 * 3</f>
        <v>112695.14</v>
      </c>
      <c r="BN41" s="33">
        <f>'1_PANEL_CONTROL'!$C$78 + '5_DETALLE_INGRESOS'!BN18 * 3</f>
        <v>121674.14</v>
      </c>
      <c r="BO41" s="33">
        <f>'1_PANEL_CONTROL'!$C$78 + '5_DETALLE_INGRESOS'!BO18 * 3</f>
        <v>131373.14000000001</v>
      </c>
      <c r="BP41" s="33">
        <f>'1_PANEL_CONTROL'!$C$78 + '5_DETALLE_INGRESOS'!BP18 * 3</f>
        <v>141849.14000000001</v>
      </c>
      <c r="BQ41" s="33">
        <f>'1_PANEL_CONTROL'!$C$78 + '5_DETALLE_INGRESOS'!BQ18 * 3</f>
        <v>153162.14000000001</v>
      </c>
      <c r="BR41" s="33">
        <f>'1_PANEL_CONTROL'!$C$78 + '5_DETALLE_INGRESOS'!BR18 * 3</f>
        <v>165378.14000000001</v>
      </c>
      <c r="BS41" s="33">
        <f>'1_PANEL_CONTROL'!$C$78 + '5_DETALLE_INGRESOS'!BS18 * 3</f>
        <v>178569.14</v>
      </c>
      <c r="BT41" s="33">
        <f>'1_PANEL_CONTROL'!$C$78 + '5_DETALLE_INGRESOS'!BT18 * 3</f>
        <v>192816.14</v>
      </c>
      <c r="BU41" s="33">
        <f>'1_PANEL_CONTROL'!$C$78 + '5_DETALLE_INGRESOS'!BU18 * 3</f>
        <v>208203.14</v>
      </c>
      <c r="BV41" s="33">
        <f>'1_PANEL_CONTROL'!$C$78 + '5_DETALLE_INGRESOS'!BV18 * 3</f>
        <v>224820.14</v>
      </c>
      <c r="BW41" s="33">
        <f>'1_PANEL_CONTROL'!$C$78 + '5_DETALLE_INGRESOS'!BW18 * 3</f>
        <v>242766.14</v>
      </c>
      <c r="BX41" s="33">
        <f>'1_PANEL_CONTROL'!$C$78 + '5_DETALLE_INGRESOS'!BX18 * 3</f>
        <v>262149.14</v>
      </c>
      <c r="BY41" s="33">
        <f>'1_PANEL_CONTROL'!$C$78 + '5_DETALLE_INGRESOS'!BY18 * 3</f>
        <v>283083.14</v>
      </c>
      <c r="BZ41" s="33">
        <f>'1_PANEL_CONTROL'!$C$78 + '5_DETALLE_INGRESOS'!BZ18 * 3</f>
        <v>305691.14</v>
      </c>
      <c r="CA41" s="33">
        <f>'1_PANEL_CONTROL'!$C$78 + '5_DETALLE_INGRESOS'!CA18 * 3</f>
        <v>330108.14</v>
      </c>
      <c r="CB41" s="33">
        <f>'1_PANEL_CONTROL'!$C$78 + '5_DETALLE_INGRESOS'!CB18 * 3</f>
        <v>356478.14</v>
      </c>
      <c r="CC41" s="33">
        <f>'1_PANEL_CONTROL'!$C$78 + '5_DETALLE_INGRESOS'!CC18 * 3</f>
        <v>384957.14</v>
      </c>
      <c r="CD41" s="33">
        <f>'1_PANEL_CONTROL'!$C$78 + '5_DETALLE_INGRESOS'!CD18 * 3</f>
        <v>415716.14</v>
      </c>
      <c r="CE41" s="33">
        <f>'1_PANEL_CONTROL'!$C$78 + '5_DETALLE_INGRESOS'!CE18 * 3</f>
        <v>448935.14</v>
      </c>
      <c r="CF41" s="33">
        <f>'1_PANEL_CONTROL'!$C$78 + '5_DETALLE_INGRESOS'!CF18 * 3</f>
        <v>484812.14</v>
      </c>
      <c r="CG41" s="33">
        <f>'1_PANEL_CONTROL'!$C$78 + '5_DETALLE_INGRESOS'!CG18 * 3</f>
        <v>523560.14</v>
      </c>
      <c r="CH41" s="33">
        <f>'1_PANEL_CONTROL'!$C$78 + '5_DETALLE_INGRESOS'!CH18 * 3</f>
        <v>565407.14</v>
      </c>
      <c r="CI41" s="33">
        <f>'1_PANEL_CONTROL'!$C$78 + '5_DETALLE_INGRESOS'!CI18 * 3</f>
        <v>610599.14</v>
      </c>
    </row>
    <row r="42" spans="1:87" ht="16.5">
      <c r="A42" s="6" t="s">
        <v>182</v>
      </c>
      <c r="B42" s="30" t="s">
        <v>465</v>
      </c>
      <c r="C42" s="17" t="s">
        <v>667</v>
      </c>
      <c r="D42" s="33">
        <f>'1_PANEL_CONTROL'!$C$79</f>
        <v>50</v>
      </c>
      <c r="E42" s="33">
        <f>'1_PANEL_CONTROL'!$C$79</f>
        <v>50</v>
      </c>
      <c r="F42" s="33">
        <f>'1_PANEL_CONTROL'!$C$79</f>
        <v>50</v>
      </c>
      <c r="G42" s="33">
        <f>'1_PANEL_CONTROL'!$C$79</f>
        <v>50</v>
      </c>
      <c r="H42" s="33">
        <f>'1_PANEL_CONTROL'!$C$79</f>
        <v>50</v>
      </c>
      <c r="I42" s="33">
        <f>'1_PANEL_CONTROL'!$C$79</f>
        <v>50</v>
      </c>
      <c r="J42" s="33">
        <f>'1_PANEL_CONTROL'!$C$79</f>
        <v>50</v>
      </c>
      <c r="K42" s="33">
        <f>'1_PANEL_CONTROL'!$C$79</f>
        <v>50</v>
      </c>
      <c r="L42" s="33">
        <f>'1_PANEL_CONTROL'!$C$79</f>
        <v>50</v>
      </c>
      <c r="M42" s="33">
        <f>'1_PANEL_CONTROL'!$C$79</f>
        <v>50</v>
      </c>
      <c r="N42" s="33">
        <f>'1_PANEL_CONTROL'!$C$79</f>
        <v>50</v>
      </c>
      <c r="O42" s="33">
        <f>'1_PANEL_CONTROL'!$C$79</f>
        <v>50</v>
      </c>
      <c r="P42" s="33">
        <f>'1_PANEL_CONTROL'!$C$79</f>
        <v>50</v>
      </c>
      <c r="Q42" s="33">
        <f>'1_PANEL_CONTROL'!$C$79</f>
        <v>50</v>
      </c>
      <c r="R42" s="33">
        <f>'1_PANEL_CONTROL'!$C$79</f>
        <v>50</v>
      </c>
      <c r="S42" s="33">
        <f>'1_PANEL_CONTROL'!$C$79</f>
        <v>50</v>
      </c>
      <c r="T42" s="33">
        <f>'1_PANEL_CONTROL'!$C$79</f>
        <v>50</v>
      </c>
      <c r="U42" s="33">
        <f>'1_PANEL_CONTROL'!$C$79</f>
        <v>50</v>
      </c>
      <c r="V42" s="33">
        <f>'1_PANEL_CONTROL'!$C$79</f>
        <v>50</v>
      </c>
      <c r="W42" s="33">
        <f>'1_PANEL_CONTROL'!$C$79</f>
        <v>50</v>
      </c>
      <c r="X42" s="33">
        <f>'1_PANEL_CONTROL'!$C$79</f>
        <v>50</v>
      </c>
      <c r="Y42" s="33">
        <f>'1_PANEL_CONTROL'!$C$79</f>
        <v>50</v>
      </c>
      <c r="Z42" s="33">
        <f>'1_PANEL_CONTROL'!$C$79</f>
        <v>50</v>
      </c>
      <c r="AA42" s="33">
        <f>'1_PANEL_CONTROL'!$C$79</f>
        <v>50</v>
      </c>
      <c r="AB42" s="33">
        <f>'1_PANEL_CONTROL'!$C$79</f>
        <v>50</v>
      </c>
      <c r="AC42" s="33">
        <f>'1_PANEL_CONTROL'!$C$79</f>
        <v>50</v>
      </c>
      <c r="AD42" s="33">
        <f>'1_PANEL_CONTROL'!$C$79</f>
        <v>50</v>
      </c>
      <c r="AE42" s="33">
        <f>'1_PANEL_CONTROL'!$C$79</f>
        <v>50</v>
      </c>
      <c r="AF42" s="33">
        <f>'1_PANEL_CONTROL'!$C$79</f>
        <v>50</v>
      </c>
      <c r="AG42" s="33">
        <f>'1_PANEL_CONTROL'!$C$79</f>
        <v>50</v>
      </c>
      <c r="AH42" s="33">
        <f>'1_PANEL_CONTROL'!$C$79</f>
        <v>50</v>
      </c>
      <c r="AI42" s="33">
        <f>'1_PANEL_CONTROL'!$C$79</f>
        <v>50</v>
      </c>
      <c r="AJ42" s="33">
        <f>'1_PANEL_CONTROL'!$C$79</f>
        <v>50</v>
      </c>
      <c r="AK42" s="33">
        <f>'1_PANEL_CONTROL'!$C$79</f>
        <v>50</v>
      </c>
      <c r="AL42" s="33">
        <f>'1_PANEL_CONTROL'!$C$79</f>
        <v>50</v>
      </c>
      <c r="AM42" s="33">
        <f>'1_PANEL_CONTROL'!$C$79</f>
        <v>50</v>
      </c>
      <c r="AN42" s="33">
        <f>'1_PANEL_CONTROL'!$C$79</f>
        <v>50</v>
      </c>
      <c r="AO42" s="33">
        <f>'1_PANEL_CONTROL'!$C$79</f>
        <v>50</v>
      </c>
      <c r="AP42" s="33">
        <f>'1_PANEL_CONTROL'!$C$79</f>
        <v>50</v>
      </c>
      <c r="AQ42" s="33">
        <f>'1_PANEL_CONTROL'!$C$79</f>
        <v>50</v>
      </c>
      <c r="AR42" s="33">
        <f>'1_PANEL_CONTROL'!$C$79</f>
        <v>50</v>
      </c>
      <c r="AS42" s="33">
        <f>'1_PANEL_CONTROL'!$C$79</f>
        <v>50</v>
      </c>
      <c r="AT42" s="33">
        <f>'1_PANEL_CONTROL'!$C$79</f>
        <v>50</v>
      </c>
      <c r="AU42" s="33">
        <f>'1_PANEL_CONTROL'!$C$79</f>
        <v>50</v>
      </c>
      <c r="AV42" s="33">
        <f>'1_PANEL_CONTROL'!$C$79</f>
        <v>50</v>
      </c>
      <c r="AW42" s="33">
        <f>'1_PANEL_CONTROL'!$C$79</f>
        <v>50</v>
      </c>
      <c r="AX42" s="33">
        <f>'1_PANEL_CONTROL'!$C$79</f>
        <v>50</v>
      </c>
      <c r="AY42" s="33">
        <f>'1_PANEL_CONTROL'!$C$79</f>
        <v>50</v>
      </c>
      <c r="AZ42" s="33">
        <f>'1_PANEL_CONTROL'!$C$79</f>
        <v>50</v>
      </c>
      <c r="BA42" s="33">
        <f>'1_PANEL_CONTROL'!$C$79</f>
        <v>50</v>
      </c>
      <c r="BB42" s="33">
        <f>'1_PANEL_CONTROL'!$C$79</f>
        <v>50</v>
      </c>
      <c r="BC42" s="33">
        <f>'1_PANEL_CONTROL'!$C$79</f>
        <v>50</v>
      </c>
      <c r="BD42" s="33">
        <f>'1_PANEL_CONTROL'!$C$79</f>
        <v>50</v>
      </c>
      <c r="BE42" s="33">
        <f>'1_PANEL_CONTROL'!$C$79</f>
        <v>50</v>
      </c>
      <c r="BF42" s="33">
        <f>'1_PANEL_CONTROL'!$C$79</f>
        <v>50</v>
      </c>
      <c r="BG42" s="33">
        <f>'1_PANEL_CONTROL'!$C$79</f>
        <v>50</v>
      </c>
      <c r="BH42" s="33">
        <f>'1_PANEL_CONTROL'!$C$79</f>
        <v>50</v>
      </c>
      <c r="BI42" s="33">
        <f>'1_PANEL_CONTROL'!$C$79</f>
        <v>50</v>
      </c>
      <c r="BJ42" s="33">
        <f>'1_PANEL_CONTROL'!$C$79</f>
        <v>50</v>
      </c>
      <c r="BK42" s="33">
        <f>'1_PANEL_CONTROL'!$C$79</f>
        <v>50</v>
      </c>
      <c r="BL42" s="33">
        <f>'1_PANEL_CONTROL'!$C$79</f>
        <v>50</v>
      </c>
      <c r="BM42" s="33">
        <f>'1_PANEL_CONTROL'!$C$79</f>
        <v>50</v>
      </c>
      <c r="BN42" s="33">
        <f>'1_PANEL_CONTROL'!$C$79</f>
        <v>50</v>
      </c>
      <c r="BO42" s="33">
        <f>'1_PANEL_CONTROL'!$C$79</f>
        <v>50</v>
      </c>
      <c r="BP42" s="33">
        <f>'1_PANEL_CONTROL'!$C$79</f>
        <v>50</v>
      </c>
      <c r="BQ42" s="33">
        <f>'1_PANEL_CONTROL'!$C$79</f>
        <v>50</v>
      </c>
      <c r="BR42" s="33">
        <f>'1_PANEL_CONTROL'!$C$79</f>
        <v>50</v>
      </c>
      <c r="BS42" s="33">
        <f>'1_PANEL_CONTROL'!$C$79</f>
        <v>50</v>
      </c>
      <c r="BT42" s="33">
        <f>'1_PANEL_CONTROL'!$C$79</f>
        <v>50</v>
      </c>
      <c r="BU42" s="33">
        <f>'1_PANEL_CONTROL'!$C$79</f>
        <v>50</v>
      </c>
      <c r="BV42" s="33">
        <f>'1_PANEL_CONTROL'!$C$79</f>
        <v>50</v>
      </c>
      <c r="BW42" s="33">
        <f>'1_PANEL_CONTROL'!$C$79</f>
        <v>50</v>
      </c>
      <c r="BX42" s="33">
        <f>'1_PANEL_CONTROL'!$C$79</f>
        <v>50</v>
      </c>
      <c r="BY42" s="33">
        <f>'1_PANEL_CONTROL'!$C$79</f>
        <v>50</v>
      </c>
      <c r="BZ42" s="33">
        <f>'1_PANEL_CONTROL'!$C$79</f>
        <v>50</v>
      </c>
      <c r="CA42" s="33">
        <f>'1_PANEL_CONTROL'!$C$79</f>
        <v>50</v>
      </c>
      <c r="CB42" s="33">
        <f>'1_PANEL_CONTROL'!$C$79</f>
        <v>50</v>
      </c>
      <c r="CC42" s="33">
        <f>'1_PANEL_CONTROL'!$C$79</f>
        <v>50</v>
      </c>
      <c r="CD42" s="33">
        <f>'1_PANEL_CONTROL'!$C$79</f>
        <v>50</v>
      </c>
      <c r="CE42" s="33">
        <f>'1_PANEL_CONTROL'!$C$79</f>
        <v>50</v>
      </c>
      <c r="CF42" s="33">
        <f>'1_PANEL_CONTROL'!$C$79</f>
        <v>50</v>
      </c>
      <c r="CG42" s="33">
        <f>'1_PANEL_CONTROL'!$C$79</f>
        <v>50</v>
      </c>
      <c r="CH42" s="33">
        <f>'1_PANEL_CONTROL'!$C$79</f>
        <v>50</v>
      </c>
      <c r="CI42" s="33">
        <f>'1_PANEL_CONTROL'!$C$79</f>
        <v>50</v>
      </c>
    </row>
    <row r="43" spans="1:87" ht="16.5">
      <c r="A43" s="6" t="s">
        <v>668</v>
      </c>
      <c r="B43" s="30" t="s">
        <v>465</v>
      </c>
      <c r="C43" s="17" t="s">
        <v>669</v>
      </c>
      <c r="D43" s="33">
        <f>IF('7_EQUIPO_RRHH'!D$8=2, '1_PANEL_CONTROL'!$C$81, 0)</f>
        <v>0</v>
      </c>
      <c r="E43" s="33">
        <f>IF('7_EQUIPO_RRHH'!E$8=2, '1_PANEL_CONTROL'!$C$81, 0)</f>
        <v>3865</v>
      </c>
      <c r="F43" s="33">
        <f>IF('7_EQUIPO_RRHH'!F$8=2, '1_PANEL_CONTROL'!$C$81, 0)</f>
        <v>0</v>
      </c>
      <c r="G43" s="33">
        <f>IF('7_EQUIPO_RRHH'!G$8=2, '1_PANEL_CONTROL'!$C$81, 0)</f>
        <v>0</v>
      </c>
      <c r="H43" s="33">
        <f>IF('7_EQUIPO_RRHH'!H$8=2, '1_PANEL_CONTROL'!$C$81, 0)</f>
        <v>0</v>
      </c>
      <c r="I43" s="33">
        <f>IF('7_EQUIPO_RRHH'!I$8=2, '1_PANEL_CONTROL'!$C$81, 0)</f>
        <v>0</v>
      </c>
      <c r="J43" s="33">
        <f>IF('7_EQUIPO_RRHH'!J$8=2, '1_PANEL_CONTROL'!$C$81, 0)</f>
        <v>0</v>
      </c>
      <c r="K43" s="33">
        <f>IF('7_EQUIPO_RRHH'!K$8=2, '1_PANEL_CONTROL'!$C$81, 0)</f>
        <v>0</v>
      </c>
      <c r="L43" s="33">
        <f>IF('7_EQUIPO_RRHH'!L$8=2, '1_PANEL_CONTROL'!$C$81, 0)</f>
        <v>0</v>
      </c>
      <c r="M43" s="33">
        <f>IF('7_EQUIPO_RRHH'!M$8=2, '1_PANEL_CONTROL'!$C$81, 0)</f>
        <v>0</v>
      </c>
      <c r="N43" s="33">
        <f>IF('7_EQUIPO_RRHH'!N$8=2, '1_PANEL_CONTROL'!$C$81, 0)</f>
        <v>0</v>
      </c>
      <c r="O43" s="33">
        <f>IF('7_EQUIPO_RRHH'!O$8=2, '1_PANEL_CONTROL'!$C$81, 0)</f>
        <v>0</v>
      </c>
      <c r="P43" s="33">
        <f>IF('7_EQUIPO_RRHH'!P$8=2, '1_PANEL_CONTROL'!$C$81, 0)</f>
        <v>0</v>
      </c>
      <c r="Q43" s="33">
        <f>IF('7_EQUIPO_RRHH'!Q$8=2, '1_PANEL_CONTROL'!$C$81, 0)</f>
        <v>0</v>
      </c>
      <c r="R43" s="33">
        <f>IF('7_EQUIPO_RRHH'!R$8=2, '1_PANEL_CONTROL'!$C$81, 0)</f>
        <v>0</v>
      </c>
      <c r="S43" s="33">
        <f>IF('7_EQUIPO_RRHH'!S$8=2, '1_PANEL_CONTROL'!$C$81, 0)</f>
        <v>0</v>
      </c>
      <c r="T43" s="33">
        <f>IF('7_EQUIPO_RRHH'!T$8=2, '1_PANEL_CONTROL'!$C$81, 0)</f>
        <v>0</v>
      </c>
      <c r="U43" s="33">
        <f>IF('7_EQUIPO_RRHH'!U$8=2, '1_PANEL_CONTROL'!$C$81, 0)</f>
        <v>0</v>
      </c>
      <c r="V43" s="33">
        <f>IF('7_EQUIPO_RRHH'!V$8=2, '1_PANEL_CONTROL'!$C$81, 0)</f>
        <v>0</v>
      </c>
      <c r="W43" s="33">
        <f>IF('7_EQUIPO_RRHH'!W$8=2, '1_PANEL_CONTROL'!$C$81, 0)</f>
        <v>0</v>
      </c>
      <c r="X43" s="33">
        <f>IF('7_EQUIPO_RRHH'!X$8=2, '1_PANEL_CONTROL'!$C$81, 0)</f>
        <v>0</v>
      </c>
      <c r="Y43" s="33">
        <f>IF('7_EQUIPO_RRHH'!Y$8=2, '1_PANEL_CONTROL'!$C$81, 0)</f>
        <v>0</v>
      </c>
      <c r="Z43" s="33">
        <f>IF('7_EQUIPO_RRHH'!Z$8=2, '1_PANEL_CONTROL'!$C$81, 0)</f>
        <v>0</v>
      </c>
      <c r="AA43" s="33">
        <f>IF('7_EQUIPO_RRHH'!AA$8=2, '1_PANEL_CONTROL'!$C$81, 0)</f>
        <v>0</v>
      </c>
      <c r="AB43" s="33">
        <f>IF('7_EQUIPO_RRHH'!AB$8=2, '1_PANEL_CONTROL'!$C$81, 0)</f>
        <v>0</v>
      </c>
      <c r="AC43" s="33">
        <f>IF('7_EQUIPO_RRHH'!AC$8=2, '1_PANEL_CONTROL'!$C$81, 0)</f>
        <v>0</v>
      </c>
      <c r="AD43" s="33">
        <f>IF('7_EQUIPO_RRHH'!AD$8=2, '1_PANEL_CONTROL'!$C$81, 0)</f>
        <v>0</v>
      </c>
      <c r="AE43" s="33">
        <f>IF('7_EQUIPO_RRHH'!AE$8=2, '1_PANEL_CONTROL'!$C$81, 0)</f>
        <v>0</v>
      </c>
      <c r="AF43" s="33">
        <f>IF('7_EQUIPO_RRHH'!AF$8=2, '1_PANEL_CONTROL'!$C$81, 0)</f>
        <v>0</v>
      </c>
      <c r="AG43" s="33">
        <f>IF('7_EQUIPO_RRHH'!AG$8=2, '1_PANEL_CONTROL'!$C$81, 0)</f>
        <v>0</v>
      </c>
      <c r="AH43" s="33">
        <f>IF('7_EQUIPO_RRHH'!AH$8=2, '1_PANEL_CONTROL'!$C$81, 0)</f>
        <v>0</v>
      </c>
      <c r="AI43" s="33">
        <f>IF('7_EQUIPO_RRHH'!AI$8=2, '1_PANEL_CONTROL'!$C$81, 0)</f>
        <v>0</v>
      </c>
      <c r="AJ43" s="33">
        <f>IF('7_EQUIPO_RRHH'!AJ$8=2, '1_PANEL_CONTROL'!$C$81, 0)</f>
        <v>0</v>
      </c>
      <c r="AK43" s="33">
        <f>IF('7_EQUIPO_RRHH'!AK$8=2, '1_PANEL_CONTROL'!$C$81, 0)</f>
        <v>0</v>
      </c>
      <c r="AL43" s="33">
        <f>IF('7_EQUIPO_RRHH'!AL$8=2, '1_PANEL_CONTROL'!$C$81, 0)</f>
        <v>0</v>
      </c>
      <c r="AM43" s="33">
        <f>IF('7_EQUIPO_RRHH'!AM$8=2, '1_PANEL_CONTROL'!$C$81, 0)</f>
        <v>0</v>
      </c>
      <c r="AN43" s="33">
        <f>IF('7_EQUIPO_RRHH'!AN$8=2, '1_PANEL_CONTROL'!$C$81, 0)</f>
        <v>0</v>
      </c>
      <c r="AO43" s="33">
        <f>IF('7_EQUIPO_RRHH'!AO$8=2, '1_PANEL_CONTROL'!$C$81, 0)</f>
        <v>0</v>
      </c>
      <c r="AP43" s="33">
        <f>IF('7_EQUIPO_RRHH'!AP$8=2, '1_PANEL_CONTROL'!$C$81, 0)</f>
        <v>0</v>
      </c>
      <c r="AQ43" s="33">
        <f>IF('7_EQUIPO_RRHH'!AQ$8=2, '1_PANEL_CONTROL'!$C$81, 0)</f>
        <v>0</v>
      </c>
      <c r="AR43" s="33">
        <f>IF('7_EQUIPO_RRHH'!AR$8=2, '1_PANEL_CONTROL'!$C$81, 0)</f>
        <v>0</v>
      </c>
      <c r="AS43" s="33">
        <f>IF('7_EQUIPO_RRHH'!AS$8=2, '1_PANEL_CONTROL'!$C$81, 0)</f>
        <v>0</v>
      </c>
      <c r="AT43" s="33">
        <f>IF('7_EQUIPO_RRHH'!AT$8=2, '1_PANEL_CONTROL'!$C$81, 0)</f>
        <v>0</v>
      </c>
      <c r="AU43" s="33">
        <f>IF('7_EQUIPO_RRHH'!AU$8=2, '1_PANEL_CONTROL'!$C$81, 0)</f>
        <v>0</v>
      </c>
      <c r="AV43" s="33">
        <f>IF('7_EQUIPO_RRHH'!AV$8=2, '1_PANEL_CONTROL'!$C$81, 0)</f>
        <v>0</v>
      </c>
      <c r="AW43" s="33">
        <f>IF('7_EQUIPO_RRHH'!AW$8=2, '1_PANEL_CONTROL'!$C$81, 0)</f>
        <v>0</v>
      </c>
      <c r="AX43" s="33">
        <f>IF('7_EQUIPO_RRHH'!AX$8=2, '1_PANEL_CONTROL'!$C$81, 0)</f>
        <v>0</v>
      </c>
      <c r="AY43" s="33">
        <f>IF('7_EQUIPO_RRHH'!AY$8=2, '1_PANEL_CONTROL'!$C$81, 0)</f>
        <v>0</v>
      </c>
      <c r="AZ43" s="33">
        <f>IF('7_EQUIPO_RRHH'!AZ$8=2, '1_PANEL_CONTROL'!$C$81, 0)</f>
        <v>0</v>
      </c>
      <c r="BA43" s="33">
        <f>IF('7_EQUIPO_RRHH'!BA$8=2, '1_PANEL_CONTROL'!$C$81, 0)</f>
        <v>0</v>
      </c>
      <c r="BB43" s="33">
        <f>IF('7_EQUIPO_RRHH'!BB$8=2, '1_PANEL_CONTROL'!$C$81, 0)</f>
        <v>0</v>
      </c>
      <c r="BC43" s="33">
        <f>IF('7_EQUIPO_RRHH'!BC$8=2, '1_PANEL_CONTROL'!$C$81, 0)</f>
        <v>0</v>
      </c>
      <c r="BD43" s="33">
        <f>IF('7_EQUIPO_RRHH'!BD$8=2, '1_PANEL_CONTROL'!$C$81, 0)</f>
        <v>0</v>
      </c>
      <c r="BE43" s="33">
        <f>IF('7_EQUIPO_RRHH'!BE$8=2, '1_PANEL_CONTROL'!$C$81, 0)</f>
        <v>0</v>
      </c>
      <c r="BF43" s="33">
        <f>IF('7_EQUIPO_RRHH'!BF$8=2, '1_PANEL_CONTROL'!$C$81, 0)</f>
        <v>0</v>
      </c>
      <c r="BG43" s="33">
        <f>IF('7_EQUIPO_RRHH'!BG$8=2, '1_PANEL_CONTROL'!$C$81, 0)</f>
        <v>0</v>
      </c>
      <c r="BH43" s="33">
        <f>IF('7_EQUIPO_RRHH'!BH$8=2, '1_PANEL_CONTROL'!$C$81, 0)</f>
        <v>0</v>
      </c>
      <c r="BI43" s="33">
        <f>IF('7_EQUIPO_RRHH'!BI$8=2, '1_PANEL_CONTROL'!$C$81, 0)</f>
        <v>0</v>
      </c>
      <c r="BJ43" s="33">
        <f>IF('7_EQUIPO_RRHH'!BJ$8=2, '1_PANEL_CONTROL'!$C$81, 0)</f>
        <v>0</v>
      </c>
      <c r="BK43" s="33">
        <f>IF('7_EQUIPO_RRHH'!BK$8=2, '1_PANEL_CONTROL'!$C$81, 0)</f>
        <v>0</v>
      </c>
      <c r="BL43" s="33">
        <f>IF('7_EQUIPO_RRHH'!BL$8=2, '1_PANEL_CONTROL'!$C$81, 0)</f>
        <v>0</v>
      </c>
      <c r="BM43" s="33">
        <f>IF('7_EQUIPO_RRHH'!BM$8=2, '1_PANEL_CONTROL'!$C$81, 0)</f>
        <v>0</v>
      </c>
      <c r="BN43" s="33">
        <f>IF('7_EQUIPO_RRHH'!BN$8=2, '1_PANEL_CONTROL'!$C$81, 0)</f>
        <v>0</v>
      </c>
      <c r="BO43" s="33">
        <f>IF('7_EQUIPO_RRHH'!BO$8=2, '1_PANEL_CONTROL'!$C$81, 0)</f>
        <v>0</v>
      </c>
      <c r="BP43" s="33">
        <f>IF('7_EQUIPO_RRHH'!BP$8=2, '1_PANEL_CONTROL'!$C$81, 0)</f>
        <v>0</v>
      </c>
      <c r="BQ43" s="33">
        <f>IF('7_EQUIPO_RRHH'!BQ$8=2, '1_PANEL_CONTROL'!$C$81, 0)</f>
        <v>0</v>
      </c>
      <c r="BR43" s="33">
        <f>IF('7_EQUIPO_RRHH'!BR$8=2, '1_PANEL_CONTROL'!$C$81, 0)</f>
        <v>0</v>
      </c>
      <c r="BS43" s="33">
        <f>IF('7_EQUIPO_RRHH'!BS$8=2, '1_PANEL_CONTROL'!$C$81, 0)</f>
        <v>0</v>
      </c>
      <c r="BT43" s="33">
        <f>IF('7_EQUIPO_RRHH'!BT$8=2, '1_PANEL_CONTROL'!$C$81, 0)</f>
        <v>0</v>
      </c>
      <c r="BU43" s="33">
        <f>IF('7_EQUIPO_RRHH'!BU$8=2, '1_PANEL_CONTROL'!$C$81, 0)</f>
        <v>0</v>
      </c>
      <c r="BV43" s="33">
        <f>IF('7_EQUIPO_RRHH'!BV$8=2, '1_PANEL_CONTROL'!$C$81, 0)</f>
        <v>0</v>
      </c>
      <c r="BW43" s="33">
        <f>IF('7_EQUIPO_RRHH'!BW$8=2, '1_PANEL_CONTROL'!$C$81, 0)</f>
        <v>0</v>
      </c>
      <c r="BX43" s="33">
        <f>IF('7_EQUIPO_RRHH'!BX$8=2, '1_PANEL_CONTROL'!$C$81, 0)</f>
        <v>0</v>
      </c>
      <c r="BY43" s="33">
        <f>IF('7_EQUIPO_RRHH'!BY$8=2, '1_PANEL_CONTROL'!$C$81, 0)</f>
        <v>0</v>
      </c>
      <c r="BZ43" s="33">
        <f>IF('7_EQUIPO_RRHH'!BZ$8=2, '1_PANEL_CONTROL'!$C$81, 0)</f>
        <v>0</v>
      </c>
      <c r="CA43" s="33">
        <f>IF('7_EQUIPO_RRHH'!CA$8=2, '1_PANEL_CONTROL'!$C$81, 0)</f>
        <v>0</v>
      </c>
      <c r="CB43" s="33">
        <f>IF('7_EQUIPO_RRHH'!CB$8=2, '1_PANEL_CONTROL'!$C$81, 0)</f>
        <v>0</v>
      </c>
      <c r="CC43" s="33">
        <f>IF('7_EQUIPO_RRHH'!CC$8=2, '1_PANEL_CONTROL'!$C$81, 0)</f>
        <v>0</v>
      </c>
      <c r="CD43" s="33">
        <f>IF('7_EQUIPO_RRHH'!CD$8=2, '1_PANEL_CONTROL'!$C$81, 0)</f>
        <v>0</v>
      </c>
      <c r="CE43" s="33">
        <f>IF('7_EQUIPO_RRHH'!CE$8=2, '1_PANEL_CONTROL'!$C$81, 0)</f>
        <v>0</v>
      </c>
      <c r="CF43" s="33">
        <f>IF('7_EQUIPO_RRHH'!CF$8=2, '1_PANEL_CONTROL'!$C$81, 0)</f>
        <v>0</v>
      </c>
      <c r="CG43" s="33">
        <f>IF('7_EQUIPO_RRHH'!CG$8=2, '1_PANEL_CONTROL'!$C$81, 0)</f>
        <v>0</v>
      </c>
      <c r="CH43" s="33">
        <f>IF('7_EQUIPO_RRHH'!CH$8=2, '1_PANEL_CONTROL'!$C$81, 0)</f>
        <v>0</v>
      </c>
      <c r="CI43" s="33">
        <f>IF('7_EQUIPO_RRHH'!CI$8=2, '1_PANEL_CONTROL'!$C$81, 0)</f>
        <v>0</v>
      </c>
    </row>
    <row r="44" spans="1:87" ht="16.5">
      <c r="A44" s="6" t="s">
        <v>670</v>
      </c>
      <c r="B44" s="30" t="s">
        <v>465</v>
      </c>
      <c r="C44" s="17" t="s">
        <v>671</v>
      </c>
      <c r="D44" s="33">
        <f>IF('7_EQUIPO_RRHH'!D$8=3, '1_PANEL_CONTROL'!$C$82, 0)</f>
        <v>0</v>
      </c>
      <c r="E44" s="33">
        <f>IF('7_EQUIPO_RRHH'!E$8=3, '1_PANEL_CONTROL'!$C$82, 0)</f>
        <v>0</v>
      </c>
      <c r="F44" s="33">
        <f>IF('7_EQUIPO_RRHH'!F$8=3, '1_PANEL_CONTROL'!$C$82, 0)</f>
        <v>3146.85</v>
      </c>
      <c r="G44" s="33">
        <f>IF('7_EQUIPO_RRHH'!G$8=3, '1_PANEL_CONTROL'!$C$82, 0)</f>
        <v>0</v>
      </c>
      <c r="H44" s="33">
        <f>IF('7_EQUIPO_RRHH'!H$8=3, '1_PANEL_CONTROL'!$C$82, 0)</f>
        <v>0</v>
      </c>
      <c r="I44" s="33">
        <f>IF('7_EQUIPO_RRHH'!I$8=3, '1_PANEL_CONTROL'!$C$82, 0)</f>
        <v>0</v>
      </c>
      <c r="J44" s="33">
        <f>IF('7_EQUIPO_RRHH'!J$8=3, '1_PANEL_CONTROL'!$C$82, 0)</f>
        <v>0</v>
      </c>
      <c r="K44" s="33">
        <f>IF('7_EQUIPO_RRHH'!K$8=3, '1_PANEL_CONTROL'!$C$82, 0)</f>
        <v>0</v>
      </c>
      <c r="L44" s="33">
        <f>IF('7_EQUIPO_RRHH'!L$8=3, '1_PANEL_CONTROL'!$C$82, 0)</f>
        <v>0</v>
      </c>
      <c r="M44" s="33">
        <f>IF('7_EQUIPO_RRHH'!M$8=3, '1_PANEL_CONTROL'!$C$82, 0)</f>
        <v>0</v>
      </c>
      <c r="N44" s="33">
        <f>IF('7_EQUIPO_RRHH'!N$8=3, '1_PANEL_CONTROL'!$C$82, 0)</f>
        <v>0</v>
      </c>
      <c r="O44" s="33">
        <f>IF('7_EQUIPO_RRHH'!O$8=3, '1_PANEL_CONTROL'!$C$82, 0)</f>
        <v>0</v>
      </c>
      <c r="P44" s="33">
        <f>IF('7_EQUIPO_RRHH'!P$8=3, '1_PANEL_CONTROL'!$C$82, 0)</f>
        <v>0</v>
      </c>
      <c r="Q44" s="33">
        <f>IF('7_EQUIPO_RRHH'!Q$8=3, '1_PANEL_CONTROL'!$C$82, 0)</f>
        <v>0</v>
      </c>
      <c r="R44" s="33">
        <f>IF('7_EQUIPO_RRHH'!R$8=3, '1_PANEL_CONTROL'!$C$82, 0)</f>
        <v>0</v>
      </c>
      <c r="S44" s="33">
        <f>IF('7_EQUIPO_RRHH'!S$8=3, '1_PANEL_CONTROL'!$C$82, 0)</f>
        <v>0</v>
      </c>
      <c r="T44" s="33">
        <f>IF('7_EQUIPO_RRHH'!T$8=3, '1_PANEL_CONTROL'!$C$82, 0)</f>
        <v>0</v>
      </c>
      <c r="U44" s="33">
        <f>IF('7_EQUIPO_RRHH'!U$8=3, '1_PANEL_CONTROL'!$C$82, 0)</f>
        <v>0</v>
      </c>
      <c r="V44" s="33">
        <f>IF('7_EQUIPO_RRHH'!V$8=3, '1_PANEL_CONTROL'!$C$82, 0)</f>
        <v>0</v>
      </c>
      <c r="W44" s="33">
        <f>IF('7_EQUIPO_RRHH'!W$8=3, '1_PANEL_CONTROL'!$C$82, 0)</f>
        <v>0</v>
      </c>
      <c r="X44" s="33">
        <f>IF('7_EQUIPO_RRHH'!X$8=3, '1_PANEL_CONTROL'!$C$82, 0)</f>
        <v>0</v>
      </c>
      <c r="Y44" s="33">
        <f>IF('7_EQUIPO_RRHH'!Y$8=3, '1_PANEL_CONTROL'!$C$82, 0)</f>
        <v>0</v>
      </c>
      <c r="Z44" s="33">
        <f>IF('7_EQUIPO_RRHH'!Z$8=3, '1_PANEL_CONTROL'!$C$82, 0)</f>
        <v>0</v>
      </c>
      <c r="AA44" s="33">
        <f>IF('7_EQUIPO_RRHH'!AA$8=3, '1_PANEL_CONTROL'!$C$82, 0)</f>
        <v>0</v>
      </c>
      <c r="AB44" s="33">
        <f>IF('7_EQUIPO_RRHH'!AB$8=3, '1_PANEL_CONTROL'!$C$82, 0)</f>
        <v>0</v>
      </c>
      <c r="AC44" s="33">
        <f>IF('7_EQUIPO_RRHH'!AC$8=3, '1_PANEL_CONTROL'!$C$82, 0)</f>
        <v>0</v>
      </c>
      <c r="AD44" s="33">
        <f>IF('7_EQUIPO_RRHH'!AD$8=3, '1_PANEL_CONTROL'!$C$82, 0)</f>
        <v>0</v>
      </c>
      <c r="AE44" s="33">
        <f>IF('7_EQUIPO_RRHH'!AE$8=3, '1_PANEL_CONTROL'!$C$82, 0)</f>
        <v>0</v>
      </c>
      <c r="AF44" s="33">
        <f>IF('7_EQUIPO_RRHH'!AF$8=3, '1_PANEL_CONTROL'!$C$82, 0)</f>
        <v>0</v>
      </c>
      <c r="AG44" s="33">
        <f>IF('7_EQUIPO_RRHH'!AG$8=3, '1_PANEL_CONTROL'!$C$82, 0)</f>
        <v>0</v>
      </c>
      <c r="AH44" s="33">
        <f>IF('7_EQUIPO_RRHH'!AH$8=3, '1_PANEL_CONTROL'!$C$82, 0)</f>
        <v>0</v>
      </c>
      <c r="AI44" s="33">
        <f>IF('7_EQUIPO_RRHH'!AI$8=3, '1_PANEL_CONTROL'!$C$82, 0)</f>
        <v>0</v>
      </c>
      <c r="AJ44" s="33">
        <f>IF('7_EQUIPO_RRHH'!AJ$8=3, '1_PANEL_CONTROL'!$C$82, 0)</f>
        <v>0</v>
      </c>
      <c r="AK44" s="33">
        <f>IF('7_EQUIPO_RRHH'!AK$8=3, '1_PANEL_CONTROL'!$C$82, 0)</f>
        <v>0</v>
      </c>
      <c r="AL44" s="33">
        <f>IF('7_EQUIPO_RRHH'!AL$8=3, '1_PANEL_CONTROL'!$C$82, 0)</f>
        <v>0</v>
      </c>
      <c r="AM44" s="33">
        <f>IF('7_EQUIPO_RRHH'!AM$8=3, '1_PANEL_CONTROL'!$C$82, 0)</f>
        <v>0</v>
      </c>
      <c r="AN44" s="33">
        <f>IF('7_EQUIPO_RRHH'!AN$8=3, '1_PANEL_CONTROL'!$C$82, 0)</f>
        <v>0</v>
      </c>
      <c r="AO44" s="33">
        <f>IF('7_EQUIPO_RRHH'!AO$8=3, '1_PANEL_CONTROL'!$C$82, 0)</f>
        <v>0</v>
      </c>
      <c r="AP44" s="33">
        <f>IF('7_EQUIPO_RRHH'!AP$8=3, '1_PANEL_CONTROL'!$C$82, 0)</f>
        <v>0</v>
      </c>
      <c r="AQ44" s="33">
        <f>IF('7_EQUIPO_RRHH'!AQ$8=3, '1_PANEL_CONTROL'!$C$82, 0)</f>
        <v>0</v>
      </c>
      <c r="AR44" s="33">
        <f>IF('7_EQUIPO_RRHH'!AR$8=3, '1_PANEL_CONTROL'!$C$82, 0)</f>
        <v>0</v>
      </c>
      <c r="AS44" s="33">
        <f>IF('7_EQUIPO_RRHH'!AS$8=3, '1_PANEL_CONTROL'!$C$82, 0)</f>
        <v>0</v>
      </c>
      <c r="AT44" s="33">
        <f>IF('7_EQUIPO_RRHH'!AT$8=3, '1_PANEL_CONTROL'!$C$82, 0)</f>
        <v>0</v>
      </c>
      <c r="AU44" s="33">
        <f>IF('7_EQUIPO_RRHH'!AU$8=3, '1_PANEL_CONTROL'!$C$82, 0)</f>
        <v>0</v>
      </c>
      <c r="AV44" s="33">
        <f>IF('7_EQUIPO_RRHH'!AV$8=3, '1_PANEL_CONTROL'!$C$82, 0)</f>
        <v>0</v>
      </c>
      <c r="AW44" s="33">
        <f>IF('7_EQUIPO_RRHH'!AW$8=3, '1_PANEL_CONTROL'!$C$82, 0)</f>
        <v>0</v>
      </c>
      <c r="AX44" s="33">
        <f>IF('7_EQUIPO_RRHH'!AX$8=3, '1_PANEL_CONTROL'!$C$82, 0)</f>
        <v>0</v>
      </c>
      <c r="AY44" s="33">
        <f>IF('7_EQUIPO_RRHH'!AY$8=3, '1_PANEL_CONTROL'!$C$82, 0)</f>
        <v>0</v>
      </c>
      <c r="AZ44" s="33">
        <f>IF('7_EQUIPO_RRHH'!AZ$8=3, '1_PANEL_CONTROL'!$C$82, 0)</f>
        <v>0</v>
      </c>
      <c r="BA44" s="33">
        <f>IF('7_EQUIPO_RRHH'!BA$8=3, '1_PANEL_CONTROL'!$C$82, 0)</f>
        <v>0</v>
      </c>
      <c r="BB44" s="33">
        <f>IF('7_EQUIPO_RRHH'!BB$8=3, '1_PANEL_CONTROL'!$C$82, 0)</f>
        <v>0</v>
      </c>
      <c r="BC44" s="33">
        <f>IF('7_EQUIPO_RRHH'!BC$8=3, '1_PANEL_CONTROL'!$C$82, 0)</f>
        <v>0</v>
      </c>
      <c r="BD44" s="33">
        <f>IF('7_EQUIPO_RRHH'!BD$8=3, '1_PANEL_CONTROL'!$C$82, 0)</f>
        <v>0</v>
      </c>
      <c r="BE44" s="33">
        <f>IF('7_EQUIPO_RRHH'!BE$8=3, '1_PANEL_CONTROL'!$C$82, 0)</f>
        <v>0</v>
      </c>
      <c r="BF44" s="33">
        <f>IF('7_EQUIPO_RRHH'!BF$8=3, '1_PANEL_CONTROL'!$C$82, 0)</f>
        <v>0</v>
      </c>
      <c r="BG44" s="33">
        <f>IF('7_EQUIPO_RRHH'!BG$8=3, '1_PANEL_CONTROL'!$C$82, 0)</f>
        <v>0</v>
      </c>
      <c r="BH44" s="33">
        <f>IF('7_EQUIPO_RRHH'!BH$8=3, '1_PANEL_CONTROL'!$C$82, 0)</f>
        <v>0</v>
      </c>
      <c r="BI44" s="33">
        <f>IF('7_EQUIPO_RRHH'!BI$8=3, '1_PANEL_CONTROL'!$C$82, 0)</f>
        <v>0</v>
      </c>
      <c r="BJ44" s="33">
        <f>IF('7_EQUIPO_RRHH'!BJ$8=3, '1_PANEL_CONTROL'!$C$82, 0)</f>
        <v>0</v>
      </c>
      <c r="BK44" s="33">
        <f>IF('7_EQUIPO_RRHH'!BK$8=3, '1_PANEL_CONTROL'!$C$82, 0)</f>
        <v>0</v>
      </c>
      <c r="BL44" s="33">
        <f>IF('7_EQUIPO_RRHH'!BL$8=3, '1_PANEL_CONTROL'!$C$82, 0)</f>
        <v>0</v>
      </c>
      <c r="BM44" s="33">
        <f>IF('7_EQUIPO_RRHH'!BM$8=3, '1_PANEL_CONTROL'!$C$82, 0)</f>
        <v>0</v>
      </c>
      <c r="BN44" s="33">
        <f>IF('7_EQUIPO_RRHH'!BN$8=3, '1_PANEL_CONTROL'!$C$82, 0)</f>
        <v>0</v>
      </c>
      <c r="BO44" s="33">
        <f>IF('7_EQUIPO_RRHH'!BO$8=3, '1_PANEL_CONTROL'!$C$82, 0)</f>
        <v>0</v>
      </c>
      <c r="BP44" s="33">
        <f>IF('7_EQUIPO_RRHH'!BP$8=3, '1_PANEL_CONTROL'!$C$82, 0)</f>
        <v>0</v>
      </c>
      <c r="BQ44" s="33">
        <f>IF('7_EQUIPO_RRHH'!BQ$8=3, '1_PANEL_CONTROL'!$C$82, 0)</f>
        <v>0</v>
      </c>
      <c r="BR44" s="33">
        <f>IF('7_EQUIPO_RRHH'!BR$8=3, '1_PANEL_CONTROL'!$C$82, 0)</f>
        <v>0</v>
      </c>
      <c r="BS44" s="33">
        <f>IF('7_EQUIPO_RRHH'!BS$8=3, '1_PANEL_CONTROL'!$C$82, 0)</f>
        <v>0</v>
      </c>
      <c r="BT44" s="33">
        <f>IF('7_EQUIPO_RRHH'!BT$8=3, '1_PANEL_CONTROL'!$C$82, 0)</f>
        <v>0</v>
      </c>
      <c r="BU44" s="33">
        <f>IF('7_EQUIPO_RRHH'!BU$8=3, '1_PANEL_CONTROL'!$C$82, 0)</f>
        <v>0</v>
      </c>
      <c r="BV44" s="33">
        <f>IF('7_EQUIPO_RRHH'!BV$8=3, '1_PANEL_CONTROL'!$C$82, 0)</f>
        <v>0</v>
      </c>
      <c r="BW44" s="33">
        <f>IF('7_EQUIPO_RRHH'!BW$8=3, '1_PANEL_CONTROL'!$C$82, 0)</f>
        <v>0</v>
      </c>
      <c r="BX44" s="33">
        <f>IF('7_EQUIPO_RRHH'!BX$8=3, '1_PANEL_CONTROL'!$C$82, 0)</f>
        <v>0</v>
      </c>
      <c r="BY44" s="33">
        <f>IF('7_EQUIPO_RRHH'!BY$8=3, '1_PANEL_CONTROL'!$C$82, 0)</f>
        <v>0</v>
      </c>
      <c r="BZ44" s="33">
        <f>IF('7_EQUIPO_RRHH'!BZ$8=3, '1_PANEL_CONTROL'!$C$82, 0)</f>
        <v>0</v>
      </c>
      <c r="CA44" s="33">
        <f>IF('7_EQUIPO_RRHH'!CA$8=3, '1_PANEL_CONTROL'!$C$82, 0)</f>
        <v>0</v>
      </c>
      <c r="CB44" s="33">
        <f>IF('7_EQUIPO_RRHH'!CB$8=3, '1_PANEL_CONTROL'!$C$82, 0)</f>
        <v>0</v>
      </c>
      <c r="CC44" s="33">
        <f>IF('7_EQUIPO_RRHH'!CC$8=3, '1_PANEL_CONTROL'!$C$82, 0)</f>
        <v>0</v>
      </c>
      <c r="CD44" s="33">
        <f>IF('7_EQUIPO_RRHH'!CD$8=3, '1_PANEL_CONTROL'!$C$82, 0)</f>
        <v>0</v>
      </c>
      <c r="CE44" s="33">
        <f>IF('7_EQUIPO_RRHH'!CE$8=3, '1_PANEL_CONTROL'!$C$82, 0)</f>
        <v>0</v>
      </c>
      <c r="CF44" s="33">
        <f>IF('7_EQUIPO_RRHH'!CF$8=3, '1_PANEL_CONTROL'!$C$82, 0)</f>
        <v>0</v>
      </c>
      <c r="CG44" s="33">
        <f>IF('7_EQUIPO_RRHH'!CG$8=3, '1_PANEL_CONTROL'!$C$82, 0)</f>
        <v>0</v>
      </c>
      <c r="CH44" s="33">
        <f>IF('7_EQUIPO_RRHH'!CH$8=3, '1_PANEL_CONTROL'!$C$82, 0)</f>
        <v>0</v>
      </c>
      <c r="CI44" s="33">
        <f>IF('7_EQUIPO_RRHH'!CI$8=3, '1_PANEL_CONTROL'!$C$82, 0)</f>
        <v>0</v>
      </c>
    </row>
    <row r="45" spans="1:87" ht="16.5">
      <c r="A45" s="6" t="s">
        <v>672</v>
      </c>
      <c r="B45" s="30" t="s">
        <v>465</v>
      </c>
      <c r="C45" s="17" t="s">
        <v>673</v>
      </c>
      <c r="D45" s="33">
        <f>IF('7_EQUIPO_RRHH'!D$8=10, '1_PANEL_CONTROL'!$C$83, 0)</f>
        <v>0</v>
      </c>
      <c r="E45" s="33">
        <f>IF('7_EQUIPO_RRHH'!E$8=10, '1_PANEL_CONTROL'!$C$83, 0)</f>
        <v>0</v>
      </c>
      <c r="F45" s="33">
        <f>IF('7_EQUIPO_RRHH'!F$8=10, '1_PANEL_CONTROL'!$C$83, 0)</f>
        <v>0</v>
      </c>
      <c r="G45" s="33">
        <f>IF('7_EQUIPO_RRHH'!G$8=10, '1_PANEL_CONTROL'!$C$83, 0)</f>
        <v>0</v>
      </c>
      <c r="H45" s="33">
        <f>IF('7_EQUIPO_RRHH'!H$8=10, '1_PANEL_CONTROL'!$C$83, 0)</f>
        <v>0</v>
      </c>
      <c r="I45" s="33">
        <f>IF('7_EQUIPO_RRHH'!I$8=10, '1_PANEL_CONTROL'!$C$83, 0)</f>
        <v>0</v>
      </c>
      <c r="J45" s="33">
        <f>IF('7_EQUIPO_RRHH'!J$8=10, '1_PANEL_CONTROL'!$C$83, 0)</f>
        <v>0</v>
      </c>
      <c r="K45" s="33">
        <f>IF('7_EQUIPO_RRHH'!K$8=10, '1_PANEL_CONTROL'!$C$83, 0)</f>
        <v>0</v>
      </c>
      <c r="L45" s="33">
        <f>IF('7_EQUIPO_RRHH'!L$8=10, '1_PANEL_CONTROL'!$C$83, 0)</f>
        <v>0</v>
      </c>
      <c r="M45" s="33">
        <f>IF('7_EQUIPO_RRHH'!M$8=10, '1_PANEL_CONTROL'!$C$83, 0)</f>
        <v>1800</v>
      </c>
      <c r="N45" s="33">
        <f>IF('7_EQUIPO_RRHH'!N$8=10, '1_PANEL_CONTROL'!$C$83, 0)</f>
        <v>0</v>
      </c>
      <c r="O45" s="33">
        <f>IF('7_EQUIPO_RRHH'!O$8=10, '1_PANEL_CONTROL'!$C$83, 0)</f>
        <v>0</v>
      </c>
      <c r="P45" s="33">
        <f>IF('7_EQUIPO_RRHH'!P$8=10, '1_PANEL_CONTROL'!$C$83, 0)</f>
        <v>0</v>
      </c>
      <c r="Q45" s="33">
        <f>IF('7_EQUIPO_RRHH'!Q$8=10, '1_PANEL_CONTROL'!$C$83, 0)</f>
        <v>0</v>
      </c>
      <c r="R45" s="33">
        <f>IF('7_EQUIPO_RRHH'!R$8=10, '1_PANEL_CONTROL'!$C$83, 0)</f>
        <v>0</v>
      </c>
      <c r="S45" s="33">
        <f>IF('7_EQUIPO_RRHH'!S$8=10, '1_PANEL_CONTROL'!$C$83, 0)</f>
        <v>0</v>
      </c>
      <c r="T45" s="33">
        <f>IF('7_EQUIPO_RRHH'!T$8=10, '1_PANEL_CONTROL'!$C$83, 0)</f>
        <v>0</v>
      </c>
      <c r="U45" s="33">
        <f>IF('7_EQUIPO_RRHH'!U$8=10, '1_PANEL_CONTROL'!$C$83, 0)</f>
        <v>0</v>
      </c>
      <c r="V45" s="33">
        <f>IF('7_EQUIPO_RRHH'!V$8=10, '1_PANEL_CONTROL'!$C$83, 0)</f>
        <v>0</v>
      </c>
      <c r="W45" s="33">
        <f>IF('7_EQUIPO_RRHH'!W$8=10, '1_PANEL_CONTROL'!$C$83, 0)</f>
        <v>0</v>
      </c>
      <c r="X45" s="33">
        <f>IF('7_EQUIPO_RRHH'!X$8=10, '1_PANEL_CONTROL'!$C$83, 0)</f>
        <v>0</v>
      </c>
      <c r="Y45" s="33">
        <f>IF('7_EQUIPO_RRHH'!Y$8=10, '1_PANEL_CONTROL'!$C$83, 0)</f>
        <v>0</v>
      </c>
      <c r="Z45" s="33">
        <f>IF('7_EQUIPO_RRHH'!Z$8=10, '1_PANEL_CONTROL'!$C$83, 0)</f>
        <v>0</v>
      </c>
      <c r="AA45" s="33">
        <f>IF('7_EQUIPO_RRHH'!AA$8=10, '1_PANEL_CONTROL'!$C$83, 0)</f>
        <v>0</v>
      </c>
      <c r="AB45" s="33">
        <f>IF('7_EQUIPO_RRHH'!AB$8=10, '1_PANEL_CONTROL'!$C$83, 0)</f>
        <v>0</v>
      </c>
      <c r="AC45" s="33">
        <f>IF('7_EQUIPO_RRHH'!AC$8=10, '1_PANEL_CONTROL'!$C$83, 0)</f>
        <v>0</v>
      </c>
      <c r="AD45" s="33">
        <f>IF('7_EQUIPO_RRHH'!AD$8=10, '1_PANEL_CONTROL'!$C$83, 0)</f>
        <v>0</v>
      </c>
      <c r="AE45" s="33">
        <f>IF('7_EQUIPO_RRHH'!AE$8=10, '1_PANEL_CONTROL'!$C$83, 0)</f>
        <v>0</v>
      </c>
      <c r="AF45" s="33">
        <f>IF('7_EQUIPO_RRHH'!AF$8=10, '1_PANEL_CONTROL'!$C$83, 0)</f>
        <v>0</v>
      </c>
      <c r="AG45" s="33">
        <f>IF('7_EQUIPO_RRHH'!AG$8=10, '1_PANEL_CONTROL'!$C$83, 0)</f>
        <v>0</v>
      </c>
      <c r="AH45" s="33">
        <f>IF('7_EQUIPO_RRHH'!AH$8=10, '1_PANEL_CONTROL'!$C$83, 0)</f>
        <v>0</v>
      </c>
      <c r="AI45" s="33">
        <f>IF('7_EQUIPO_RRHH'!AI$8=10, '1_PANEL_CONTROL'!$C$83, 0)</f>
        <v>0</v>
      </c>
      <c r="AJ45" s="33">
        <f>IF('7_EQUIPO_RRHH'!AJ$8=10, '1_PANEL_CONTROL'!$C$83, 0)</f>
        <v>0</v>
      </c>
      <c r="AK45" s="33">
        <f>IF('7_EQUIPO_RRHH'!AK$8=10, '1_PANEL_CONTROL'!$C$83, 0)</f>
        <v>0</v>
      </c>
      <c r="AL45" s="33">
        <f>IF('7_EQUIPO_RRHH'!AL$8=10, '1_PANEL_CONTROL'!$C$83, 0)</f>
        <v>0</v>
      </c>
      <c r="AM45" s="33">
        <f>IF('7_EQUIPO_RRHH'!AM$8=10, '1_PANEL_CONTROL'!$C$83, 0)</f>
        <v>0</v>
      </c>
      <c r="AN45" s="33">
        <f>IF('7_EQUIPO_RRHH'!AN$8=10, '1_PANEL_CONTROL'!$C$83, 0)</f>
        <v>0</v>
      </c>
      <c r="AO45" s="33">
        <f>IF('7_EQUIPO_RRHH'!AO$8=10, '1_PANEL_CONTROL'!$C$83, 0)</f>
        <v>0</v>
      </c>
      <c r="AP45" s="33">
        <f>IF('7_EQUIPO_RRHH'!AP$8=10, '1_PANEL_CONTROL'!$C$83, 0)</f>
        <v>0</v>
      </c>
      <c r="AQ45" s="33">
        <f>IF('7_EQUIPO_RRHH'!AQ$8=10, '1_PANEL_CONTROL'!$C$83, 0)</f>
        <v>0</v>
      </c>
      <c r="AR45" s="33">
        <f>IF('7_EQUIPO_RRHH'!AR$8=10, '1_PANEL_CONTROL'!$C$83, 0)</f>
        <v>0</v>
      </c>
      <c r="AS45" s="33">
        <f>IF('7_EQUIPO_RRHH'!AS$8=10, '1_PANEL_CONTROL'!$C$83, 0)</f>
        <v>0</v>
      </c>
      <c r="AT45" s="33">
        <f>IF('7_EQUIPO_RRHH'!AT$8=10, '1_PANEL_CONTROL'!$C$83, 0)</f>
        <v>0</v>
      </c>
      <c r="AU45" s="33">
        <f>IF('7_EQUIPO_RRHH'!AU$8=10, '1_PANEL_CONTROL'!$C$83, 0)</f>
        <v>0</v>
      </c>
      <c r="AV45" s="33">
        <f>IF('7_EQUIPO_RRHH'!AV$8=10, '1_PANEL_CONTROL'!$C$83, 0)</f>
        <v>0</v>
      </c>
      <c r="AW45" s="33">
        <f>IF('7_EQUIPO_RRHH'!AW$8=10, '1_PANEL_CONTROL'!$C$83, 0)</f>
        <v>0</v>
      </c>
      <c r="AX45" s="33">
        <f>IF('7_EQUIPO_RRHH'!AX$8=10, '1_PANEL_CONTROL'!$C$83, 0)</f>
        <v>0</v>
      </c>
      <c r="AY45" s="33">
        <f>IF('7_EQUIPO_RRHH'!AY$8=10, '1_PANEL_CONTROL'!$C$83, 0)</f>
        <v>0</v>
      </c>
      <c r="AZ45" s="33">
        <f>IF('7_EQUIPO_RRHH'!AZ$8=10, '1_PANEL_CONTROL'!$C$83, 0)</f>
        <v>0</v>
      </c>
      <c r="BA45" s="33">
        <f>IF('7_EQUIPO_RRHH'!BA$8=10, '1_PANEL_CONTROL'!$C$83, 0)</f>
        <v>0</v>
      </c>
      <c r="BB45" s="33">
        <f>IF('7_EQUIPO_RRHH'!BB$8=10, '1_PANEL_CONTROL'!$C$83, 0)</f>
        <v>0</v>
      </c>
      <c r="BC45" s="33">
        <f>IF('7_EQUIPO_RRHH'!BC$8=10, '1_PANEL_CONTROL'!$C$83, 0)</f>
        <v>0</v>
      </c>
      <c r="BD45" s="33">
        <f>IF('7_EQUIPO_RRHH'!BD$8=10, '1_PANEL_CONTROL'!$C$83, 0)</f>
        <v>0</v>
      </c>
      <c r="BE45" s="33">
        <f>IF('7_EQUIPO_RRHH'!BE$8=10, '1_PANEL_CONTROL'!$C$83, 0)</f>
        <v>0</v>
      </c>
      <c r="BF45" s="33">
        <f>IF('7_EQUIPO_RRHH'!BF$8=10, '1_PANEL_CONTROL'!$C$83, 0)</f>
        <v>0</v>
      </c>
      <c r="BG45" s="33">
        <f>IF('7_EQUIPO_RRHH'!BG$8=10, '1_PANEL_CONTROL'!$C$83, 0)</f>
        <v>0</v>
      </c>
      <c r="BH45" s="33">
        <f>IF('7_EQUIPO_RRHH'!BH$8=10, '1_PANEL_CONTROL'!$C$83, 0)</f>
        <v>0</v>
      </c>
      <c r="BI45" s="33">
        <f>IF('7_EQUIPO_RRHH'!BI$8=10, '1_PANEL_CONTROL'!$C$83, 0)</f>
        <v>0</v>
      </c>
      <c r="BJ45" s="33">
        <f>IF('7_EQUIPO_RRHH'!BJ$8=10, '1_PANEL_CONTROL'!$C$83, 0)</f>
        <v>0</v>
      </c>
      <c r="BK45" s="33">
        <f>IF('7_EQUIPO_RRHH'!BK$8=10, '1_PANEL_CONTROL'!$C$83, 0)</f>
        <v>0</v>
      </c>
      <c r="BL45" s="33">
        <f>IF('7_EQUIPO_RRHH'!BL$8=10, '1_PANEL_CONTROL'!$C$83, 0)</f>
        <v>0</v>
      </c>
      <c r="BM45" s="33">
        <f>IF('7_EQUIPO_RRHH'!BM$8=10, '1_PANEL_CONTROL'!$C$83, 0)</f>
        <v>0</v>
      </c>
      <c r="BN45" s="33">
        <f>IF('7_EQUIPO_RRHH'!BN$8=10, '1_PANEL_CONTROL'!$C$83, 0)</f>
        <v>0</v>
      </c>
      <c r="BO45" s="33">
        <f>IF('7_EQUIPO_RRHH'!BO$8=10, '1_PANEL_CONTROL'!$C$83, 0)</f>
        <v>0</v>
      </c>
      <c r="BP45" s="33">
        <f>IF('7_EQUIPO_RRHH'!BP$8=10, '1_PANEL_CONTROL'!$C$83, 0)</f>
        <v>0</v>
      </c>
      <c r="BQ45" s="33">
        <f>IF('7_EQUIPO_RRHH'!BQ$8=10, '1_PANEL_CONTROL'!$C$83, 0)</f>
        <v>0</v>
      </c>
      <c r="BR45" s="33">
        <f>IF('7_EQUIPO_RRHH'!BR$8=10, '1_PANEL_CONTROL'!$C$83, 0)</f>
        <v>0</v>
      </c>
      <c r="BS45" s="33">
        <f>IF('7_EQUIPO_RRHH'!BS$8=10, '1_PANEL_CONTROL'!$C$83, 0)</f>
        <v>0</v>
      </c>
      <c r="BT45" s="33">
        <f>IF('7_EQUIPO_RRHH'!BT$8=10, '1_PANEL_CONTROL'!$C$83, 0)</f>
        <v>0</v>
      </c>
      <c r="BU45" s="33">
        <f>IF('7_EQUIPO_RRHH'!BU$8=10, '1_PANEL_CONTROL'!$C$83, 0)</f>
        <v>0</v>
      </c>
      <c r="BV45" s="33">
        <f>IF('7_EQUIPO_RRHH'!BV$8=10, '1_PANEL_CONTROL'!$C$83, 0)</f>
        <v>0</v>
      </c>
      <c r="BW45" s="33">
        <f>IF('7_EQUIPO_RRHH'!BW$8=10, '1_PANEL_CONTROL'!$C$83, 0)</f>
        <v>0</v>
      </c>
      <c r="BX45" s="33">
        <f>IF('7_EQUIPO_RRHH'!BX$8=10, '1_PANEL_CONTROL'!$C$83, 0)</f>
        <v>0</v>
      </c>
      <c r="BY45" s="33">
        <f>IF('7_EQUIPO_RRHH'!BY$8=10, '1_PANEL_CONTROL'!$C$83, 0)</f>
        <v>0</v>
      </c>
      <c r="BZ45" s="33">
        <f>IF('7_EQUIPO_RRHH'!BZ$8=10, '1_PANEL_CONTROL'!$C$83, 0)</f>
        <v>0</v>
      </c>
      <c r="CA45" s="33">
        <f>IF('7_EQUIPO_RRHH'!CA$8=10, '1_PANEL_CONTROL'!$C$83, 0)</f>
        <v>0</v>
      </c>
      <c r="CB45" s="33">
        <f>IF('7_EQUIPO_RRHH'!CB$8=10, '1_PANEL_CONTROL'!$C$83, 0)</f>
        <v>0</v>
      </c>
      <c r="CC45" s="33">
        <f>IF('7_EQUIPO_RRHH'!CC$8=10, '1_PANEL_CONTROL'!$C$83, 0)</f>
        <v>0</v>
      </c>
      <c r="CD45" s="33">
        <f>IF('7_EQUIPO_RRHH'!CD$8=10, '1_PANEL_CONTROL'!$C$83, 0)</f>
        <v>0</v>
      </c>
      <c r="CE45" s="33">
        <f>IF('7_EQUIPO_RRHH'!CE$8=10, '1_PANEL_CONTROL'!$C$83, 0)</f>
        <v>0</v>
      </c>
      <c r="CF45" s="33">
        <f>IF('7_EQUIPO_RRHH'!CF$8=10, '1_PANEL_CONTROL'!$C$83, 0)</f>
        <v>0</v>
      </c>
      <c r="CG45" s="33">
        <f>IF('7_EQUIPO_RRHH'!CG$8=10, '1_PANEL_CONTROL'!$C$83, 0)</f>
        <v>0</v>
      </c>
      <c r="CH45" s="33">
        <f>IF('7_EQUIPO_RRHH'!CH$8=10, '1_PANEL_CONTROL'!$C$83, 0)</f>
        <v>0</v>
      </c>
      <c r="CI45" s="33">
        <f>IF('7_EQUIPO_RRHH'!CI$8=10, '1_PANEL_CONTROL'!$C$83, 0)</f>
        <v>0</v>
      </c>
    </row>
    <row r="46" spans="1:87" ht="16.5">
      <c r="A46" s="6" t="s">
        <v>674</v>
      </c>
      <c r="B46" s="30" t="s">
        <v>465</v>
      </c>
      <c r="C46" s="17" t="s">
        <v>675</v>
      </c>
      <c r="D46" s="33">
        <f>'9_FLUJO_CAJA'!D22</f>
        <v>0</v>
      </c>
      <c r="E46" s="33">
        <f>'9_FLUJO_CAJA'!E22</f>
        <v>0</v>
      </c>
      <c r="F46" s="33">
        <f>'9_FLUJO_CAJA'!F22</f>
        <v>0</v>
      </c>
      <c r="G46" s="33">
        <f>'9_FLUJO_CAJA'!G22</f>
        <v>0</v>
      </c>
      <c r="H46" s="33">
        <f>'9_FLUJO_CAJA'!H22</f>
        <v>0</v>
      </c>
      <c r="I46" s="33">
        <f>'9_FLUJO_CAJA'!I22</f>
        <v>0</v>
      </c>
      <c r="J46" s="33">
        <f>'9_FLUJO_CAJA'!J22</f>
        <v>0</v>
      </c>
      <c r="K46" s="33">
        <f>'9_FLUJO_CAJA'!K22</f>
        <v>0</v>
      </c>
      <c r="L46" s="33">
        <f>'9_FLUJO_CAJA'!L22</f>
        <v>0</v>
      </c>
      <c r="M46" s="33">
        <f>'9_FLUJO_CAJA'!M22</f>
        <v>0</v>
      </c>
      <c r="N46" s="33">
        <f>'9_FLUJO_CAJA'!N22</f>
        <v>0</v>
      </c>
      <c r="O46" s="33">
        <f>'9_FLUJO_CAJA'!O22</f>
        <v>0</v>
      </c>
      <c r="P46" s="33">
        <f>'9_FLUJO_CAJA'!P22</f>
        <v>0</v>
      </c>
      <c r="Q46" s="33">
        <f>'9_FLUJO_CAJA'!Q22</f>
        <v>0</v>
      </c>
      <c r="R46" s="33">
        <f>'9_FLUJO_CAJA'!R22</f>
        <v>0</v>
      </c>
      <c r="S46" s="33">
        <f>'9_FLUJO_CAJA'!S22</f>
        <v>0</v>
      </c>
      <c r="T46" s="33">
        <f>'9_FLUJO_CAJA'!T22</f>
        <v>0</v>
      </c>
      <c r="U46" s="33">
        <f>'9_FLUJO_CAJA'!U22</f>
        <v>0</v>
      </c>
      <c r="V46" s="33">
        <f>'9_FLUJO_CAJA'!V22</f>
        <v>0</v>
      </c>
      <c r="W46" s="33">
        <f>'9_FLUJO_CAJA'!W22</f>
        <v>0</v>
      </c>
      <c r="X46" s="33">
        <f>'9_FLUJO_CAJA'!X22</f>
        <v>0</v>
      </c>
      <c r="Y46" s="33">
        <f>'9_FLUJO_CAJA'!Y22</f>
        <v>0</v>
      </c>
      <c r="Z46" s="33">
        <f>'9_FLUJO_CAJA'!Z22</f>
        <v>0</v>
      </c>
      <c r="AA46" s="33">
        <f>'9_FLUJO_CAJA'!AA22</f>
        <v>0</v>
      </c>
      <c r="AB46" s="33">
        <f>'9_FLUJO_CAJA'!AB22</f>
        <v>0</v>
      </c>
      <c r="AC46" s="33">
        <f>'9_FLUJO_CAJA'!AC22</f>
        <v>0</v>
      </c>
      <c r="AD46" s="33">
        <f>'9_FLUJO_CAJA'!AD22</f>
        <v>0</v>
      </c>
      <c r="AE46" s="33">
        <f>'9_FLUJO_CAJA'!AE22</f>
        <v>0</v>
      </c>
      <c r="AF46" s="33">
        <f>'9_FLUJO_CAJA'!AF22</f>
        <v>0</v>
      </c>
      <c r="AG46" s="33">
        <f>'9_FLUJO_CAJA'!AG22</f>
        <v>0</v>
      </c>
      <c r="AH46" s="33">
        <f>'9_FLUJO_CAJA'!AH22</f>
        <v>0</v>
      </c>
      <c r="AI46" s="33">
        <f>'9_FLUJO_CAJA'!AI22</f>
        <v>0</v>
      </c>
      <c r="AJ46" s="33">
        <f>'9_FLUJO_CAJA'!AJ22</f>
        <v>0</v>
      </c>
      <c r="AK46" s="33">
        <f>'9_FLUJO_CAJA'!AK22</f>
        <v>0</v>
      </c>
      <c r="AL46" s="33">
        <f>'9_FLUJO_CAJA'!AL22</f>
        <v>0</v>
      </c>
      <c r="AM46" s="33">
        <f>'9_FLUJO_CAJA'!AM22</f>
        <v>0</v>
      </c>
      <c r="AN46" s="33">
        <f>'9_FLUJO_CAJA'!AN22</f>
        <v>0</v>
      </c>
      <c r="AO46" s="33">
        <f>'9_FLUJO_CAJA'!AO22</f>
        <v>0</v>
      </c>
      <c r="AP46" s="33">
        <f>'9_FLUJO_CAJA'!AP22</f>
        <v>0</v>
      </c>
      <c r="AQ46" s="33">
        <f>'9_FLUJO_CAJA'!AQ22</f>
        <v>0</v>
      </c>
      <c r="AR46" s="33">
        <f>'9_FLUJO_CAJA'!AR22</f>
        <v>0</v>
      </c>
      <c r="AS46" s="33">
        <f>'9_FLUJO_CAJA'!AS22</f>
        <v>0</v>
      </c>
      <c r="AT46" s="33">
        <f>'9_FLUJO_CAJA'!AT22</f>
        <v>0</v>
      </c>
      <c r="AU46" s="33">
        <f>'9_FLUJO_CAJA'!AU22</f>
        <v>0</v>
      </c>
      <c r="AV46" s="33">
        <f>'9_FLUJO_CAJA'!AV22</f>
        <v>0</v>
      </c>
      <c r="AW46" s="33">
        <f>'9_FLUJO_CAJA'!AW22</f>
        <v>0</v>
      </c>
      <c r="AX46" s="33">
        <f>'9_FLUJO_CAJA'!AX22</f>
        <v>0</v>
      </c>
      <c r="AY46" s="33">
        <f>'9_FLUJO_CAJA'!AY22</f>
        <v>0</v>
      </c>
      <c r="AZ46" s="33">
        <f>'9_FLUJO_CAJA'!AZ22</f>
        <v>0</v>
      </c>
      <c r="BA46" s="33">
        <f>'9_FLUJO_CAJA'!BA22</f>
        <v>0</v>
      </c>
      <c r="BB46" s="33">
        <f>'9_FLUJO_CAJA'!BB22</f>
        <v>0</v>
      </c>
      <c r="BC46" s="33">
        <f>'9_FLUJO_CAJA'!BC22</f>
        <v>0</v>
      </c>
      <c r="BD46" s="33">
        <f>'9_FLUJO_CAJA'!BD22</f>
        <v>0</v>
      </c>
      <c r="BE46" s="33">
        <f>'9_FLUJO_CAJA'!BE22</f>
        <v>0</v>
      </c>
      <c r="BF46" s="33">
        <f>'9_FLUJO_CAJA'!BF22</f>
        <v>0</v>
      </c>
      <c r="BG46" s="33">
        <f>'9_FLUJO_CAJA'!BG22</f>
        <v>0</v>
      </c>
      <c r="BH46" s="33">
        <f>'9_FLUJO_CAJA'!BH22</f>
        <v>0</v>
      </c>
      <c r="BI46" s="33">
        <f>'9_FLUJO_CAJA'!BI22</f>
        <v>0</v>
      </c>
      <c r="BJ46" s="33">
        <f>'9_FLUJO_CAJA'!BJ22</f>
        <v>0</v>
      </c>
      <c r="BK46" s="33">
        <f>'9_FLUJO_CAJA'!BK22</f>
        <v>0</v>
      </c>
      <c r="BL46" s="33">
        <f>'9_FLUJO_CAJA'!BL22</f>
        <v>0</v>
      </c>
      <c r="BM46" s="33">
        <f>'9_FLUJO_CAJA'!BM22</f>
        <v>0</v>
      </c>
      <c r="BN46" s="33">
        <f>'9_FLUJO_CAJA'!BN22</f>
        <v>0</v>
      </c>
      <c r="BO46" s="33">
        <f>'9_FLUJO_CAJA'!BO22</f>
        <v>0</v>
      </c>
      <c r="BP46" s="33">
        <f>'9_FLUJO_CAJA'!BP22</f>
        <v>0</v>
      </c>
      <c r="BQ46" s="33">
        <f>'9_FLUJO_CAJA'!BQ22</f>
        <v>0</v>
      </c>
      <c r="BR46" s="33">
        <f>'9_FLUJO_CAJA'!BR22</f>
        <v>0</v>
      </c>
      <c r="BS46" s="33">
        <f>'9_FLUJO_CAJA'!BS22</f>
        <v>0</v>
      </c>
      <c r="BT46" s="33">
        <f>'9_FLUJO_CAJA'!BT22</f>
        <v>0</v>
      </c>
      <c r="BU46" s="33">
        <f>'9_FLUJO_CAJA'!BU22</f>
        <v>0</v>
      </c>
      <c r="BV46" s="33">
        <f>'9_FLUJO_CAJA'!BV22</f>
        <v>0</v>
      </c>
      <c r="BW46" s="33">
        <f>'9_FLUJO_CAJA'!BW22</f>
        <v>0</v>
      </c>
      <c r="BX46" s="33">
        <f>'9_FLUJO_CAJA'!BX22</f>
        <v>0</v>
      </c>
      <c r="BY46" s="33">
        <f>'9_FLUJO_CAJA'!BY22</f>
        <v>0</v>
      </c>
      <c r="BZ46" s="33">
        <f>'9_FLUJO_CAJA'!BZ22</f>
        <v>0</v>
      </c>
      <c r="CA46" s="33">
        <f>'9_FLUJO_CAJA'!CA22</f>
        <v>0</v>
      </c>
      <c r="CB46" s="33">
        <f>'9_FLUJO_CAJA'!CB22</f>
        <v>0</v>
      </c>
      <c r="CC46" s="33">
        <f>'9_FLUJO_CAJA'!CC22</f>
        <v>0</v>
      </c>
      <c r="CD46" s="33">
        <f>'9_FLUJO_CAJA'!CD22</f>
        <v>0</v>
      </c>
      <c r="CE46" s="33">
        <f>'9_FLUJO_CAJA'!CE22</f>
        <v>0</v>
      </c>
      <c r="CF46" s="33">
        <f>'9_FLUJO_CAJA'!CF22</f>
        <v>0</v>
      </c>
      <c r="CG46" s="33">
        <f>'9_FLUJO_CAJA'!CG22</f>
        <v>0</v>
      </c>
      <c r="CH46" s="33">
        <f>'9_FLUJO_CAJA'!CH22</f>
        <v>0</v>
      </c>
      <c r="CI46" s="33">
        <f>'9_FLUJO_CAJA'!CI22</f>
        <v>0</v>
      </c>
    </row>
    <row r="47" spans="1:87" ht="16.5">
      <c r="A47" s="5" t="s">
        <v>676</v>
      </c>
      <c r="B47" s="30" t="s">
        <v>465</v>
      </c>
      <c r="C47" s="17" t="s">
        <v>677</v>
      </c>
      <c r="D47" s="41">
        <f t="shared" ref="D47:AI47" si="0">SUM(D10:D45)</f>
        <v>21799.579999999994</v>
      </c>
      <c r="E47" s="41">
        <f t="shared" si="0"/>
        <v>25805.579999999994</v>
      </c>
      <c r="F47" s="41">
        <f t="shared" si="0"/>
        <v>25231.429999999993</v>
      </c>
      <c r="G47" s="41">
        <f t="shared" si="0"/>
        <v>22231.579999999994</v>
      </c>
      <c r="H47" s="41">
        <f t="shared" si="0"/>
        <v>22384.579999999994</v>
      </c>
      <c r="I47" s="41">
        <f t="shared" si="0"/>
        <v>22543.579999999994</v>
      </c>
      <c r="J47" s="41">
        <f t="shared" si="0"/>
        <v>22708.579999999994</v>
      </c>
      <c r="K47" s="41">
        <f t="shared" si="0"/>
        <v>22879.579999999994</v>
      </c>
      <c r="L47" s="41">
        <f t="shared" si="0"/>
        <v>23062.579999999994</v>
      </c>
      <c r="M47" s="41">
        <f t="shared" si="0"/>
        <v>25054.579999999994</v>
      </c>
      <c r="N47" s="41">
        <f t="shared" si="0"/>
        <v>23458.579999999994</v>
      </c>
      <c r="O47" s="41">
        <f t="shared" si="0"/>
        <v>23671.579999999994</v>
      </c>
      <c r="P47" s="41">
        <f t="shared" si="0"/>
        <v>39294.83</v>
      </c>
      <c r="Q47" s="41">
        <f t="shared" si="0"/>
        <v>39531.83</v>
      </c>
      <c r="R47" s="41">
        <f t="shared" si="0"/>
        <v>39783.83</v>
      </c>
      <c r="S47" s="41">
        <f t="shared" si="0"/>
        <v>40053.83</v>
      </c>
      <c r="T47" s="41">
        <f t="shared" si="0"/>
        <v>40341.83</v>
      </c>
      <c r="U47" s="41">
        <f t="shared" si="0"/>
        <v>40647.83</v>
      </c>
      <c r="V47" s="41">
        <f t="shared" si="0"/>
        <v>44060.163333333338</v>
      </c>
      <c r="W47" s="41">
        <f t="shared" si="0"/>
        <v>44411.163333333338</v>
      </c>
      <c r="X47" s="41">
        <f t="shared" si="0"/>
        <v>44789.163333333338</v>
      </c>
      <c r="Y47" s="41">
        <f t="shared" si="0"/>
        <v>45194.163333333338</v>
      </c>
      <c r="Z47" s="41">
        <f t="shared" si="0"/>
        <v>45626.163333333338</v>
      </c>
      <c r="AA47" s="41">
        <f t="shared" si="0"/>
        <v>46091.163333333338</v>
      </c>
      <c r="AB47" s="41">
        <f t="shared" si="0"/>
        <v>50092.163333333338</v>
      </c>
      <c r="AC47" s="41">
        <f t="shared" si="0"/>
        <v>50632.163333333338</v>
      </c>
      <c r="AD47" s="41">
        <f t="shared" si="0"/>
        <v>51211.163333333338</v>
      </c>
      <c r="AE47" s="41">
        <f t="shared" si="0"/>
        <v>51835.163333333338</v>
      </c>
      <c r="AF47" s="41">
        <f t="shared" si="0"/>
        <v>52507.163333333338</v>
      </c>
      <c r="AG47" s="41">
        <f t="shared" si="0"/>
        <v>53230.163333333338</v>
      </c>
      <c r="AH47" s="41">
        <f t="shared" si="0"/>
        <v>54010.163333333338</v>
      </c>
      <c r="AI47" s="41">
        <f t="shared" si="0"/>
        <v>54850.163333333338</v>
      </c>
      <c r="AJ47" s="41">
        <f t="shared" ref="AJ47:BO47" si="1">SUM(AJ10:AJ45)</f>
        <v>55756.163333333338</v>
      </c>
      <c r="AK47" s="41">
        <f t="shared" si="1"/>
        <v>56731.163333333338</v>
      </c>
      <c r="AL47" s="41">
        <f t="shared" si="1"/>
        <v>57784.163333333338</v>
      </c>
      <c r="AM47" s="41">
        <f t="shared" si="1"/>
        <v>58918.163333333338</v>
      </c>
      <c r="AN47" s="41">
        <f t="shared" si="1"/>
        <v>60142.163333333338</v>
      </c>
      <c r="AO47" s="41">
        <f t="shared" si="1"/>
        <v>61462.163333333338</v>
      </c>
      <c r="AP47" s="41">
        <f t="shared" si="1"/>
        <v>62887.163333333338</v>
      </c>
      <c r="AQ47" s="41">
        <f t="shared" si="1"/>
        <v>64423.163333333338</v>
      </c>
      <c r="AR47" s="41">
        <f t="shared" si="1"/>
        <v>66085.16333333333</v>
      </c>
      <c r="AS47" s="41">
        <f t="shared" si="1"/>
        <v>67876.16333333333</v>
      </c>
      <c r="AT47" s="41">
        <f t="shared" si="1"/>
        <v>69808.16333333333</v>
      </c>
      <c r="AU47" s="41">
        <f t="shared" si="1"/>
        <v>71893.16333333333</v>
      </c>
      <c r="AV47" s="41">
        <f t="shared" si="1"/>
        <v>74146.16333333333</v>
      </c>
      <c r="AW47" s="41">
        <f t="shared" si="1"/>
        <v>76579.16333333333</v>
      </c>
      <c r="AX47" s="41">
        <f t="shared" si="1"/>
        <v>79207.16333333333</v>
      </c>
      <c r="AY47" s="41">
        <f t="shared" si="1"/>
        <v>82042.16333333333</v>
      </c>
      <c r="AZ47" s="41">
        <f t="shared" si="1"/>
        <v>85105.16333333333</v>
      </c>
      <c r="BA47" s="41">
        <f t="shared" si="1"/>
        <v>88414.16333333333</v>
      </c>
      <c r="BB47" s="41">
        <f t="shared" si="1"/>
        <v>91984.16333333333</v>
      </c>
      <c r="BC47" s="41">
        <f t="shared" si="1"/>
        <v>95842.16333333333</v>
      </c>
      <c r="BD47" s="41">
        <f t="shared" si="1"/>
        <v>100006.16333333333</v>
      </c>
      <c r="BE47" s="41">
        <f t="shared" si="1"/>
        <v>104500.16333333333</v>
      </c>
      <c r="BF47" s="41">
        <f t="shared" si="1"/>
        <v>109354.16333333333</v>
      </c>
      <c r="BG47" s="41">
        <f t="shared" si="1"/>
        <v>114598.16333333333</v>
      </c>
      <c r="BH47" s="41">
        <f t="shared" si="1"/>
        <v>120259.16333333333</v>
      </c>
      <c r="BI47" s="41">
        <f t="shared" si="1"/>
        <v>126373.16333333333</v>
      </c>
      <c r="BJ47" s="41">
        <f t="shared" si="1"/>
        <v>132973.16333333333</v>
      </c>
      <c r="BK47" s="41">
        <f t="shared" si="1"/>
        <v>140104.16333333333</v>
      </c>
      <c r="BL47" s="41">
        <f t="shared" si="1"/>
        <v>147805.16333333333</v>
      </c>
      <c r="BM47" s="41">
        <f t="shared" si="1"/>
        <v>156118.16333333333</v>
      </c>
      <c r="BN47" s="41">
        <f t="shared" si="1"/>
        <v>165097.16333333333</v>
      </c>
      <c r="BO47" s="41">
        <f t="shared" si="1"/>
        <v>174796.16333333336</v>
      </c>
      <c r="BP47" s="41">
        <f t="shared" ref="BP47:CI47" si="2">SUM(BP10:BP45)</f>
        <v>185272.16333333336</v>
      </c>
      <c r="BQ47" s="41">
        <f t="shared" si="2"/>
        <v>196585.16333333336</v>
      </c>
      <c r="BR47" s="41">
        <f t="shared" si="2"/>
        <v>208801.16333333336</v>
      </c>
      <c r="BS47" s="41">
        <f t="shared" si="2"/>
        <v>221992.16333333336</v>
      </c>
      <c r="BT47" s="41">
        <f t="shared" si="2"/>
        <v>236239.16333333336</v>
      </c>
      <c r="BU47" s="41">
        <f t="shared" si="2"/>
        <v>251626.16333333336</v>
      </c>
      <c r="BV47" s="41">
        <f t="shared" si="2"/>
        <v>268243.16333333333</v>
      </c>
      <c r="BW47" s="41">
        <f t="shared" si="2"/>
        <v>286189.16333333333</v>
      </c>
      <c r="BX47" s="41">
        <f t="shared" si="2"/>
        <v>305572.16333333333</v>
      </c>
      <c r="BY47" s="41">
        <f t="shared" si="2"/>
        <v>326506.16333333333</v>
      </c>
      <c r="BZ47" s="41">
        <f t="shared" si="2"/>
        <v>349114.16333333333</v>
      </c>
      <c r="CA47" s="41">
        <f t="shared" si="2"/>
        <v>373531.16333333333</v>
      </c>
      <c r="CB47" s="41">
        <f t="shared" si="2"/>
        <v>399901.16333333333</v>
      </c>
      <c r="CC47" s="41">
        <f t="shared" si="2"/>
        <v>428380.16333333333</v>
      </c>
      <c r="CD47" s="41">
        <f t="shared" si="2"/>
        <v>459139.16333333333</v>
      </c>
      <c r="CE47" s="41">
        <f t="shared" si="2"/>
        <v>492358.16333333333</v>
      </c>
      <c r="CF47" s="41">
        <f t="shared" si="2"/>
        <v>528235.16333333333</v>
      </c>
      <c r="CG47" s="41">
        <f t="shared" si="2"/>
        <v>566983.16333333333</v>
      </c>
      <c r="CH47" s="41">
        <f t="shared" si="2"/>
        <v>608830.16333333333</v>
      </c>
      <c r="CI47" s="41">
        <f t="shared" si="2"/>
        <v>654022.16333333333</v>
      </c>
    </row>
    <row r="49" spans="2:8" ht="24" customHeight="1">
      <c r="B49" s="109" t="s">
        <v>678</v>
      </c>
      <c r="C49" s="110"/>
      <c r="D49" s="110"/>
      <c r="E49" s="110"/>
      <c r="F49" s="110"/>
      <c r="G49" s="110"/>
      <c r="H49" s="110"/>
    </row>
    <row r="50" spans="2:8" ht="19" customHeight="1">
      <c r="B50" s="102" t="s">
        <v>679</v>
      </c>
      <c r="C50" s="103"/>
      <c r="D50" s="103"/>
      <c r="E50" s="103"/>
      <c r="F50" s="103"/>
      <c r="G50" s="103"/>
      <c r="H50" s="104"/>
    </row>
    <row r="51" spans="2:8" ht="19" customHeight="1">
      <c r="B51" s="105"/>
      <c r="C51" s="103"/>
      <c r="D51" s="103"/>
      <c r="E51" s="103"/>
      <c r="F51" s="103"/>
      <c r="G51" s="103"/>
      <c r="H51" s="104"/>
    </row>
    <row r="52" spans="2:8" ht="19" customHeight="1">
      <c r="B52" s="105"/>
      <c r="C52" s="103"/>
      <c r="D52" s="103"/>
      <c r="E52" s="103"/>
      <c r="F52" s="103"/>
      <c r="G52" s="103"/>
      <c r="H52" s="104"/>
    </row>
    <row r="53" spans="2:8" ht="19" customHeight="1">
      <c r="B53" s="105"/>
      <c r="C53" s="103"/>
      <c r="D53" s="103"/>
      <c r="E53" s="103"/>
      <c r="F53" s="103"/>
      <c r="G53" s="103"/>
      <c r="H53" s="104"/>
    </row>
    <row r="54" spans="2:8" ht="19" customHeight="1">
      <c r="B54" s="105"/>
      <c r="C54" s="103"/>
      <c r="D54" s="103"/>
      <c r="E54" s="103"/>
      <c r="F54" s="103"/>
      <c r="G54" s="103"/>
      <c r="H54" s="104"/>
    </row>
    <row r="55" spans="2:8" ht="19" customHeight="1">
      <c r="B55" s="105"/>
      <c r="C55" s="103"/>
      <c r="D55" s="103"/>
      <c r="E55" s="103"/>
      <c r="F55" s="103"/>
      <c r="G55" s="103"/>
      <c r="H55" s="104"/>
    </row>
    <row r="56" spans="2:8" ht="19" customHeight="1">
      <c r="B56" s="105"/>
      <c r="C56" s="103"/>
      <c r="D56" s="103"/>
      <c r="E56" s="103"/>
      <c r="F56" s="103"/>
      <c r="G56" s="103"/>
      <c r="H56" s="104"/>
    </row>
    <row r="57" spans="2:8" ht="19" customHeight="1">
      <c r="B57" s="106"/>
      <c r="C57" s="107"/>
      <c r="D57" s="107"/>
      <c r="E57" s="107"/>
      <c r="F57" s="107"/>
      <c r="G57" s="107"/>
      <c r="H57" s="108"/>
    </row>
  </sheetData>
  <mergeCells count="4">
    <mergeCell ref="B49:H49"/>
    <mergeCell ref="B5:C5"/>
    <mergeCell ref="D5:O5"/>
    <mergeCell ref="B50:H5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366F1"/>
  </sheetPr>
  <dimension ref="A4:CI47"/>
  <sheetViews>
    <sheetView workbookViewId="0">
      <pane xSplit="3" ySplit="7" topLeftCell="D8" activePane="bottomRight" state="frozen"/>
      <selection pane="topRight"/>
      <selection pane="bottomLeft"/>
      <selection pane="bottomRight"/>
    </sheetView>
  </sheetViews>
  <sheetFormatPr baseColWidth="10" defaultColWidth="8.7265625" defaultRowHeight="14.5"/>
  <cols>
    <col min="1" max="1" width="32" customWidth="1"/>
    <col min="2" max="2" width="12" customWidth="1"/>
    <col min="3" max="3" width="38" customWidth="1"/>
    <col min="4" max="87" width="12" customWidth="1"/>
  </cols>
  <sheetData>
    <row r="4" spans="1:87" ht="21">
      <c r="A4" s="28" t="s">
        <v>680</v>
      </c>
    </row>
    <row r="5" spans="1:87" ht="50" customHeight="1">
      <c r="A5" s="38" t="s">
        <v>296</v>
      </c>
      <c r="B5" s="130" t="str">
        <f>CHOOSE('1_PANEL_CONTROL'!$C$4, "🔴 1: NEGATIVO", "🟡 2: EQUILIBRIO", "🟢 3: POSITIVO")</f>
        <v>🟡 2: EQUILIBRIO</v>
      </c>
      <c r="C5" s="113"/>
      <c r="D5" s="116" t="str">
        <f>CHOOSE('1_PANEL_CONTROL'!$C$4, "[NEGATIVO] PLAN DE CAJA Y FLUJO NETO. El burn rate mensual drena la liquidez, cerrando el mes 12 con una caja final acumulada de " &amp; TEXT('9_FLUJO_CAJA'!O37, "#.##0 €") &amp; ", requiriendo aportes adicionales.", "[EQUILIBRIO] PLAN DE CAJA Y FLUJO NETO. Solvencia con caja inicial de " &amp; TEXT('9_FLUJO_CAJA'!D25, "#.##0 €") &amp; " y ENISA en mes 1, cerrando el mes 12 con una caja positiva acumulada de " &amp; TEXT('9_FLUJO_CAJA'!O37, "#.##0 €") &amp; ".", "[POSITIVO] PLAN DE CAJA Y FLUJO NETO. Sólida posición de caja de " &amp; TEXT('9_FLUJO_CAJA'!O37, "#.##0 €") &amp; " a final de Año 1, impulsada por aportes de Venture Capital de " &amp; TEXT('13_CAP_TABLE_FINANCIACION'!E9, "#.##0 €") &amp; ".")</f>
        <v>[EQUILIBRIO] PLAN DE CAJA Y FLUJO NETO. Solvencia con caja inicial de 0 € y ENISA en mes 1, cerrando el mes 12 con una caja positiva acumulada de 185.648 €.</v>
      </c>
      <c r="E5" s="112"/>
      <c r="F5" s="112"/>
      <c r="G5" s="112"/>
      <c r="H5" s="112"/>
      <c r="I5" s="112"/>
      <c r="J5" s="112"/>
      <c r="K5" s="112"/>
      <c r="L5" s="112"/>
      <c r="M5" s="112"/>
      <c r="N5" s="112"/>
      <c r="O5" s="113"/>
    </row>
    <row r="7" spans="1:87" ht="16">
      <c r="A7" t="s">
        <v>681</v>
      </c>
      <c r="B7" t="s">
        <v>367</v>
      </c>
      <c r="C7" t="s">
        <v>561</v>
      </c>
      <c r="D7" s="29" t="s">
        <v>369</v>
      </c>
      <c r="E7" s="29" t="s">
        <v>370</v>
      </c>
      <c r="F7" s="29" t="s">
        <v>371</v>
      </c>
      <c r="G7" s="29" t="s">
        <v>372</v>
      </c>
      <c r="H7" s="29" t="s">
        <v>373</v>
      </c>
      <c r="I7" s="29" t="s">
        <v>374</v>
      </c>
      <c r="J7" s="29" t="s">
        <v>375</v>
      </c>
      <c r="K7" s="29" t="s">
        <v>376</v>
      </c>
      <c r="L7" s="29" t="s">
        <v>377</v>
      </c>
      <c r="M7" s="29" t="s">
        <v>378</v>
      </c>
      <c r="N7" s="29" t="s">
        <v>379</v>
      </c>
      <c r="O7" s="29" t="s">
        <v>380</v>
      </c>
      <c r="P7" s="29" t="s">
        <v>381</v>
      </c>
      <c r="Q7" s="29" t="s">
        <v>382</v>
      </c>
      <c r="R7" s="29" t="s">
        <v>383</v>
      </c>
      <c r="S7" s="29" t="s">
        <v>384</v>
      </c>
      <c r="T7" s="29" t="s">
        <v>385</v>
      </c>
      <c r="U7" s="29" t="s">
        <v>386</v>
      </c>
      <c r="V7" s="29" t="s">
        <v>387</v>
      </c>
      <c r="W7" s="29" t="s">
        <v>388</v>
      </c>
      <c r="X7" s="29" t="s">
        <v>389</v>
      </c>
      <c r="Y7" s="29" t="s">
        <v>390</v>
      </c>
      <c r="Z7" s="29" t="s">
        <v>391</v>
      </c>
      <c r="AA7" s="29" t="s">
        <v>392</v>
      </c>
      <c r="AB7" s="29" t="s">
        <v>393</v>
      </c>
      <c r="AC7" s="29" t="s">
        <v>394</v>
      </c>
      <c r="AD7" s="29" t="s">
        <v>395</v>
      </c>
      <c r="AE7" s="29" t="s">
        <v>396</v>
      </c>
      <c r="AF7" s="29" t="s">
        <v>397</v>
      </c>
      <c r="AG7" s="29" t="s">
        <v>398</v>
      </c>
      <c r="AH7" s="29" t="s">
        <v>399</v>
      </c>
      <c r="AI7" s="29" t="s">
        <v>400</v>
      </c>
      <c r="AJ7" s="29" t="s">
        <v>401</v>
      </c>
      <c r="AK7" s="29" t="s">
        <v>402</v>
      </c>
      <c r="AL7" s="29" t="s">
        <v>403</v>
      </c>
      <c r="AM7" s="29" t="s">
        <v>404</v>
      </c>
      <c r="AN7" s="29" t="s">
        <v>405</v>
      </c>
      <c r="AO7" s="29" t="s">
        <v>406</v>
      </c>
      <c r="AP7" s="29" t="s">
        <v>407</v>
      </c>
      <c r="AQ7" s="29" t="s">
        <v>408</v>
      </c>
      <c r="AR7" s="29" t="s">
        <v>409</v>
      </c>
      <c r="AS7" s="29" t="s">
        <v>410</v>
      </c>
      <c r="AT7" s="29" t="s">
        <v>411</v>
      </c>
      <c r="AU7" s="29" t="s">
        <v>412</v>
      </c>
      <c r="AV7" s="29" t="s">
        <v>413</v>
      </c>
      <c r="AW7" s="29" t="s">
        <v>414</v>
      </c>
      <c r="AX7" s="29" t="s">
        <v>415</v>
      </c>
      <c r="AY7" s="29" t="s">
        <v>416</v>
      </c>
      <c r="AZ7" s="29" t="s">
        <v>417</v>
      </c>
      <c r="BA7" s="29" t="s">
        <v>418</v>
      </c>
      <c r="BB7" s="29" t="s">
        <v>419</v>
      </c>
      <c r="BC7" s="29" t="s">
        <v>420</v>
      </c>
      <c r="BD7" s="29" t="s">
        <v>421</v>
      </c>
      <c r="BE7" s="29" t="s">
        <v>422</v>
      </c>
      <c r="BF7" s="29" t="s">
        <v>423</v>
      </c>
      <c r="BG7" s="29" t="s">
        <v>424</v>
      </c>
      <c r="BH7" s="29" t="s">
        <v>425</v>
      </c>
      <c r="BI7" s="29" t="s">
        <v>426</v>
      </c>
      <c r="BJ7" s="29" t="s">
        <v>427</v>
      </c>
      <c r="BK7" s="29" t="s">
        <v>428</v>
      </c>
      <c r="BL7" s="29" t="s">
        <v>429</v>
      </c>
      <c r="BM7" s="29" t="s">
        <v>430</v>
      </c>
      <c r="BN7" s="29" t="s">
        <v>431</v>
      </c>
      <c r="BO7" s="29" t="s">
        <v>432</v>
      </c>
      <c r="BP7" s="29" t="s">
        <v>433</v>
      </c>
      <c r="BQ7" s="29" t="s">
        <v>434</v>
      </c>
      <c r="BR7" s="29" t="s">
        <v>435</v>
      </c>
      <c r="BS7" s="29" t="s">
        <v>436</v>
      </c>
      <c r="BT7" s="29" t="s">
        <v>437</v>
      </c>
      <c r="BU7" s="29" t="s">
        <v>438</v>
      </c>
      <c r="BV7" s="29" t="s">
        <v>439</v>
      </c>
      <c r="BW7" s="29" t="s">
        <v>440</v>
      </c>
      <c r="BX7" s="29" t="s">
        <v>441</v>
      </c>
      <c r="BY7" s="29" t="s">
        <v>442</v>
      </c>
      <c r="BZ7" s="29" t="s">
        <v>443</v>
      </c>
      <c r="CA7" s="29" t="s">
        <v>444</v>
      </c>
      <c r="CB7" s="29" t="s">
        <v>445</v>
      </c>
      <c r="CC7" s="29" t="s">
        <v>446</v>
      </c>
      <c r="CD7" s="29" t="s">
        <v>447</v>
      </c>
      <c r="CE7" s="29" t="s">
        <v>448</v>
      </c>
      <c r="CF7" s="29" t="s">
        <v>449</v>
      </c>
      <c r="CG7" s="29" t="s">
        <v>450</v>
      </c>
      <c r="CH7" s="29" t="s">
        <v>451</v>
      </c>
      <c r="CI7" s="29" t="s">
        <v>452</v>
      </c>
    </row>
    <row r="10" spans="1:87" ht="16.5">
      <c r="A10" s="6" t="s">
        <v>306</v>
      </c>
      <c r="B10" s="30" t="s">
        <v>465</v>
      </c>
      <c r="C10" s="17" t="s">
        <v>682</v>
      </c>
      <c r="D10" s="33">
        <f>IF('7_EQUIPO_RRHH'!D$8=1, '1_PANEL_CONTROL'!$C$86, 0)</f>
        <v>10196</v>
      </c>
      <c r="E10" s="33">
        <f>IF('7_EQUIPO_RRHH'!E$8=1, '1_PANEL_CONTROL'!$C$86, 0)</f>
        <v>0</v>
      </c>
      <c r="F10" s="33">
        <f>IF('7_EQUIPO_RRHH'!F$8=1, '1_PANEL_CONTROL'!$C$86, 0)</f>
        <v>0</v>
      </c>
      <c r="G10" s="33">
        <f>IF('7_EQUIPO_RRHH'!G$8=1, '1_PANEL_CONTROL'!$C$86, 0)</f>
        <v>0</v>
      </c>
      <c r="H10" s="33">
        <f>IF('7_EQUIPO_RRHH'!H$8=1, '1_PANEL_CONTROL'!$C$86, 0)</f>
        <v>0</v>
      </c>
      <c r="I10" s="33">
        <f>IF('7_EQUIPO_RRHH'!I$8=1, '1_PANEL_CONTROL'!$C$86, 0)</f>
        <v>0</v>
      </c>
      <c r="J10" s="33">
        <f>IF('7_EQUIPO_RRHH'!J$8=1, '1_PANEL_CONTROL'!$C$86, 0)</f>
        <v>0</v>
      </c>
      <c r="K10" s="33">
        <f>IF('7_EQUIPO_RRHH'!K$8=1, '1_PANEL_CONTROL'!$C$86, 0)</f>
        <v>0</v>
      </c>
      <c r="L10" s="33">
        <f>IF('7_EQUIPO_RRHH'!L$8=1, '1_PANEL_CONTROL'!$C$86, 0)</f>
        <v>0</v>
      </c>
      <c r="M10" s="33">
        <f>IF('7_EQUIPO_RRHH'!M$8=1, '1_PANEL_CONTROL'!$C$86, 0)</f>
        <v>0</v>
      </c>
      <c r="N10" s="33">
        <f>IF('7_EQUIPO_RRHH'!N$8=1, '1_PANEL_CONTROL'!$C$86, 0)</f>
        <v>0</v>
      </c>
      <c r="O10" s="33">
        <f>IF('7_EQUIPO_RRHH'!O$8=1, '1_PANEL_CONTROL'!$C$86, 0)</f>
        <v>0</v>
      </c>
      <c r="P10" s="33">
        <f>IF('7_EQUIPO_RRHH'!P$8=1, '1_PANEL_CONTROL'!$C$86, 0)</f>
        <v>0</v>
      </c>
      <c r="Q10" s="33">
        <f>IF('7_EQUIPO_RRHH'!Q$8=1, '1_PANEL_CONTROL'!$C$86, 0)</f>
        <v>0</v>
      </c>
      <c r="R10" s="33">
        <f>IF('7_EQUIPO_RRHH'!R$8=1, '1_PANEL_CONTROL'!$C$86, 0)</f>
        <v>0</v>
      </c>
      <c r="S10" s="33">
        <f>IF('7_EQUIPO_RRHH'!S$8=1, '1_PANEL_CONTROL'!$C$86, 0)</f>
        <v>0</v>
      </c>
      <c r="T10" s="33">
        <f>IF('7_EQUIPO_RRHH'!T$8=1, '1_PANEL_CONTROL'!$C$86, 0)</f>
        <v>0</v>
      </c>
      <c r="U10" s="33">
        <f>IF('7_EQUIPO_RRHH'!U$8=1, '1_PANEL_CONTROL'!$C$86, 0)</f>
        <v>0</v>
      </c>
      <c r="V10" s="33">
        <f>IF('7_EQUIPO_RRHH'!V$8=1, '1_PANEL_CONTROL'!$C$86, 0)</f>
        <v>0</v>
      </c>
      <c r="W10" s="33">
        <f>IF('7_EQUIPO_RRHH'!W$8=1, '1_PANEL_CONTROL'!$C$86, 0)</f>
        <v>0</v>
      </c>
      <c r="X10" s="33">
        <f>IF('7_EQUIPO_RRHH'!X$8=1, '1_PANEL_CONTROL'!$C$86, 0)</f>
        <v>0</v>
      </c>
      <c r="Y10" s="33">
        <f>IF('7_EQUIPO_RRHH'!Y$8=1, '1_PANEL_CONTROL'!$C$86, 0)</f>
        <v>0</v>
      </c>
      <c r="Z10" s="33">
        <f>IF('7_EQUIPO_RRHH'!Z$8=1, '1_PANEL_CONTROL'!$C$86, 0)</f>
        <v>0</v>
      </c>
      <c r="AA10" s="33">
        <f>IF('7_EQUIPO_RRHH'!AA$8=1, '1_PANEL_CONTROL'!$C$86, 0)</f>
        <v>0</v>
      </c>
      <c r="AB10" s="33">
        <f>IF('7_EQUIPO_RRHH'!AB$8=1, '1_PANEL_CONTROL'!$C$86, 0)</f>
        <v>0</v>
      </c>
      <c r="AC10" s="33">
        <f>IF('7_EQUIPO_RRHH'!AC$8=1, '1_PANEL_CONTROL'!$C$86, 0)</f>
        <v>0</v>
      </c>
      <c r="AD10" s="33">
        <f>IF('7_EQUIPO_RRHH'!AD$8=1, '1_PANEL_CONTROL'!$C$86, 0)</f>
        <v>0</v>
      </c>
      <c r="AE10" s="33">
        <f>IF('7_EQUIPO_RRHH'!AE$8=1, '1_PANEL_CONTROL'!$C$86, 0)</f>
        <v>0</v>
      </c>
      <c r="AF10" s="33">
        <f>IF('7_EQUIPO_RRHH'!AF$8=1, '1_PANEL_CONTROL'!$C$86, 0)</f>
        <v>0</v>
      </c>
      <c r="AG10" s="33">
        <f>IF('7_EQUIPO_RRHH'!AG$8=1, '1_PANEL_CONTROL'!$C$86, 0)</f>
        <v>0</v>
      </c>
      <c r="AH10" s="33">
        <f>IF('7_EQUIPO_RRHH'!AH$8=1, '1_PANEL_CONTROL'!$C$86, 0)</f>
        <v>0</v>
      </c>
      <c r="AI10" s="33">
        <f>IF('7_EQUIPO_RRHH'!AI$8=1, '1_PANEL_CONTROL'!$C$86, 0)</f>
        <v>0</v>
      </c>
      <c r="AJ10" s="33">
        <f>IF('7_EQUIPO_RRHH'!AJ$8=1, '1_PANEL_CONTROL'!$C$86, 0)</f>
        <v>0</v>
      </c>
      <c r="AK10" s="33">
        <f>IF('7_EQUIPO_RRHH'!AK$8=1, '1_PANEL_CONTROL'!$C$86, 0)</f>
        <v>0</v>
      </c>
      <c r="AL10" s="33">
        <f>IF('7_EQUIPO_RRHH'!AL$8=1, '1_PANEL_CONTROL'!$C$86, 0)</f>
        <v>0</v>
      </c>
      <c r="AM10" s="33">
        <f>IF('7_EQUIPO_RRHH'!AM$8=1, '1_PANEL_CONTROL'!$C$86, 0)</f>
        <v>0</v>
      </c>
      <c r="AN10" s="33">
        <f>IF('7_EQUIPO_RRHH'!AN$8=1, '1_PANEL_CONTROL'!$C$86, 0)</f>
        <v>0</v>
      </c>
      <c r="AO10" s="33">
        <f>IF('7_EQUIPO_RRHH'!AO$8=1, '1_PANEL_CONTROL'!$C$86, 0)</f>
        <v>0</v>
      </c>
      <c r="AP10" s="33">
        <f>IF('7_EQUIPO_RRHH'!AP$8=1, '1_PANEL_CONTROL'!$C$86, 0)</f>
        <v>0</v>
      </c>
      <c r="AQ10" s="33">
        <f>IF('7_EQUIPO_RRHH'!AQ$8=1, '1_PANEL_CONTROL'!$C$86, 0)</f>
        <v>0</v>
      </c>
      <c r="AR10" s="33">
        <f>IF('7_EQUIPO_RRHH'!AR$8=1, '1_PANEL_CONTROL'!$C$86, 0)</f>
        <v>0</v>
      </c>
      <c r="AS10" s="33">
        <f>IF('7_EQUIPO_RRHH'!AS$8=1, '1_PANEL_CONTROL'!$C$86, 0)</f>
        <v>0</v>
      </c>
      <c r="AT10" s="33">
        <f>IF('7_EQUIPO_RRHH'!AT$8=1, '1_PANEL_CONTROL'!$C$86, 0)</f>
        <v>0</v>
      </c>
      <c r="AU10" s="33">
        <f>IF('7_EQUIPO_RRHH'!AU$8=1, '1_PANEL_CONTROL'!$C$86, 0)</f>
        <v>0</v>
      </c>
      <c r="AV10" s="33">
        <f>IF('7_EQUIPO_RRHH'!AV$8=1, '1_PANEL_CONTROL'!$C$86, 0)</f>
        <v>0</v>
      </c>
      <c r="AW10" s="33">
        <f>IF('7_EQUIPO_RRHH'!AW$8=1, '1_PANEL_CONTROL'!$C$86, 0)</f>
        <v>0</v>
      </c>
      <c r="AX10" s="33">
        <f>IF('7_EQUIPO_RRHH'!AX$8=1, '1_PANEL_CONTROL'!$C$86, 0)</f>
        <v>0</v>
      </c>
      <c r="AY10" s="33">
        <f>IF('7_EQUIPO_RRHH'!AY$8=1, '1_PANEL_CONTROL'!$C$86, 0)</f>
        <v>0</v>
      </c>
      <c r="AZ10" s="33">
        <f>IF('7_EQUIPO_RRHH'!AZ$8=1, '1_PANEL_CONTROL'!$C$86, 0)</f>
        <v>0</v>
      </c>
      <c r="BA10" s="33">
        <f>IF('7_EQUIPO_RRHH'!BA$8=1, '1_PANEL_CONTROL'!$C$86, 0)</f>
        <v>0</v>
      </c>
      <c r="BB10" s="33">
        <f>IF('7_EQUIPO_RRHH'!BB$8=1, '1_PANEL_CONTROL'!$C$86, 0)</f>
        <v>0</v>
      </c>
      <c r="BC10" s="33">
        <f>IF('7_EQUIPO_RRHH'!BC$8=1, '1_PANEL_CONTROL'!$C$86, 0)</f>
        <v>0</v>
      </c>
      <c r="BD10" s="33">
        <f>IF('7_EQUIPO_RRHH'!BD$8=1, '1_PANEL_CONTROL'!$C$86, 0)</f>
        <v>0</v>
      </c>
      <c r="BE10" s="33">
        <f>IF('7_EQUIPO_RRHH'!BE$8=1, '1_PANEL_CONTROL'!$C$86, 0)</f>
        <v>0</v>
      </c>
      <c r="BF10" s="33">
        <f>IF('7_EQUIPO_RRHH'!BF$8=1, '1_PANEL_CONTROL'!$C$86, 0)</f>
        <v>0</v>
      </c>
      <c r="BG10" s="33">
        <f>IF('7_EQUIPO_RRHH'!BG$8=1, '1_PANEL_CONTROL'!$C$86, 0)</f>
        <v>0</v>
      </c>
      <c r="BH10" s="33">
        <f>IF('7_EQUIPO_RRHH'!BH$8=1, '1_PANEL_CONTROL'!$C$86, 0)</f>
        <v>0</v>
      </c>
      <c r="BI10" s="33">
        <f>IF('7_EQUIPO_RRHH'!BI$8=1, '1_PANEL_CONTROL'!$C$86, 0)</f>
        <v>0</v>
      </c>
      <c r="BJ10" s="33">
        <f>IF('7_EQUIPO_RRHH'!BJ$8=1, '1_PANEL_CONTROL'!$C$86, 0)</f>
        <v>0</v>
      </c>
      <c r="BK10" s="33">
        <f>IF('7_EQUIPO_RRHH'!BK$8=1, '1_PANEL_CONTROL'!$C$86, 0)</f>
        <v>0</v>
      </c>
      <c r="BL10" s="33">
        <f>IF('7_EQUIPO_RRHH'!BL$8=1, '1_PANEL_CONTROL'!$C$86, 0)</f>
        <v>0</v>
      </c>
      <c r="BM10" s="33">
        <f>IF('7_EQUIPO_RRHH'!BM$8=1, '1_PANEL_CONTROL'!$C$86, 0)</f>
        <v>0</v>
      </c>
      <c r="BN10" s="33">
        <f>IF('7_EQUIPO_RRHH'!BN$8=1, '1_PANEL_CONTROL'!$C$86, 0)</f>
        <v>0</v>
      </c>
      <c r="BO10" s="33">
        <f>IF('7_EQUIPO_RRHH'!BO$8=1, '1_PANEL_CONTROL'!$C$86, 0)</f>
        <v>0</v>
      </c>
      <c r="BP10" s="33">
        <f>IF('7_EQUIPO_RRHH'!BP$8=1, '1_PANEL_CONTROL'!$C$86, 0)</f>
        <v>0</v>
      </c>
      <c r="BQ10" s="33">
        <f>IF('7_EQUIPO_RRHH'!BQ$8=1, '1_PANEL_CONTROL'!$C$86, 0)</f>
        <v>0</v>
      </c>
      <c r="BR10" s="33">
        <f>IF('7_EQUIPO_RRHH'!BR$8=1, '1_PANEL_CONTROL'!$C$86, 0)</f>
        <v>0</v>
      </c>
      <c r="BS10" s="33">
        <f>IF('7_EQUIPO_RRHH'!BS$8=1, '1_PANEL_CONTROL'!$C$86, 0)</f>
        <v>0</v>
      </c>
      <c r="BT10" s="33">
        <f>IF('7_EQUIPO_RRHH'!BT$8=1, '1_PANEL_CONTROL'!$C$86, 0)</f>
        <v>0</v>
      </c>
      <c r="BU10" s="33">
        <f>IF('7_EQUIPO_RRHH'!BU$8=1, '1_PANEL_CONTROL'!$C$86, 0)</f>
        <v>0</v>
      </c>
      <c r="BV10" s="33">
        <f>IF('7_EQUIPO_RRHH'!BV$8=1, '1_PANEL_CONTROL'!$C$86, 0)</f>
        <v>0</v>
      </c>
      <c r="BW10" s="33">
        <f>IF('7_EQUIPO_RRHH'!BW$8=1, '1_PANEL_CONTROL'!$C$86, 0)</f>
        <v>0</v>
      </c>
      <c r="BX10" s="33">
        <f>IF('7_EQUIPO_RRHH'!BX$8=1, '1_PANEL_CONTROL'!$C$86, 0)</f>
        <v>0</v>
      </c>
      <c r="BY10" s="33">
        <f>IF('7_EQUIPO_RRHH'!BY$8=1, '1_PANEL_CONTROL'!$C$86, 0)</f>
        <v>0</v>
      </c>
      <c r="BZ10" s="33">
        <f>IF('7_EQUIPO_RRHH'!BZ$8=1, '1_PANEL_CONTROL'!$C$86, 0)</f>
        <v>0</v>
      </c>
      <c r="CA10" s="33">
        <f>IF('7_EQUIPO_RRHH'!CA$8=1, '1_PANEL_CONTROL'!$C$86, 0)</f>
        <v>0</v>
      </c>
      <c r="CB10" s="33">
        <f>IF('7_EQUIPO_RRHH'!CB$8=1, '1_PANEL_CONTROL'!$C$86, 0)</f>
        <v>0</v>
      </c>
      <c r="CC10" s="33">
        <f>IF('7_EQUIPO_RRHH'!CC$8=1, '1_PANEL_CONTROL'!$C$86, 0)</f>
        <v>0</v>
      </c>
      <c r="CD10" s="33">
        <f>IF('7_EQUIPO_RRHH'!CD$8=1, '1_PANEL_CONTROL'!$C$86, 0)</f>
        <v>0</v>
      </c>
      <c r="CE10" s="33">
        <f>IF('7_EQUIPO_RRHH'!CE$8=1, '1_PANEL_CONTROL'!$C$86, 0)</f>
        <v>0</v>
      </c>
      <c r="CF10" s="33">
        <f>IF('7_EQUIPO_RRHH'!CF$8=1, '1_PANEL_CONTROL'!$C$86, 0)</f>
        <v>0</v>
      </c>
      <c r="CG10" s="33">
        <f>IF('7_EQUIPO_RRHH'!CG$8=1, '1_PANEL_CONTROL'!$C$86, 0)</f>
        <v>0</v>
      </c>
      <c r="CH10" s="33">
        <f>IF('7_EQUIPO_RRHH'!CH$8=1, '1_PANEL_CONTROL'!$C$86, 0)</f>
        <v>0</v>
      </c>
      <c r="CI10" s="33">
        <f>IF('7_EQUIPO_RRHH'!CI$8=1, '1_PANEL_CONTROL'!$C$86, 0)</f>
        <v>0</v>
      </c>
    </row>
    <row r="11" spans="1:87" ht="16.5">
      <c r="A11" s="6" t="s">
        <v>683</v>
      </c>
      <c r="B11" s="30" t="s">
        <v>465</v>
      </c>
      <c r="C11" s="17" t="s">
        <v>684</v>
      </c>
      <c r="D11" s="33">
        <f>IF('7_EQUIPO_RRHH'!D$8=1, '1_PANEL_CONTROL'!$C$87, 0)</f>
        <v>17150</v>
      </c>
      <c r="E11" s="33">
        <f>IF('7_EQUIPO_RRHH'!E$8=1, '1_PANEL_CONTROL'!$C$87, 0)</f>
        <v>0</v>
      </c>
      <c r="F11" s="33">
        <f>IF('7_EQUIPO_RRHH'!F$8=1, '1_PANEL_CONTROL'!$C$87, 0)</f>
        <v>0</v>
      </c>
      <c r="G11" s="33">
        <f>IF('7_EQUIPO_RRHH'!G$8=1, '1_PANEL_CONTROL'!$C$87, 0)</f>
        <v>0</v>
      </c>
      <c r="H11" s="33">
        <f>IF('7_EQUIPO_RRHH'!H$8=1, '1_PANEL_CONTROL'!$C$87, 0)</f>
        <v>0</v>
      </c>
      <c r="I11" s="33">
        <f>IF('7_EQUIPO_RRHH'!I$8=1, '1_PANEL_CONTROL'!$C$87, 0)</f>
        <v>0</v>
      </c>
      <c r="J11" s="33">
        <f>IF('7_EQUIPO_RRHH'!J$8=1, '1_PANEL_CONTROL'!$C$87, 0)</f>
        <v>0</v>
      </c>
      <c r="K11" s="33">
        <f>IF('7_EQUIPO_RRHH'!K$8=1, '1_PANEL_CONTROL'!$C$87, 0)</f>
        <v>0</v>
      </c>
      <c r="L11" s="33">
        <f>IF('7_EQUIPO_RRHH'!L$8=1, '1_PANEL_CONTROL'!$C$87, 0)</f>
        <v>0</v>
      </c>
      <c r="M11" s="33">
        <f>IF('7_EQUIPO_RRHH'!M$8=1, '1_PANEL_CONTROL'!$C$87, 0)</f>
        <v>0</v>
      </c>
      <c r="N11" s="33">
        <f>IF('7_EQUIPO_RRHH'!N$8=1, '1_PANEL_CONTROL'!$C$87, 0)</f>
        <v>0</v>
      </c>
      <c r="O11" s="33">
        <f>IF('7_EQUIPO_RRHH'!O$8=1, '1_PANEL_CONTROL'!$C$87, 0)</f>
        <v>0</v>
      </c>
      <c r="P11" s="33">
        <f>IF('7_EQUIPO_RRHH'!P$8=1, '1_PANEL_CONTROL'!$C$87, 0)</f>
        <v>0</v>
      </c>
      <c r="Q11" s="33">
        <f>IF('7_EQUIPO_RRHH'!Q$8=1, '1_PANEL_CONTROL'!$C$87, 0)</f>
        <v>0</v>
      </c>
      <c r="R11" s="33">
        <f>IF('7_EQUIPO_RRHH'!R$8=1, '1_PANEL_CONTROL'!$C$87, 0)</f>
        <v>0</v>
      </c>
      <c r="S11" s="33">
        <f>IF('7_EQUIPO_RRHH'!S$8=1, '1_PANEL_CONTROL'!$C$87, 0)</f>
        <v>0</v>
      </c>
      <c r="T11" s="33">
        <f>IF('7_EQUIPO_RRHH'!T$8=1, '1_PANEL_CONTROL'!$C$87, 0)</f>
        <v>0</v>
      </c>
      <c r="U11" s="33">
        <f>IF('7_EQUIPO_RRHH'!U$8=1, '1_PANEL_CONTROL'!$C$87, 0)</f>
        <v>0</v>
      </c>
      <c r="V11" s="33">
        <f>IF('7_EQUIPO_RRHH'!V$8=1, '1_PANEL_CONTROL'!$C$87, 0)</f>
        <v>0</v>
      </c>
      <c r="W11" s="33">
        <f>IF('7_EQUIPO_RRHH'!W$8=1, '1_PANEL_CONTROL'!$C$87, 0)</f>
        <v>0</v>
      </c>
      <c r="X11" s="33">
        <f>IF('7_EQUIPO_RRHH'!X$8=1, '1_PANEL_CONTROL'!$C$87, 0)</f>
        <v>0</v>
      </c>
      <c r="Y11" s="33">
        <f>IF('7_EQUIPO_RRHH'!Y$8=1, '1_PANEL_CONTROL'!$C$87, 0)</f>
        <v>0</v>
      </c>
      <c r="Z11" s="33">
        <f>IF('7_EQUIPO_RRHH'!Z$8=1, '1_PANEL_CONTROL'!$C$87, 0)</f>
        <v>0</v>
      </c>
      <c r="AA11" s="33">
        <f>IF('7_EQUIPO_RRHH'!AA$8=1, '1_PANEL_CONTROL'!$C$87, 0)</f>
        <v>0</v>
      </c>
      <c r="AB11" s="33">
        <f>IF('7_EQUIPO_RRHH'!AB$8=1, '1_PANEL_CONTROL'!$C$87, 0)</f>
        <v>0</v>
      </c>
      <c r="AC11" s="33">
        <f>IF('7_EQUIPO_RRHH'!AC$8=1, '1_PANEL_CONTROL'!$C$87, 0)</f>
        <v>0</v>
      </c>
      <c r="AD11" s="33">
        <f>IF('7_EQUIPO_RRHH'!AD$8=1, '1_PANEL_CONTROL'!$C$87, 0)</f>
        <v>0</v>
      </c>
      <c r="AE11" s="33">
        <f>IF('7_EQUIPO_RRHH'!AE$8=1, '1_PANEL_CONTROL'!$C$87, 0)</f>
        <v>0</v>
      </c>
      <c r="AF11" s="33">
        <f>IF('7_EQUIPO_RRHH'!AF$8=1, '1_PANEL_CONTROL'!$C$87, 0)</f>
        <v>0</v>
      </c>
      <c r="AG11" s="33">
        <f>IF('7_EQUIPO_RRHH'!AG$8=1, '1_PANEL_CONTROL'!$C$87, 0)</f>
        <v>0</v>
      </c>
      <c r="AH11" s="33">
        <f>IF('7_EQUIPO_RRHH'!AH$8=1, '1_PANEL_CONTROL'!$C$87, 0)</f>
        <v>0</v>
      </c>
      <c r="AI11" s="33">
        <f>IF('7_EQUIPO_RRHH'!AI$8=1, '1_PANEL_CONTROL'!$C$87, 0)</f>
        <v>0</v>
      </c>
      <c r="AJ11" s="33">
        <f>IF('7_EQUIPO_RRHH'!AJ$8=1, '1_PANEL_CONTROL'!$C$87, 0)</f>
        <v>0</v>
      </c>
      <c r="AK11" s="33">
        <f>IF('7_EQUIPO_RRHH'!AK$8=1, '1_PANEL_CONTROL'!$C$87, 0)</f>
        <v>0</v>
      </c>
      <c r="AL11" s="33">
        <f>IF('7_EQUIPO_RRHH'!AL$8=1, '1_PANEL_CONTROL'!$C$87, 0)</f>
        <v>0</v>
      </c>
      <c r="AM11" s="33">
        <f>IF('7_EQUIPO_RRHH'!AM$8=1, '1_PANEL_CONTROL'!$C$87, 0)</f>
        <v>0</v>
      </c>
      <c r="AN11" s="33">
        <f>IF('7_EQUIPO_RRHH'!AN$8=1, '1_PANEL_CONTROL'!$C$87, 0)</f>
        <v>0</v>
      </c>
      <c r="AO11" s="33">
        <f>IF('7_EQUIPO_RRHH'!AO$8=1, '1_PANEL_CONTROL'!$C$87, 0)</f>
        <v>0</v>
      </c>
      <c r="AP11" s="33">
        <f>IF('7_EQUIPO_RRHH'!AP$8=1, '1_PANEL_CONTROL'!$C$87, 0)</f>
        <v>0</v>
      </c>
      <c r="AQ11" s="33">
        <f>IF('7_EQUIPO_RRHH'!AQ$8=1, '1_PANEL_CONTROL'!$C$87, 0)</f>
        <v>0</v>
      </c>
      <c r="AR11" s="33">
        <f>IF('7_EQUIPO_RRHH'!AR$8=1, '1_PANEL_CONTROL'!$C$87, 0)</f>
        <v>0</v>
      </c>
      <c r="AS11" s="33">
        <f>IF('7_EQUIPO_RRHH'!AS$8=1, '1_PANEL_CONTROL'!$C$87, 0)</f>
        <v>0</v>
      </c>
      <c r="AT11" s="33">
        <f>IF('7_EQUIPO_RRHH'!AT$8=1, '1_PANEL_CONTROL'!$C$87, 0)</f>
        <v>0</v>
      </c>
      <c r="AU11" s="33">
        <f>IF('7_EQUIPO_RRHH'!AU$8=1, '1_PANEL_CONTROL'!$C$87, 0)</f>
        <v>0</v>
      </c>
      <c r="AV11" s="33">
        <f>IF('7_EQUIPO_RRHH'!AV$8=1, '1_PANEL_CONTROL'!$C$87, 0)</f>
        <v>0</v>
      </c>
      <c r="AW11" s="33">
        <f>IF('7_EQUIPO_RRHH'!AW$8=1, '1_PANEL_CONTROL'!$C$87, 0)</f>
        <v>0</v>
      </c>
      <c r="AX11" s="33">
        <f>IF('7_EQUIPO_RRHH'!AX$8=1, '1_PANEL_CONTROL'!$C$87, 0)</f>
        <v>0</v>
      </c>
      <c r="AY11" s="33">
        <f>IF('7_EQUIPO_RRHH'!AY$8=1, '1_PANEL_CONTROL'!$C$87, 0)</f>
        <v>0</v>
      </c>
      <c r="AZ11" s="33">
        <f>IF('7_EQUIPO_RRHH'!AZ$8=1, '1_PANEL_CONTROL'!$C$87, 0)</f>
        <v>0</v>
      </c>
      <c r="BA11" s="33">
        <f>IF('7_EQUIPO_RRHH'!BA$8=1, '1_PANEL_CONTROL'!$C$87, 0)</f>
        <v>0</v>
      </c>
      <c r="BB11" s="33">
        <f>IF('7_EQUIPO_RRHH'!BB$8=1, '1_PANEL_CONTROL'!$C$87, 0)</f>
        <v>0</v>
      </c>
      <c r="BC11" s="33">
        <f>IF('7_EQUIPO_RRHH'!BC$8=1, '1_PANEL_CONTROL'!$C$87, 0)</f>
        <v>0</v>
      </c>
      <c r="BD11" s="33">
        <f>IF('7_EQUIPO_RRHH'!BD$8=1, '1_PANEL_CONTROL'!$C$87, 0)</f>
        <v>0</v>
      </c>
      <c r="BE11" s="33">
        <f>IF('7_EQUIPO_RRHH'!BE$8=1, '1_PANEL_CONTROL'!$C$87, 0)</f>
        <v>0</v>
      </c>
      <c r="BF11" s="33">
        <f>IF('7_EQUIPO_RRHH'!BF$8=1, '1_PANEL_CONTROL'!$C$87, 0)</f>
        <v>0</v>
      </c>
      <c r="BG11" s="33">
        <f>IF('7_EQUIPO_RRHH'!BG$8=1, '1_PANEL_CONTROL'!$C$87, 0)</f>
        <v>0</v>
      </c>
      <c r="BH11" s="33">
        <f>IF('7_EQUIPO_RRHH'!BH$8=1, '1_PANEL_CONTROL'!$C$87, 0)</f>
        <v>0</v>
      </c>
      <c r="BI11" s="33">
        <f>IF('7_EQUIPO_RRHH'!BI$8=1, '1_PANEL_CONTROL'!$C$87, 0)</f>
        <v>0</v>
      </c>
      <c r="BJ11" s="33">
        <f>IF('7_EQUIPO_RRHH'!BJ$8=1, '1_PANEL_CONTROL'!$C$87, 0)</f>
        <v>0</v>
      </c>
      <c r="BK11" s="33">
        <f>IF('7_EQUIPO_RRHH'!BK$8=1, '1_PANEL_CONTROL'!$C$87, 0)</f>
        <v>0</v>
      </c>
      <c r="BL11" s="33">
        <f>IF('7_EQUIPO_RRHH'!BL$8=1, '1_PANEL_CONTROL'!$C$87, 0)</f>
        <v>0</v>
      </c>
      <c r="BM11" s="33">
        <f>IF('7_EQUIPO_RRHH'!BM$8=1, '1_PANEL_CONTROL'!$C$87, 0)</f>
        <v>0</v>
      </c>
      <c r="BN11" s="33">
        <f>IF('7_EQUIPO_RRHH'!BN$8=1, '1_PANEL_CONTROL'!$C$87, 0)</f>
        <v>0</v>
      </c>
      <c r="BO11" s="33">
        <f>IF('7_EQUIPO_RRHH'!BO$8=1, '1_PANEL_CONTROL'!$C$87, 0)</f>
        <v>0</v>
      </c>
      <c r="BP11" s="33">
        <f>IF('7_EQUIPO_RRHH'!BP$8=1, '1_PANEL_CONTROL'!$C$87, 0)</f>
        <v>0</v>
      </c>
      <c r="BQ11" s="33">
        <f>IF('7_EQUIPO_RRHH'!BQ$8=1, '1_PANEL_CONTROL'!$C$87, 0)</f>
        <v>0</v>
      </c>
      <c r="BR11" s="33">
        <f>IF('7_EQUIPO_RRHH'!BR$8=1, '1_PANEL_CONTROL'!$C$87, 0)</f>
        <v>0</v>
      </c>
      <c r="BS11" s="33">
        <f>IF('7_EQUIPO_RRHH'!BS$8=1, '1_PANEL_CONTROL'!$C$87, 0)</f>
        <v>0</v>
      </c>
      <c r="BT11" s="33">
        <f>IF('7_EQUIPO_RRHH'!BT$8=1, '1_PANEL_CONTROL'!$C$87, 0)</f>
        <v>0</v>
      </c>
      <c r="BU11" s="33">
        <f>IF('7_EQUIPO_RRHH'!BU$8=1, '1_PANEL_CONTROL'!$C$87, 0)</f>
        <v>0</v>
      </c>
      <c r="BV11" s="33">
        <f>IF('7_EQUIPO_RRHH'!BV$8=1, '1_PANEL_CONTROL'!$C$87, 0)</f>
        <v>0</v>
      </c>
      <c r="BW11" s="33">
        <f>IF('7_EQUIPO_RRHH'!BW$8=1, '1_PANEL_CONTROL'!$C$87, 0)</f>
        <v>0</v>
      </c>
      <c r="BX11" s="33">
        <f>IF('7_EQUIPO_RRHH'!BX$8=1, '1_PANEL_CONTROL'!$C$87, 0)</f>
        <v>0</v>
      </c>
      <c r="BY11" s="33">
        <f>IF('7_EQUIPO_RRHH'!BY$8=1, '1_PANEL_CONTROL'!$C$87, 0)</f>
        <v>0</v>
      </c>
      <c r="BZ11" s="33">
        <f>IF('7_EQUIPO_RRHH'!BZ$8=1, '1_PANEL_CONTROL'!$C$87, 0)</f>
        <v>0</v>
      </c>
      <c r="CA11" s="33">
        <f>IF('7_EQUIPO_RRHH'!CA$8=1, '1_PANEL_CONTROL'!$C$87, 0)</f>
        <v>0</v>
      </c>
      <c r="CB11" s="33">
        <f>IF('7_EQUIPO_RRHH'!CB$8=1, '1_PANEL_CONTROL'!$C$87, 0)</f>
        <v>0</v>
      </c>
      <c r="CC11" s="33">
        <f>IF('7_EQUIPO_RRHH'!CC$8=1, '1_PANEL_CONTROL'!$C$87, 0)</f>
        <v>0</v>
      </c>
      <c r="CD11" s="33">
        <f>IF('7_EQUIPO_RRHH'!CD$8=1, '1_PANEL_CONTROL'!$C$87, 0)</f>
        <v>0</v>
      </c>
      <c r="CE11" s="33">
        <f>IF('7_EQUIPO_RRHH'!CE$8=1, '1_PANEL_CONTROL'!$C$87, 0)</f>
        <v>0</v>
      </c>
      <c r="CF11" s="33">
        <f>IF('7_EQUIPO_RRHH'!CF$8=1, '1_PANEL_CONTROL'!$C$87, 0)</f>
        <v>0</v>
      </c>
      <c r="CG11" s="33">
        <f>IF('7_EQUIPO_RRHH'!CG$8=1, '1_PANEL_CONTROL'!$C$87, 0)</f>
        <v>0</v>
      </c>
      <c r="CH11" s="33">
        <f>IF('7_EQUIPO_RRHH'!CH$8=1, '1_PANEL_CONTROL'!$C$87, 0)</f>
        <v>0</v>
      </c>
      <c r="CI11" s="33">
        <f>IF('7_EQUIPO_RRHH'!CI$8=1, '1_PANEL_CONTROL'!$C$87, 0)</f>
        <v>0</v>
      </c>
    </row>
    <row r="12" spans="1:87" ht="16.5">
      <c r="A12" s="6" t="s">
        <v>685</v>
      </c>
      <c r="B12" s="30" t="s">
        <v>465</v>
      </c>
      <c r="C12" s="17" t="s">
        <v>686</v>
      </c>
      <c r="D12" s="33">
        <f>IF('7_EQUIPO_RRHH'!D$8=1, '1_PANEL_CONTROL'!$C$88, 0)</f>
        <v>1500</v>
      </c>
      <c r="E12" s="33">
        <f>IF('7_EQUIPO_RRHH'!E$8=1, '1_PANEL_CONTROL'!$C$88, 0)</f>
        <v>0</v>
      </c>
      <c r="F12" s="33">
        <f>IF('7_EQUIPO_RRHH'!F$8=1, '1_PANEL_CONTROL'!$C$88, 0)</f>
        <v>0</v>
      </c>
      <c r="G12" s="33">
        <f>IF('7_EQUIPO_RRHH'!G$8=1, '1_PANEL_CONTROL'!$C$88, 0)</f>
        <v>0</v>
      </c>
      <c r="H12" s="33">
        <f>IF('7_EQUIPO_RRHH'!H$8=1, '1_PANEL_CONTROL'!$C$88, 0)</f>
        <v>0</v>
      </c>
      <c r="I12" s="33">
        <f>IF('7_EQUIPO_RRHH'!I$8=1, '1_PANEL_CONTROL'!$C$88, 0)</f>
        <v>0</v>
      </c>
      <c r="J12" s="33">
        <f>IF('7_EQUIPO_RRHH'!J$8=1, '1_PANEL_CONTROL'!$C$88, 0)</f>
        <v>0</v>
      </c>
      <c r="K12" s="33">
        <f>IF('7_EQUIPO_RRHH'!K$8=1, '1_PANEL_CONTROL'!$C$88, 0)</f>
        <v>0</v>
      </c>
      <c r="L12" s="33">
        <f>IF('7_EQUIPO_RRHH'!L$8=1, '1_PANEL_CONTROL'!$C$88, 0)</f>
        <v>0</v>
      </c>
      <c r="M12" s="33">
        <f>IF('7_EQUIPO_RRHH'!M$8=1, '1_PANEL_CONTROL'!$C$88, 0)</f>
        <v>0</v>
      </c>
      <c r="N12" s="33">
        <f>IF('7_EQUIPO_RRHH'!N$8=1, '1_PANEL_CONTROL'!$C$88, 0)</f>
        <v>0</v>
      </c>
      <c r="O12" s="33">
        <f>IF('7_EQUIPO_RRHH'!O$8=1, '1_PANEL_CONTROL'!$C$88, 0)</f>
        <v>0</v>
      </c>
      <c r="P12" s="33">
        <f>IF('7_EQUIPO_RRHH'!P$8=1, '1_PANEL_CONTROL'!$C$88, 0)</f>
        <v>0</v>
      </c>
      <c r="Q12" s="33">
        <f>IF('7_EQUIPO_RRHH'!Q$8=1, '1_PANEL_CONTROL'!$C$88, 0)</f>
        <v>0</v>
      </c>
      <c r="R12" s="33">
        <f>IF('7_EQUIPO_RRHH'!R$8=1, '1_PANEL_CONTROL'!$C$88, 0)</f>
        <v>0</v>
      </c>
      <c r="S12" s="33">
        <f>IF('7_EQUIPO_RRHH'!S$8=1, '1_PANEL_CONTROL'!$C$88, 0)</f>
        <v>0</v>
      </c>
      <c r="T12" s="33">
        <f>IF('7_EQUIPO_RRHH'!T$8=1, '1_PANEL_CONTROL'!$C$88, 0)</f>
        <v>0</v>
      </c>
      <c r="U12" s="33">
        <f>IF('7_EQUIPO_RRHH'!U$8=1, '1_PANEL_CONTROL'!$C$88, 0)</f>
        <v>0</v>
      </c>
      <c r="V12" s="33">
        <f>IF('7_EQUIPO_RRHH'!V$8=1, '1_PANEL_CONTROL'!$C$88, 0)</f>
        <v>0</v>
      </c>
      <c r="W12" s="33">
        <f>IF('7_EQUIPO_RRHH'!W$8=1, '1_PANEL_CONTROL'!$C$88, 0)</f>
        <v>0</v>
      </c>
      <c r="X12" s="33">
        <f>IF('7_EQUIPO_RRHH'!X$8=1, '1_PANEL_CONTROL'!$C$88, 0)</f>
        <v>0</v>
      </c>
      <c r="Y12" s="33">
        <f>IF('7_EQUIPO_RRHH'!Y$8=1, '1_PANEL_CONTROL'!$C$88, 0)</f>
        <v>0</v>
      </c>
      <c r="Z12" s="33">
        <f>IF('7_EQUIPO_RRHH'!Z$8=1, '1_PANEL_CONTROL'!$C$88, 0)</f>
        <v>0</v>
      </c>
      <c r="AA12" s="33">
        <f>IF('7_EQUIPO_RRHH'!AA$8=1, '1_PANEL_CONTROL'!$C$88, 0)</f>
        <v>0</v>
      </c>
      <c r="AB12" s="33">
        <f>IF('7_EQUIPO_RRHH'!AB$8=1, '1_PANEL_CONTROL'!$C$88, 0)</f>
        <v>0</v>
      </c>
      <c r="AC12" s="33">
        <f>IF('7_EQUIPO_RRHH'!AC$8=1, '1_PANEL_CONTROL'!$C$88, 0)</f>
        <v>0</v>
      </c>
      <c r="AD12" s="33">
        <f>IF('7_EQUIPO_RRHH'!AD$8=1, '1_PANEL_CONTROL'!$C$88, 0)</f>
        <v>0</v>
      </c>
      <c r="AE12" s="33">
        <f>IF('7_EQUIPO_RRHH'!AE$8=1, '1_PANEL_CONTROL'!$C$88, 0)</f>
        <v>0</v>
      </c>
      <c r="AF12" s="33">
        <f>IF('7_EQUIPO_RRHH'!AF$8=1, '1_PANEL_CONTROL'!$C$88, 0)</f>
        <v>0</v>
      </c>
      <c r="AG12" s="33">
        <f>IF('7_EQUIPO_RRHH'!AG$8=1, '1_PANEL_CONTROL'!$C$88, 0)</f>
        <v>0</v>
      </c>
      <c r="AH12" s="33">
        <f>IF('7_EQUIPO_RRHH'!AH$8=1, '1_PANEL_CONTROL'!$C$88, 0)</f>
        <v>0</v>
      </c>
      <c r="AI12" s="33">
        <f>IF('7_EQUIPO_RRHH'!AI$8=1, '1_PANEL_CONTROL'!$C$88, 0)</f>
        <v>0</v>
      </c>
      <c r="AJ12" s="33">
        <f>IF('7_EQUIPO_RRHH'!AJ$8=1, '1_PANEL_CONTROL'!$C$88, 0)</f>
        <v>0</v>
      </c>
      <c r="AK12" s="33">
        <f>IF('7_EQUIPO_RRHH'!AK$8=1, '1_PANEL_CONTROL'!$C$88, 0)</f>
        <v>0</v>
      </c>
      <c r="AL12" s="33">
        <f>IF('7_EQUIPO_RRHH'!AL$8=1, '1_PANEL_CONTROL'!$C$88, 0)</f>
        <v>0</v>
      </c>
      <c r="AM12" s="33">
        <f>IF('7_EQUIPO_RRHH'!AM$8=1, '1_PANEL_CONTROL'!$C$88, 0)</f>
        <v>0</v>
      </c>
      <c r="AN12" s="33">
        <f>IF('7_EQUIPO_RRHH'!AN$8=1, '1_PANEL_CONTROL'!$C$88, 0)</f>
        <v>0</v>
      </c>
      <c r="AO12" s="33">
        <f>IF('7_EQUIPO_RRHH'!AO$8=1, '1_PANEL_CONTROL'!$C$88, 0)</f>
        <v>0</v>
      </c>
      <c r="AP12" s="33">
        <f>IF('7_EQUIPO_RRHH'!AP$8=1, '1_PANEL_CONTROL'!$C$88, 0)</f>
        <v>0</v>
      </c>
      <c r="AQ12" s="33">
        <f>IF('7_EQUIPO_RRHH'!AQ$8=1, '1_PANEL_CONTROL'!$C$88, 0)</f>
        <v>0</v>
      </c>
      <c r="AR12" s="33">
        <f>IF('7_EQUIPO_RRHH'!AR$8=1, '1_PANEL_CONTROL'!$C$88, 0)</f>
        <v>0</v>
      </c>
      <c r="AS12" s="33">
        <f>IF('7_EQUIPO_RRHH'!AS$8=1, '1_PANEL_CONTROL'!$C$88, 0)</f>
        <v>0</v>
      </c>
      <c r="AT12" s="33">
        <f>IF('7_EQUIPO_RRHH'!AT$8=1, '1_PANEL_CONTROL'!$C$88, 0)</f>
        <v>0</v>
      </c>
      <c r="AU12" s="33">
        <f>IF('7_EQUIPO_RRHH'!AU$8=1, '1_PANEL_CONTROL'!$C$88, 0)</f>
        <v>0</v>
      </c>
      <c r="AV12" s="33">
        <f>IF('7_EQUIPO_RRHH'!AV$8=1, '1_PANEL_CONTROL'!$C$88, 0)</f>
        <v>0</v>
      </c>
      <c r="AW12" s="33">
        <f>IF('7_EQUIPO_RRHH'!AW$8=1, '1_PANEL_CONTROL'!$C$88, 0)</f>
        <v>0</v>
      </c>
      <c r="AX12" s="33">
        <f>IF('7_EQUIPO_RRHH'!AX$8=1, '1_PANEL_CONTROL'!$C$88, 0)</f>
        <v>0</v>
      </c>
      <c r="AY12" s="33">
        <f>IF('7_EQUIPO_RRHH'!AY$8=1, '1_PANEL_CONTROL'!$C$88, 0)</f>
        <v>0</v>
      </c>
      <c r="AZ12" s="33">
        <f>IF('7_EQUIPO_RRHH'!AZ$8=1, '1_PANEL_CONTROL'!$C$88, 0)</f>
        <v>0</v>
      </c>
      <c r="BA12" s="33">
        <f>IF('7_EQUIPO_RRHH'!BA$8=1, '1_PANEL_CONTROL'!$C$88, 0)</f>
        <v>0</v>
      </c>
      <c r="BB12" s="33">
        <f>IF('7_EQUIPO_RRHH'!BB$8=1, '1_PANEL_CONTROL'!$C$88, 0)</f>
        <v>0</v>
      </c>
      <c r="BC12" s="33">
        <f>IF('7_EQUIPO_RRHH'!BC$8=1, '1_PANEL_CONTROL'!$C$88, 0)</f>
        <v>0</v>
      </c>
      <c r="BD12" s="33">
        <f>IF('7_EQUIPO_RRHH'!BD$8=1, '1_PANEL_CONTROL'!$C$88, 0)</f>
        <v>0</v>
      </c>
      <c r="BE12" s="33">
        <f>IF('7_EQUIPO_RRHH'!BE$8=1, '1_PANEL_CONTROL'!$C$88, 0)</f>
        <v>0</v>
      </c>
      <c r="BF12" s="33">
        <f>IF('7_EQUIPO_RRHH'!BF$8=1, '1_PANEL_CONTROL'!$C$88, 0)</f>
        <v>0</v>
      </c>
      <c r="BG12" s="33">
        <f>IF('7_EQUIPO_RRHH'!BG$8=1, '1_PANEL_CONTROL'!$C$88, 0)</f>
        <v>0</v>
      </c>
      <c r="BH12" s="33">
        <f>IF('7_EQUIPO_RRHH'!BH$8=1, '1_PANEL_CONTROL'!$C$88, 0)</f>
        <v>0</v>
      </c>
      <c r="BI12" s="33">
        <f>IF('7_EQUIPO_RRHH'!BI$8=1, '1_PANEL_CONTROL'!$C$88, 0)</f>
        <v>0</v>
      </c>
      <c r="BJ12" s="33">
        <f>IF('7_EQUIPO_RRHH'!BJ$8=1, '1_PANEL_CONTROL'!$C$88, 0)</f>
        <v>0</v>
      </c>
      <c r="BK12" s="33">
        <f>IF('7_EQUIPO_RRHH'!BK$8=1, '1_PANEL_CONTROL'!$C$88, 0)</f>
        <v>0</v>
      </c>
      <c r="BL12" s="33">
        <f>IF('7_EQUIPO_RRHH'!BL$8=1, '1_PANEL_CONTROL'!$C$88, 0)</f>
        <v>0</v>
      </c>
      <c r="BM12" s="33">
        <f>IF('7_EQUIPO_RRHH'!BM$8=1, '1_PANEL_CONTROL'!$C$88, 0)</f>
        <v>0</v>
      </c>
      <c r="BN12" s="33">
        <f>IF('7_EQUIPO_RRHH'!BN$8=1, '1_PANEL_CONTROL'!$C$88, 0)</f>
        <v>0</v>
      </c>
      <c r="BO12" s="33">
        <f>IF('7_EQUIPO_RRHH'!BO$8=1, '1_PANEL_CONTROL'!$C$88, 0)</f>
        <v>0</v>
      </c>
      <c r="BP12" s="33">
        <f>IF('7_EQUIPO_RRHH'!BP$8=1, '1_PANEL_CONTROL'!$C$88, 0)</f>
        <v>0</v>
      </c>
      <c r="BQ12" s="33">
        <f>IF('7_EQUIPO_RRHH'!BQ$8=1, '1_PANEL_CONTROL'!$C$88, 0)</f>
        <v>0</v>
      </c>
      <c r="BR12" s="33">
        <f>IF('7_EQUIPO_RRHH'!BR$8=1, '1_PANEL_CONTROL'!$C$88, 0)</f>
        <v>0</v>
      </c>
      <c r="BS12" s="33">
        <f>IF('7_EQUIPO_RRHH'!BS$8=1, '1_PANEL_CONTROL'!$C$88, 0)</f>
        <v>0</v>
      </c>
      <c r="BT12" s="33">
        <f>IF('7_EQUIPO_RRHH'!BT$8=1, '1_PANEL_CONTROL'!$C$88, 0)</f>
        <v>0</v>
      </c>
      <c r="BU12" s="33">
        <f>IF('7_EQUIPO_RRHH'!BU$8=1, '1_PANEL_CONTROL'!$C$88, 0)</f>
        <v>0</v>
      </c>
      <c r="BV12" s="33">
        <f>IF('7_EQUIPO_RRHH'!BV$8=1, '1_PANEL_CONTROL'!$C$88, 0)</f>
        <v>0</v>
      </c>
      <c r="BW12" s="33">
        <f>IF('7_EQUIPO_RRHH'!BW$8=1, '1_PANEL_CONTROL'!$C$88, 0)</f>
        <v>0</v>
      </c>
      <c r="BX12" s="33">
        <f>IF('7_EQUIPO_RRHH'!BX$8=1, '1_PANEL_CONTROL'!$C$88, 0)</f>
        <v>0</v>
      </c>
      <c r="BY12" s="33">
        <f>IF('7_EQUIPO_RRHH'!BY$8=1, '1_PANEL_CONTROL'!$C$88, 0)</f>
        <v>0</v>
      </c>
      <c r="BZ12" s="33">
        <f>IF('7_EQUIPO_RRHH'!BZ$8=1, '1_PANEL_CONTROL'!$C$88, 0)</f>
        <v>0</v>
      </c>
      <c r="CA12" s="33">
        <f>IF('7_EQUIPO_RRHH'!CA$8=1, '1_PANEL_CONTROL'!$C$88, 0)</f>
        <v>0</v>
      </c>
      <c r="CB12" s="33">
        <f>IF('7_EQUIPO_RRHH'!CB$8=1, '1_PANEL_CONTROL'!$C$88, 0)</f>
        <v>0</v>
      </c>
      <c r="CC12" s="33">
        <f>IF('7_EQUIPO_RRHH'!CC$8=1, '1_PANEL_CONTROL'!$C$88, 0)</f>
        <v>0</v>
      </c>
      <c r="CD12" s="33">
        <f>IF('7_EQUIPO_RRHH'!CD$8=1, '1_PANEL_CONTROL'!$C$88, 0)</f>
        <v>0</v>
      </c>
      <c r="CE12" s="33">
        <f>IF('7_EQUIPO_RRHH'!CE$8=1, '1_PANEL_CONTROL'!$C$88, 0)</f>
        <v>0</v>
      </c>
      <c r="CF12" s="33">
        <f>IF('7_EQUIPO_RRHH'!CF$8=1, '1_PANEL_CONTROL'!$C$88, 0)</f>
        <v>0</v>
      </c>
      <c r="CG12" s="33">
        <f>IF('7_EQUIPO_RRHH'!CG$8=1, '1_PANEL_CONTROL'!$C$88, 0)</f>
        <v>0</v>
      </c>
      <c r="CH12" s="33">
        <f>IF('7_EQUIPO_RRHH'!CH$8=1, '1_PANEL_CONTROL'!$C$88, 0)</f>
        <v>0</v>
      </c>
      <c r="CI12" s="33">
        <f>IF('7_EQUIPO_RRHH'!CI$8=1, '1_PANEL_CONTROL'!$C$88, 0)</f>
        <v>0</v>
      </c>
    </row>
    <row r="13" spans="1:87" ht="16.5">
      <c r="A13" s="6" t="s">
        <v>687</v>
      </c>
      <c r="B13" s="30" t="s">
        <v>465</v>
      </c>
      <c r="C13" s="17" t="s">
        <v>688</v>
      </c>
      <c r="D13" s="33">
        <f>IF('7_EQUIPO_RRHH'!D$8=1, '1_PANEL_CONTROL'!$C$89, 0)</f>
        <v>0</v>
      </c>
      <c r="E13" s="33">
        <f>IF('7_EQUIPO_RRHH'!E$8=1, '1_PANEL_CONTROL'!$C$89, 0)</f>
        <v>0</v>
      </c>
      <c r="F13" s="33">
        <f>IF('7_EQUIPO_RRHH'!F$8=1, '1_PANEL_CONTROL'!$C$89, 0)</f>
        <v>0</v>
      </c>
      <c r="G13" s="33">
        <f>IF('7_EQUIPO_RRHH'!G$8=1, '1_PANEL_CONTROL'!$C$89, 0)</f>
        <v>0</v>
      </c>
      <c r="H13" s="33">
        <f>IF('7_EQUIPO_RRHH'!H$8=1, '1_PANEL_CONTROL'!$C$89, 0)</f>
        <v>0</v>
      </c>
      <c r="I13" s="33">
        <f>IF('7_EQUIPO_RRHH'!I$8=1, '1_PANEL_CONTROL'!$C$89, 0)</f>
        <v>0</v>
      </c>
      <c r="J13" s="33">
        <f>IF('7_EQUIPO_RRHH'!J$8=1, '1_PANEL_CONTROL'!$C$89, 0)</f>
        <v>0</v>
      </c>
      <c r="K13" s="33">
        <f>IF('7_EQUIPO_RRHH'!K$8=1, '1_PANEL_CONTROL'!$C$89, 0)</f>
        <v>0</v>
      </c>
      <c r="L13" s="33">
        <f>IF('7_EQUIPO_RRHH'!L$8=1, '1_PANEL_CONTROL'!$C$89, 0)</f>
        <v>0</v>
      </c>
      <c r="M13" s="33">
        <f>IF('7_EQUIPO_RRHH'!M$8=1, '1_PANEL_CONTROL'!$C$89, 0)</f>
        <v>0</v>
      </c>
      <c r="N13" s="33">
        <f>IF('7_EQUIPO_RRHH'!N$8=1, '1_PANEL_CONTROL'!$C$89, 0)</f>
        <v>0</v>
      </c>
      <c r="O13" s="33">
        <f>IF('7_EQUIPO_RRHH'!O$8=1, '1_PANEL_CONTROL'!$C$89, 0)</f>
        <v>0</v>
      </c>
      <c r="P13" s="33">
        <f>IF('7_EQUIPO_RRHH'!P$8=1, '1_PANEL_CONTROL'!$C$89, 0)</f>
        <v>0</v>
      </c>
      <c r="Q13" s="33">
        <f>IF('7_EQUIPO_RRHH'!Q$8=1, '1_PANEL_CONTROL'!$C$89, 0)</f>
        <v>0</v>
      </c>
      <c r="R13" s="33">
        <f>IF('7_EQUIPO_RRHH'!R$8=1, '1_PANEL_CONTROL'!$C$89, 0)</f>
        <v>0</v>
      </c>
      <c r="S13" s="33">
        <f>IF('7_EQUIPO_RRHH'!S$8=1, '1_PANEL_CONTROL'!$C$89, 0)</f>
        <v>0</v>
      </c>
      <c r="T13" s="33">
        <f>IF('7_EQUIPO_RRHH'!T$8=1, '1_PANEL_CONTROL'!$C$89, 0)</f>
        <v>0</v>
      </c>
      <c r="U13" s="33">
        <f>IF('7_EQUIPO_RRHH'!U$8=1, '1_PANEL_CONTROL'!$C$89, 0)</f>
        <v>0</v>
      </c>
      <c r="V13" s="33">
        <f>IF('7_EQUIPO_RRHH'!V$8=1, '1_PANEL_CONTROL'!$C$89, 0)</f>
        <v>0</v>
      </c>
      <c r="W13" s="33">
        <f>IF('7_EQUIPO_RRHH'!W$8=1, '1_PANEL_CONTROL'!$C$89, 0)</f>
        <v>0</v>
      </c>
      <c r="X13" s="33">
        <f>IF('7_EQUIPO_RRHH'!X$8=1, '1_PANEL_CONTROL'!$C$89, 0)</f>
        <v>0</v>
      </c>
      <c r="Y13" s="33">
        <f>IF('7_EQUIPO_RRHH'!Y$8=1, '1_PANEL_CONTROL'!$C$89, 0)</f>
        <v>0</v>
      </c>
      <c r="Z13" s="33">
        <f>IF('7_EQUIPO_RRHH'!Z$8=1, '1_PANEL_CONTROL'!$C$89, 0)</f>
        <v>0</v>
      </c>
      <c r="AA13" s="33">
        <f>IF('7_EQUIPO_RRHH'!AA$8=1, '1_PANEL_CONTROL'!$C$89, 0)</f>
        <v>0</v>
      </c>
      <c r="AB13" s="33">
        <f>IF('7_EQUIPO_RRHH'!AB$8=1, '1_PANEL_CONTROL'!$C$89, 0)</f>
        <v>0</v>
      </c>
      <c r="AC13" s="33">
        <f>IF('7_EQUIPO_RRHH'!AC$8=1, '1_PANEL_CONTROL'!$C$89, 0)</f>
        <v>0</v>
      </c>
      <c r="AD13" s="33">
        <f>IF('7_EQUIPO_RRHH'!AD$8=1, '1_PANEL_CONTROL'!$C$89, 0)</f>
        <v>0</v>
      </c>
      <c r="AE13" s="33">
        <f>IF('7_EQUIPO_RRHH'!AE$8=1, '1_PANEL_CONTROL'!$C$89, 0)</f>
        <v>0</v>
      </c>
      <c r="AF13" s="33">
        <f>IF('7_EQUIPO_RRHH'!AF$8=1, '1_PANEL_CONTROL'!$C$89, 0)</f>
        <v>0</v>
      </c>
      <c r="AG13" s="33">
        <f>IF('7_EQUIPO_RRHH'!AG$8=1, '1_PANEL_CONTROL'!$C$89, 0)</f>
        <v>0</v>
      </c>
      <c r="AH13" s="33">
        <f>IF('7_EQUIPO_RRHH'!AH$8=1, '1_PANEL_CONTROL'!$C$89, 0)</f>
        <v>0</v>
      </c>
      <c r="AI13" s="33">
        <f>IF('7_EQUIPO_RRHH'!AI$8=1, '1_PANEL_CONTROL'!$C$89, 0)</f>
        <v>0</v>
      </c>
      <c r="AJ13" s="33">
        <f>IF('7_EQUIPO_RRHH'!AJ$8=1, '1_PANEL_CONTROL'!$C$89, 0)</f>
        <v>0</v>
      </c>
      <c r="AK13" s="33">
        <f>IF('7_EQUIPO_RRHH'!AK$8=1, '1_PANEL_CONTROL'!$C$89, 0)</f>
        <v>0</v>
      </c>
      <c r="AL13" s="33">
        <f>IF('7_EQUIPO_RRHH'!AL$8=1, '1_PANEL_CONTROL'!$C$89, 0)</f>
        <v>0</v>
      </c>
      <c r="AM13" s="33">
        <f>IF('7_EQUIPO_RRHH'!AM$8=1, '1_PANEL_CONTROL'!$C$89, 0)</f>
        <v>0</v>
      </c>
      <c r="AN13" s="33">
        <f>IF('7_EQUIPO_RRHH'!AN$8=1, '1_PANEL_CONTROL'!$C$89, 0)</f>
        <v>0</v>
      </c>
      <c r="AO13" s="33">
        <f>IF('7_EQUIPO_RRHH'!AO$8=1, '1_PANEL_CONTROL'!$C$89, 0)</f>
        <v>0</v>
      </c>
      <c r="AP13" s="33">
        <f>IF('7_EQUIPO_RRHH'!AP$8=1, '1_PANEL_CONTROL'!$C$89, 0)</f>
        <v>0</v>
      </c>
      <c r="AQ13" s="33">
        <f>IF('7_EQUIPO_RRHH'!AQ$8=1, '1_PANEL_CONTROL'!$C$89, 0)</f>
        <v>0</v>
      </c>
      <c r="AR13" s="33">
        <f>IF('7_EQUIPO_RRHH'!AR$8=1, '1_PANEL_CONTROL'!$C$89, 0)</f>
        <v>0</v>
      </c>
      <c r="AS13" s="33">
        <f>IF('7_EQUIPO_RRHH'!AS$8=1, '1_PANEL_CONTROL'!$C$89, 0)</f>
        <v>0</v>
      </c>
      <c r="AT13" s="33">
        <f>IF('7_EQUIPO_RRHH'!AT$8=1, '1_PANEL_CONTROL'!$C$89, 0)</f>
        <v>0</v>
      </c>
      <c r="AU13" s="33">
        <f>IF('7_EQUIPO_RRHH'!AU$8=1, '1_PANEL_CONTROL'!$C$89, 0)</f>
        <v>0</v>
      </c>
      <c r="AV13" s="33">
        <f>IF('7_EQUIPO_RRHH'!AV$8=1, '1_PANEL_CONTROL'!$C$89, 0)</f>
        <v>0</v>
      </c>
      <c r="AW13" s="33">
        <f>IF('7_EQUIPO_RRHH'!AW$8=1, '1_PANEL_CONTROL'!$C$89, 0)</f>
        <v>0</v>
      </c>
      <c r="AX13" s="33">
        <f>IF('7_EQUIPO_RRHH'!AX$8=1, '1_PANEL_CONTROL'!$C$89, 0)</f>
        <v>0</v>
      </c>
      <c r="AY13" s="33">
        <f>IF('7_EQUIPO_RRHH'!AY$8=1, '1_PANEL_CONTROL'!$C$89, 0)</f>
        <v>0</v>
      </c>
      <c r="AZ13" s="33">
        <f>IF('7_EQUIPO_RRHH'!AZ$8=1, '1_PANEL_CONTROL'!$C$89, 0)</f>
        <v>0</v>
      </c>
      <c r="BA13" s="33">
        <f>IF('7_EQUIPO_RRHH'!BA$8=1, '1_PANEL_CONTROL'!$C$89, 0)</f>
        <v>0</v>
      </c>
      <c r="BB13" s="33">
        <f>IF('7_EQUIPO_RRHH'!BB$8=1, '1_PANEL_CONTROL'!$C$89, 0)</f>
        <v>0</v>
      </c>
      <c r="BC13" s="33">
        <f>IF('7_EQUIPO_RRHH'!BC$8=1, '1_PANEL_CONTROL'!$C$89, 0)</f>
        <v>0</v>
      </c>
      <c r="BD13" s="33">
        <f>IF('7_EQUIPO_RRHH'!BD$8=1, '1_PANEL_CONTROL'!$C$89, 0)</f>
        <v>0</v>
      </c>
      <c r="BE13" s="33">
        <f>IF('7_EQUIPO_RRHH'!BE$8=1, '1_PANEL_CONTROL'!$C$89, 0)</f>
        <v>0</v>
      </c>
      <c r="BF13" s="33">
        <f>IF('7_EQUIPO_RRHH'!BF$8=1, '1_PANEL_CONTROL'!$C$89, 0)</f>
        <v>0</v>
      </c>
      <c r="BG13" s="33">
        <f>IF('7_EQUIPO_RRHH'!BG$8=1, '1_PANEL_CONTROL'!$C$89, 0)</f>
        <v>0</v>
      </c>
      <c r="BH13" s="33">
        <f>IF('7_EQUIPO_RRHH'!BH$8=1, '1_PANEL_CONTROL'!$C$89, 0)</f>
        <v>0</v>
      </c>
      <c r="BI13" s="33">
        <f>IF('7_EQUIPO_RRHH'!BI$8=1, '1_PANEL_CONTROL'!$C$89, 0)</f>
        <v>0</v>
      </c>
      <c r="BJ13" s="33">
        <f>IF('7_EQUIPO_RRHH'!BJ$8=1, '1_PANEL_CONTROL'!$C$89, 0)</f>
        <v>0</v>
      </c>
      <c r="BK13" s="33">
        <f>IF('7_EQUIPO_RRHH'!BK$8=1, '1_PANEL_CONTROL'!$C$89, 0)</f>
        <v>0</v>
      </c>
      <c r="BL13" s="33">
        <f>IF('7_EQUIPO_RRHH'!BL$8=1, '1_PANEL_CONTROL'!$C$89, 0)</f>
        <v>0</v>
      </c>
      <c r="BM13" s="33">
        <f>IF('7_EQUIPO_RRHH'!BM$8=1, '1_PANEL_CONTROL'!$C$89, 0)</f>
        <v>0</v>
      </c>
      <c r="BN13" s="33">
        <f>IF('7_EQUIPO_RRHH'!BN$8=1, '1_PANEL_CONTROL'!$C$89, 0)</f>
        <v>0</v>
      </c>
      <c r="BO13" s="33">
        <f>IF('7_EQUIPO_RRHH'!BO$8=1, '1_PANEL_CONTROL'!$C$89, 0)</f>
        <v>0</v>
      </c>
      <c r="BP13" s="33">
        <f>IF('7_EQUIPO_RRHH'!BP$8=1, '1_PANEL_CONTROL'!$C$89, 0)</f>
        <v>0</v>
      </c>
      <c r="BQ13" s="33">
        <f>IF('7_EQUIPO_RRHH'!BQ$8=1, '1_PANEL_CONTROL'!$C$89, 0)</f>
        <v>0</v>
      </c>
      <c r="BR13" s="33">
        <f>IF('7_EQUIPO_RRHH'!BR$8=1, '1_PANEL_CONTROL'!$C$89, 0)</f>
        <v>0</v>
      </c>
      <c r="BS13" s="33">
        <f>IF('7_EQUIPO_RRHH'!BS$8=1, '1_PANEL_CONTROL'!$C$89, 0)</f>
        <v>0</v>
      </c>
      <c r="BT13" s="33">
        <f>IF('7_EQUIPO_RRHH'!BT$8=1, '1_PANEL_CONTROL'!$C$89, 0)</f>
        <v>0</v>
      </c>
      <c r="BU13" s="33">
        <f>IF('7_EQUIPO_RRHH'!BU$8=1, '1_PANEL_CONTROL'!$C$89, 0)</f>
        <v>0</v>
      </c>
      <c r="BV13" s="33">
        <f>IF('7_EQUIPO_RRHH'!BV$8=1, '1_PANEL_CONTROL'!$C$89, 0)</f>
        <v>0</v>
      </c>
      <c r="BW13" s="33">
        <f>IF('7_EQUIPO_RRHH'!BW$8=1, '1_PANEL_CONTROL'!$C$89, 0)</f>
        <v>0</v>
      </c>
      <c r="BX13" s="33">
        <f>IF('7_EQUIPO_RRHH'!BX$8=1, '1_PANEL_CONTROL'!$C$89, 0)</f>
        <v>0</v>
      </c>
      <c r="BY13" s="33">
        <f>IF('7_EQUIPO_RRHH'!BY$8=1, '1_PANEL_CONTROL'!$C$89, 0)</f>
        <v>0</v>
      </c>
      <c r="BZ13" s="33">
        <f>IF('7_EQUIPO_RRHH'!BZ$8=1, '1_PANEL_CONTROL'!$C$89, 0)</f>
        <v>0</v>
      </c>
      <c r="CA13" s="33">
        <f>IF('7_EQUIPO_RRHH'!CA$8=1, '1_PANEL_CONTROL'!$C$89, 0)</f>
        <v>0</v>
      </c>
      <c r="CB13" s="33">
        <f>IF('7_EQUIPO_RRHH'!CB$8=1, '1_PANEL_CONTROL'!$C$89, 0)</f>
        <v>0</v>
      </c>
      <c r="CC13" s="33">
        <f>IF('7_EQUIPO_RRHH'!CC$8=1, '1_PANEL_CONTROL'!$C$89, 0)</f>
        <v>0</v>
      </c>
      <c r="CD13" s="33">
        <f>IF('7_EQUIPO_RRHH'!CD$8=1, '1_PANEL_CONTROL'!$C$89, 0)</f>
        <v>0</v>
      </c>
      <c r="CE13" s="33">
        <f>IF('7_EQUIPO_RRHH'!CE$8=1, '1_PANEL_CONTROL'!$C$89, 0)</f>
        <v>0</v>
      </c>
      <c r="CF13" s="33">
        <f>IF('7_EQUIPO_RRHH'!CF$8=1, '1_PANEL_CONTROL'!$C$89, 0)</f>
        <v>0</v>
      </c>
      <c r="CG13" s="33">
        <f>IF('7_EQUIPO_RRHH'!CG$8=1, '1_PANEL_CONTROL'!$C$89, 0)</f>
        <v>0</v>
      </c>
      <c r="CH13" s="33">
        <f>IF('7_EQUIPO_RRHH'!CH$8=1, '1_PANEL_CONTROL'!$C$89, 0)</f>
        <v>0</v>
      </c>
      <c r="CI13" s="33">
        <f>IF('7_EQUIPO_RRHH'!CI$8=1, '1_PANEL_CONTROL'!$C$89, 0)</f>
        <v>0</v>
      </c>
    </row>
    <row r="14" spans="1:87" ht="16.5">
      <c r="A14" s="6" t="s">
        <v>689</v>
      </c>
      <c r="B14" s="30" t="s">
        <v>465</v>
      </c>
      <c r="C14" s="17" t="s">
        <v>690</v>
      </c>
      <c r="D14" s="33">
        <f>IF('7_EQUIPO_RRHH'!D$8=1, '1_PANEL_CONTROL'!$C$90, 0)</f>
        <v>15000</v>
      </c>
      <c r="E14" s="33">
        <f>IF('7_EQUIPO_RRHH'!E$8=1, '1_PANEL_CONTROL'!$C$90, 0)</f>
        <v>0</v>
      </c>
      <c r="F14" s="33">
        <f>IF('7_EQUIPO_RRHH'!F$8=1, '1_PANEL_CONTROL'!$C$90, 0)</f>
        <v>0</v>
      </c>
      <c r="G14" s="33">
        <f>IF('7_EQUIPO_RRHH'!G$8=1, '1_PANEL_CONTROL'!$C$90, 0)</f>
        <v>0</v>
      </c>
      <c r="H14" s="33">
        <f>IF('7_EQUIPO_RRHH'!H$8=1, '1_PANEL_CONTROL'!$C$90, 0)</f>
        <v>0</v>
      </c>
      <c r="I14" s="33">
        <f>IF('7_EQUIPO_RRHH'!I$8=1, '1_PANEL_CONTROL'!$C$90, 0)</f>
        <v>0</v>
      </c>
      <c r="J14" s="33">
        <f>IF('7_EQUIPO_RRHH'!J$8=1, '1_PANEL_CONTROL'!$C$90, 0)</f>
        <v>0</v>
      </c>
      <c r="K14" s="33">
        <f>IF('7_EQUIPO_RRHH'!K$8=1, '1_PANEL_CONTROL'!$C$90, 0)</f>
        <v>0</v>
      </c>
      <c r="L14" s="33">
        <f>IF('7_EQUIPO_RRHH'!L$8=1, '1_PANEL_CONTROL'!$C$90, 0)</f>
        <v>0</v>
      </c>
      <c r="M14" s="33">
        <f>IF('7_EQUIPO_RRHH'!M$8=1, '1_PANEL_CONTROL'!$C$90, 0)</f>
        <v>0</v>
      </c>
      <c r="N14" s="33">
        <f>IF('7_EQUIPO_RRHH'!N$8=1, '1_PANEL_CONTROL'!$C$90, 0)</f>
        <v>0</v>
      </c>
      <c r="O14" s="33">
        <f>IF('7_EQUIPO_RRHH'!O$8=1, '1_PANEL_CONTROL'!$C$90, 0)</f>
        <v>0</v>
      </c>
      <c r="P14" s="33">
        <f>IF('7_EQUIPO_RRHH'!P$8=1, '1_PANEL_CONTROL'!$C$90, 0)</f>
        <v>0</v>
      </c>
      <c r="Q14" s="33">
        <f>IF('7_EQUIPO_RRHH'!Q$8=1, '1_PANEL_CONTROL'!$C$90, 0)</f>
        <v>0</v>
      </c>
      <c r="R14" s="33">
        <f>IF('7_EQUIPO_RRHH'!R$8=1, '1_PANEL_CONTROL'!$C$90, 0)</f>
        <v>0</v>
      </c>
      <c r="S14" s="33">
        <f>IF('7_EQUIPO_RRHH'!S$8=1, '1_PANEL_CONTROL'!$C$90, 0)</f>
        <v>0</v>
      </c>
      <c r="T14" s="33">
        <f>IF('7_EQUIPO_RRHH'!T$8=1, '1_PANEL_CONTROL'!$C$90, 0)</f>
        <v>0</v>
      </c>
      <c r="U14" s="33">
        <f>IF('7_EQUIPO_RRHH'!U$8=1, '1_PANEL_CONTROL'!$C$90, 0)</f>
        <v>0</v>
      </c>
      <c r="V14" s="33">
        <f>IF('7_EQUIPO_RRHH'!V$8=1, '1_PANEL_CONTROL'!$C$90, 0)</f>
        <v>0</v>
      </c>
      <c r="W14" s="33">
        <f>IF('7_EQUIPO_RRHH'!W$8=1, '1_PANEL_CONTROL'!$C$90, 0)</f>
        <v>0</v>
      </c>
      <c r="X14" s="33">
        <f>IF('7_EQUIPO_RRHH'!X$8=1, '1_PANEL_CONTROL'!$C$90, 0)</f>
        <v>0</v>
      </c>
      <c r="Y14" s="33">
        <f>IF('7_EQUIPO_RRHH'!Y$8=1, '1_PANEL_CONTROL'!$C$90, 0)</f>
        <v>0</v>
      </c>
      <c r="Z14" s="33">
        <f>IF('7_EQUIPO_RRHH'!Z$8=1, '1_PANEL_CONTROL'!$C$90, 0)</f>
        <v>0</v>
      </c>
      <c r="AA14" s="33">
        <f>IF('7_EQUIPO_RRHH'!AA$8=1, '1_PANEL_CONTROL'!$C$90, 0)</f>
        <v>0</v>
      </c>
      <c r="AB14" s="33">
        <f>IF('7_EQUIPO_RRHH'!AB$8=1, '1_PANEL_CONTROL'!$C$90, 0)</f>
        <v>0</v>
      </c>
      <c r="AC14" s="33">
        <f>IF('7_EQUIPO_RRHH'!AC$8=1, '1_PANEL_CONTROL'!$C$90, 0)</f>
        <v>0</v>
      </c>
      <c r="AD14" s="33">
        <f>IF('7_EQUIPO_RRHH'!AD$8=1, '1_PANEL_CONTROL'!$C$90, 0)</f>
        <v>0</v>
      </c>
      <c r="AE14" s="33">
        <f>IF('7_EQUIPO_RRHH'!AE$8=1, '1_PANEL_CONTROL'!$C$90, 0)</f>
        <v>0</v>
      </c>
      <c r="AF14" s="33">
        <f>IF('7_EQUIPO_RRHH'!AF$8=1, '1_PANEL_CONTROL'!$C$90, 0)</f>
        <v>0</v>
      </c>
      <c r="AG14" s="33">
        <f>IF('7_EQUIPO_RRHH'!AG$8=1, '1_PANEL_CONTROL'!$C$90, 0)</f>
        <v>0</v>
      </c>
      <c r="AH14" s="33">
        <f>IF('7_EQUIPO_RRHH'!AH$8=1, '1_PANEL_CONTROL'!$C$90, 0)</f>
        <v>0</v>
      </c>
      <c r="AI14" s="33">
        <f>IF('7_EQUIPO_RRHH'!AI$8=1, '1_PANEL_CONTROL'!$C$90, 0)</f>
        <v>0</v>
      </c>
      <c r="AJ14" s="33">
        <f>IF('7_EQUIPO_RRHH'!AJ$8=1, '1_PANEL_CONTROL'!$C$90, 0)</f>
        <v>0</v>
      </c>
      <c r="AK14" s="33">
        <f>IF('7_EQUIPO_RRHH'!AK$8=1, '1_PANEL_CONTROL'!$C$90, 0)</f>
        <v>0</v>
      </c>
      <c r="AL14" s="33">
        <f>IF('7_EQUIPO_RRHH'!AL$8=1, '1_PANEL_CONTROL'!$C$90, 0)</f>
        <v>0</v>
      </c>
      <c r="AM14" s="33">
        <f>IF('7_EQUIPO_RRHH'!AM$8=1, '1_PANEL_CONTROL'!$C$90, 0)</f>
        <v>0</v>
      </c>
      <c r="AN14" s="33">
        <f>IF('7_EQUIPO_RRHH'!AN$8=1, '1_PANEL_CONTROL'!$C$90, 0)</f>
        <v>0</v>
      </c>
      <c r="AO14" s="33">
        <f>IF('7_EQUIPO_RRHH'!AO$8=1, '1_PANEL_CONTROL'!$C$90, 0)</f>
        <v>0</v>
      </c>
      <c r="AP14" s="33">
        <f>IF('7_EQUIPO_RRHH'!AP$8=1, '1_PANEL_CONTROL'!$C$90, 0)</f>
        <v>0</v>
      </c>
      <c r="AQ14" s="33">
        <f>IF('7_EQUIPO_RRHH'!AQ$8=1, '1_PANEL_CONTROL'!$C$90, 0)</f>
        <v>0</v>
      </c>
      <c r="AR14" s="33">
        <f>IF('7_EQUIPO_RRHH'!AR$8=1, '1_PANEL_CONTROL'!$C$90, 0)</f>
        <v>0</v>
      </c>
      <c r="AS14" s="33">
        <f>IF('7_EQUIPO_RRHH'!AS$8=1, '1_PANEL_CONTROL'!$C$90, 0)</f>
        <v>0</v>
      </c>
      <c r="AT14" s="33">
        <f>IF('7_EQUIPO_RRHH'!AT$8=1, '1_PANEL_CONTROL'!$C$90, 0)</f>
        <v>0</v>
      </c>
      <c r="AU14" s="33">
        <f>IF('7_EQUIPO_RRHH'!AU$8=1, '1_PANEL_CONTROL'!$C$90, 0)</f>
        <v>0</v>
      </c>
      <c r="AV14" s="33">
        <f>IF('7_EQUIPO_RRHH'!AV$8=1, '1_PANEL_CONTROL'!$C$90, 0)</f>
        <v>0</v>
      </c>
      <c r="AW14" s="33">
        <f>IF('7_EQUIPO_RRHH'!AW$8=1, '1_PANEL_CONTROL'!$C$90, 0)</f>
        <v>0</v>
      </c>
      <c r="AX14" s="33">
        <f>IF('7_EQUIPO_RRHH'!AX$8=1, '1_PANEL_CONTROL'!$C$90, 0)</f>
        <v>0</v>
      </c>
      <c r="AY14" s="33">
        <f>IF('7_EQUIPO_RRHH'!AY$8=1, '1_PANEL_CONTROL'!$C$90, 0)</f>
        <v>0</v>
      </c>
      <c r="AZ14" s="33">
        <f>IF('7_EQUIPO_RRHH'!AZ$8=1, '1_PANEL_CONTROL'!$C$90, 0)</f>
        <v>0</v>
      </c>
      <c r="BA14" s="33">
        <f>IF('7_EQUIPO_RRHH'!BA$8=1, '1_PANEL_CONTROL'!$C$90, 0)</f>
        <v>0</v>
      </c>
      <c r="BB14" s="33">
        <f>IF('7_EQUIPO_RRHH'!BB$8=1, '1_PANEL_CONTROL'!$C$90, 0)</f>
        <v>0</v>
      </c>
      <c r="BC14" s="33">
        <f>IF('7_EQUIPO_RRHH'!BC$8=1, '1_PANEL_CONTROL'!$C$90, 0)</f>
        <v>0</v>
      </c>
      <c r="BD14" s="33">
        <f>IF('7_EQUIPO_RRHH'!BD$8=1, '1_PANEL_CONTROL'!$C$90, 0)</f>
        <v>0</v>
      </c>
      <c r="BE14" s="33">
        <f>IF('7_EQUIPO_RRHH'!BE$8=1, '1_PANEL_CONTROL'!$C$90, 0)</f>
        <v>0</v>
      </c>
      <c r="BF14" s="33">
        <f>IF('7_EQUIPO_RRHH'!BF$8=1, '1_PANEL_CONTROL'!$C$90, 0)</f>
        <v>0</v>
      </c>
      <c r="BG14" s="33">
        <f>IF('7_EQUIPO_RRHH'!BG$8=1, '1_PANEL_CONTROL'!$C$90, 0)</f>
        <v>0</v>
      </c>
      <c r="BH14" s="33">
        <f>IF('7_EQUIPO_RRHH'!BH$8=1, '1_PANEL_CONTROL'!$C$90, 0)</f>
        <v>0</v>
      </c>
      <c r="BI14" s="33">
        <f>IF('7_EQUIPO_RRHH'!BI$8=1, '1_PANEL_CONTROL'!$C$90, 0)</f>
        <v>0</v>
      </c>
      <c r="BJ14" s="33">
        <f>IF('7_EQUIPO_RRHH'!BJ$8=1, '1_PANEL_CONTROL'!$C$90, 0)</f>
        <v>0</v>
      </c>
      <c r="BK14" s="33">
        <f>IF('7_EQUIPO_RRHH'!BK$8=1, '1_PANEL_CONTROL'!$C$90, 0)</f>
        <v>0</v>
      </c>
      <c r="BL14" s="33">
        <f>IF('7_EQUIPO_RRHH'!BL$8=1, '1_PANEL_CONTROL'!$C$90, 0)</f>
        <v>0</v>
      </c>
      <c r="BM14" s="33">
        <f>IF('7_EQUIPO_RRHH'!BM$8=1, '1_PANEL_CONTROL'!$C$90, 0)</f>
        <v>0</v>
      </c>
      <c r="BN14" s="33">
        <f>IF('7_EQUIPO_RRHH'!BN$8=1, '1_PANEL_CONTROL'!$C$90, 0)</f>
        <v>0</v>
      </c>
      <c r="BO14" s="33">
        <f>IF('7_EQUIPO_RRHH'!BO$8=1, '1_PANEL_CONTROL'!$C$90, 0)</f>
        <v>0</v>
      </c>
      <c r="BP14" s="33">
        <f>IF('7_EQUIPO_RRHH'!BP$8=1, '1_PANEL_CONTROL'!$C$90, 0)</f>
        <v>0</v>
      </c>
      <c r="BQ14" s="33">
        <f>IF('7_EQUIPO_RRHH'!BQ$8=1, '1_PANEL_CONTROL'!$C$90, 0)</f>
        <v>0</v>
      </c>
      <c r="BR14" s="33">
        <f>IF('7_EQUIPO_RRHH'!BR$8=1, '1_PANEL_CONTROL'!$C$90, 0)</f>
        <v>0</v>
      </c>
      <c r="BS14" s="33">
        <f>IF('7_EQUIPO_RRHH'!BS$8=1, '1_PANEL_CONTROL'!$C$90, 0)</f>
        <v>0</v>
      </c>
      <c r="BT14" s="33">
        <f>IF('7_EQUIPO_RRHH'!BT$8=1, '1_PANEL_CONTROL'!$C$90, 0)</f>
        <v>0</v>
      </c>
      <c r="BU14" s="33">
        <f>IF('7_EQUIPO_RRHH'!BU$8=1, '1_PANEL_CONTROL'!$C$90, 0)</f>
        <v>0</v>
      </c>
      <c r="BV14" s="33">
        <f>IF('7_EQUIPO_RRHH'!BV$8=1, '1_PANEL_CONTROL'!$C$90, 0)</f>
        <v>0</v>
      </c>
      <c r="BW14" s="33">
        <f>IF('7_EQUIPO_RRHH'!BW$8=1, '1_PANEL_CONTROL'!$C$90, 0)</f>
        <v>0</v>
      </c>
      <c r="BX14" s="33">
        <f>IF('7_EQUIPO_RRHH'!BX$8=1, '1_PANEL_CONTROL'!$C$90, 0)</f>
        <v>0</v>
      </c>
      <c r="BY14" s="33">
        <f>IF('7_EQUIPO_RRHH'!BY$8=1, '1_PANEL_CONTROL'!$C$90, 0)</f>
        <v>0</v>
      </c>
      <c r="BZ14" s="33">
        <f>IF('7_EQUIPO_RRHH'!BZ$8=1, '1_PANEL_CONTROL'!$C$90, 0)</f>
        <v>0</v>
      </c>
      <c r="CA14" s="33">
        <f>IF('7_EQUIPO_RRHH'!CA$8=1, '1_PANEL_CONTROL'!$C$90, 0)</f>
        <v>0</v>
      </c>
      <c r="CB14" s="33">
        <f>IF('7_EQUIPO_RRHH'!CB$8=1, '1_PANEL_CONTROL'!$C$90, 0)</f>
        <v>0</v>
      </c>
      <c r="CC14" s="33">
        <f>IF('7_EQUIPO_RRHH'!CC$8=1, '1_PANEL_CONTROL'!$C$90, 0)</f>
        <v>0</v>
      </c>
      <c r="CD14" s="33">
        <f>IF('7_EQUIPO_RRHH'!CD$8=1, '1_PANEL_CONTROL'!$C$90, 0)</f>
        <v>0</v>
      </c>
      <c r="CE14" s="33">
        <f>IF('7_EQUIPO_RRHH'!CE$8=1, '1_PANEL_CONTROL'!$C$90, 0)</f>
        <v>0</v>
      </c>
      <c r="CF14" s="33">
        <f>IF('7_EQUIPO_RRHH'!CF$8=1, '1_PANEL_CONTROL'!$C$90, 0)</f>
        <v>0</v>
      </c>
      <c r="CG14" s="33">
        <f>IF('7_EQUIPO_RRHH'!CG$8=1, '1_PANEL_CONTROL'!$C$90, 0)</f>
        <v>0</v>
      </c>
      <c r="CH14" s="33">
        <f>IF('7_EQUIPO_RRHH'!CH$8=1, '1_PANEL_CONTROL'!$C$90, 0)</f>
        <v>0</v>
      </c>
      <c r="CI14" s="33">
        <f>IF('7_EQUIPO_RRHH'!CI$8=1, '1_PANEL_CONTROL'!$C$90, 0)</f>
        <v>0</v>
      </c>
    </row>
    <row r="15" spans="1:87" ht="16.5">
      <c r="A15" s="6" t="s">
        <v>691</v>
      </c>
      <c r="B15" s="30" t="s">
        <v>465</v>
      </c>
      <c r="C15" s="17" t="s">
        <v>692</v>
      </c>
      <c r="D15" s="33">
        <f>IF('7_EQUIPO_RRHH'!D$8=1, '1_PANEL_CONTROL'!$C$91, 0)</f>
        <v>0</v>
      </c>
      <c r="E15" s="33">
        <f>IF('7_EQUIPO_RRHH'!E$8=1, '1_PANEL_CONTROL'!$C$91, 0)</f>
        <v>0</v>
      </c>
      <c r="F15" s="33">
        <f>IF('7_EQUIPO_RRHH'!F$8=1, '1_PANEL_CONTROL'!$C$91, 0)</f>
        <v>0</v>
      </c>
      <c r="G15" s="33">
        <f>IF('7_EQUIPO_RRHH'!G$8=1, '1_PANEL_CONTROL'!$C$91, 0)</f>
        <v>0</v>
      </c>
      <c r="H15" s="33">
        <f>IF('7_EQUIPO_RRHH'!H$8=1, '1_PANEL_CONTROL'!$C$91, 0)</f>
        <v>0</v>
      </c>
      <c r="I15" s="33">
        <f>IF('7_EQUIPO_RRHH'!I$8=1, '1_PANEL_CONTROL'!$C$91, 0)</f>
        <v>0</v>
      </c>
      <c r="J15" s="33">
        <f>IF('7_EQUIPO_RRHH'!J$8=1, '1_PANEL_CONTROL'!$C$91, 0)</f>
        <v>0</v>
      </c>
      <c r="K15" s="33">
        <f>IF('7_EQUIPO_RRHH'!K$8=1, '1_PANEL_CONTROL'!$C$91, 0)</f>
        <v>0</v>
      </c>
      <c r="L15" s="33">
        <f>IF('7_EQUIPO_RRHH'!L$8=1, '1_PANEL_CONTROL'!$C$91, 0)</f>
        <v>0</v>
      </c>
      <c r="M15" s="33">
        <f>IF('7_EQUIPO_RRHH'!M$8=1, '1_PANEL_CONTROL'!$C$91, 0)</f>
        <v>0</v>
      </c>
      <c r="N15" s="33">
        <f>IF('7_EQUIPO_RRHH'!N$8=1, '1_PANEL_CONTROL'!$C$91, 0)</f>
        <v>0</v>
      </c>
      <c r="O15" s="33">
        <f>IF('7_EQUIPO_RRHH'!O$8=1, '1_PANEL_CONTROL'!$C$91, 0)</f>
        <v>0</v>
      </c>
      <c r="P15" s="33">
        <f>IF('7_EQUIPO_RRHH'!P$8=1, '1_PANEL_CONTROL'!$C$91, 0)</f>
        <v>0</v>
      </c>
      <c r="Q15" s="33">
        <f>IF('7_EQUIPO_RRHH'!Q$8=1, '1_PANEL_CONTROL'!$C$91, 0)</f>
        <v>0</v>
      </c>
      <c r="R15" s="33">
        <f>IF('7_EQUIPO_RRHH'!R$8=1, '1_PANEL_CONTROL'!$C$91, 0)</f>
        <v>0</v>
      </c>
      <c r="S15" s="33">
        <f>IF('7_EQUIPO_RRHH'!S$8=1, '1_PANEL_CONTROL'!$C$91, 0)</f>
        <v>0</v>
      </c>
      <c r="T15" s="33">
        <f>IF('7_EQUIPO_RRHH'!T$8=1, '1_PANEL_CONTROL'!$C$91, 0)</f>
        <v>0</v>
      </c>
      <c r="U15" s="33">
        <f>IF('7_EQUIPO_RRHH'!U$8=1, '1_PANEL_CONTROL'!$C$91, 0)</f>
        <v>0</v>
      </c>
      <c r="V15" s="33">
        <f>IF('7_EQUIPO_RRHH'!V$8=1, '1_PANEL_CONTROL'!$C$91, 0)</f>
        <v>0</v>
      </c>
      <c r="W15" s="33">
        <f>IF('7_EQUIPO_RRHH'!W$8=1, '1_PANEL_CONTROL'!$C$91, 0)</f>
        <v>0</v>
      </c>
      <c r="X15" s="33">
        <f>IF('7_EQUIPO_RRHH'!X$8=1, '1_PANEL_CONTROL'!$C$91, 0)</f>
        <v>0</v>
      </c>
      <c r="Y15" s="33">
        <f>IF('7_EQUIPO_RRHH'!Y$8=1, '1_PANEL_CONTROL'!$C$91, 0)</f>
        <v>0</v>
      </c>
      <c r="Z15" s="33">
        <f>IF('7_EQUIPO_RRHH'!Z$8=1, '1_PANEL_CONTROL'!$C$91, 0)</f>
        <v>0</v>
      </c>
      <c r="AA15" s="33">
        <f>IF('7_EQUIPO_RRHH'!AA$8=1, '1_PANEL_CONTROL'!$C$91, 0)</f>
        <v>0</v>
      </c>
      <c r="AB15" s="33">
        <f>IF('7_EQUIPO_RRHH'!AB$8=1, '1_PANEL_CONTROL'!$C$91, 0)</f>
        <v>0</v>
      </c>
      <c r="AC15" s="33">
        <f>IF('7_EQUIPO_RRHH'!AC$8=1, '1_PANEL_CONTROL'!$C$91, 0)</f>
        <v>0</v>
      </c>
      <c r="AD15" s="33">
        <f>IF('7_EQUIPO_RRHH'!AD$8=1, '1_PANEL_CONTROL'!$C$91, 0)</f>
        <v>0</v>
      </c>
      <c r="AE15" s="33">
        <f>IF('7_EQUIPO_RRHH'!AE$8=1, '1_PANEL_CONTROL'!$C$91, 0)</f>
        <v>0</v>
      </c>
      <c r="AF15" s="33">
        <f>IF('7_EQUIPO_RRHH'!AF$8=1, '1_PANEL_CONTROL'!$C$91, 0)</f>
        <v>0</v>
      </c>
      <c r="AG15" s="33">
        <f>IF('7_EQUIPO_RRHH'!AG$8=1, '1_PANEL_CONTROL'!$C$91, 0)</f>
        <v>0</v>
      </c>
      <c r="AH15" s="33">
        <f>IF('7_EQUIPO_RRHH'!AH$8=1, '1_PANEL_CONTROL'!$C$91, 0)</f>
        <v>0</v>
      </c>
      <c r="AI15" s="33">
        <f>IF('7_EQUIPO_RRHH'!AI$8=1, '1_PANEL_CONTROL'!$C$91, 0)</f>
        <v>0</v>
      </c>
      <c r="AJ15" s="33">
        <f>IF('7_EQUIPO_RRHH'!AJ$8=1, '1_PANEL_CONTROL'!$C$91, 0)</f>
        <v>0</v>
      </c>
      <c r="AK15" s="33">
        <f>IF('7_EQUIPO_RRHH'!AK$8=1, '1_PANEL_CONTROL'!$C$91, 0)</f>
        <v>0</v>
      </c>
      <c r="AL15" s="33">
        <f>IF('7_EQUIPO_RRHH'!AL$8=1, '1_PANEL_CONTROL'!$C$91, 0)</f>
        <v>0</v>
      </c>
      <c r="AM15" s="33">
        <f>IF('7_EQUIPO_RRHH'!AM$8=1, '1_PANEL_CONTROL'!$C$91, 0)</f>
        <v>0</v>
      </c>
      <c r="AN15" s="33">
        <f>IF('7_EQUIPO_RRHH'!AN$8=1, '1_PANEL_CONTROL'!$C$91, 0)</f>
        <v>0</v>
      </c>
      <c r="AO15" s="33">
        <f>IF('7_EQUIPO_RRHH'!AO$8=1, '1_PANEL_CONTROL'!$C$91, 0)</f>
        <v>0</v>
      </c>
      <c r="AP15" s="33">
        <f>IF('7_EQUIPO_RRHH'!AP$8=1, '1_PANEL_CONTROL'!$C$91, 0)</f>
        <v>0</v>
      </c>
      <c r="AQ15" s="33">
        <f>IF('7_EQUIPO_RRHH'!AQ$8=1, '1_PANEL_CONTROL'!$C$91, 0)</f>
        <v>0</v>
      </c>
      <c r="AR15" s="33">
        <f>IF('7_EQUIPO_RRHH'!AR$8=1, '1_PANEL_CONTROL'!$C$91, 0)</f>
        <v>0</v>
      </c>
      <c r="AS15" s="33">
        <f>IF('7_EQUIPO_RRHH'!AS$8=1, '1_PANEL_CONTROL'!$C$91, 0)</f>
        <v>0</v>
      </c>
      <c r="AT15" s="33">
        <f>IF('7_EQUIPO_RRHH'!AT$8=1, '1_PANEL_CONTROL'!$C$91, 0)</f>
        <v>0</v>
      </c>
      <c r="AU15" s="33">
        <f>IF('7_EQUIPO_RRHH'!AU$8=1, '1_PANEL_CONTROL'!$C$91, 0)</f>
        <v>0</v>
      </c>
      <c r="AV15" s="33">
        <f>IF('7_EQUIPO_RRHH'!AV$8=1, '1_PANEL_CONTROL'!$C$91, 0)</f>
        <v>0</v>
      </c>
      <c r="AW15" s="33">
        <f>IF('7_EQUIPO_RRHH'!AW$8=1, '1_PANEL_CONTROL'!$C$91, 0)</f>
        <v>0</v>
      </c>
      <c r="AX15" s="33">
        <f>IF('7_EQUIPO_RRHH'!AX$8=1, '1_PANEL_CONTROL'!$C$91, 0)</f>
        <v>0</v>
      </c>
      <c r="AY15" s="33">
        <f>IF('7_EQUIPO_RRHH'!AY$8=1, '1_PANEL_CONTROL'!$C$91, 0)</f>
        <v>0</v>
      </c>
      <c r="AZ15" s="33">
        <f>IF('7_EQUIPO_RRHH'!AZ$8=1, '1_PANEL_CONTROL'!$C$91, 0)</f>
        <v>0</v>
      </c>
      <c r="BA15" s="33">
        <f>IF('7_EQUIPO_RRHH'!BA$8=1, '1_PANEL_CONTROL'!$C$91, 0)</f>
        <v>0</v>
      </c>
      <c r="BB15" s="33">
        <f>IF('7_EQUIPO_RRHH'!BB$8=1, '1_PANEL_CONTROL'!$C$91, 0)</f>
        <v>0</v>
      </c>
      <c r="BC15" s="33">
        <f>IF('7_EQUIPO_RRHH'!BC$8=1, '1_PANEL_CONTROL'!$C$91, 0)</f>
        <v>0</v>
      </c>
      <c r="BD15" s="33">
        <f>IF('7_EQUIPO_RRHH'!BD$8=1, '1_PANEL_CONTROL'!$C$91, 0)</f>
        <v>0</v>
      </c>
      <c r="BE15" s="33">
        <f>IF('7_EQUIPO_RRHH'!BE$8=1, '1_PANEL_CONTROL'!$C$91, 0)</f>
        <v>0</v>
      </c>
      <c r="BF15" s="33">
        <f>IF('7_EQUIPO_RRHH'!BF$8=1, '1_PANEL_CONTROL'!$C$91, 0)</f>
        <v>0</v>
      </c>
      <c r="BG15" s="33">
        <f>IF('7_EQUIPO_RRHH'!BG$8=1, '1_PANEL_CONTROL'!$C$91, 0)</f>
        <v>0</v>
      </c>
      <c r="BH15" s="33">
        <f>IF('7_EQUIPO_RRHH'!BH$8=1, '1_PANEL_CONTROL'!$C$91, 0)</f>
        <v>0</v>
      </c>
      <c r="BI15" s="33">
        <f>IF('7_EQUIPO_RRHH'!BI$8=1, '1_PANEL_CONTROL'!$C$91, 0)</f>
        <v>0</v>
      </c>
      <c r="BJ15" s="33">
        <f>IF('7_EQUIPO_RRHH'!BJ$8=1, '1_PANEL_CONTROL'!$C$91, 0)</f>
        <v>0</v>
      </c>
      <c r="BK15" s="33">
        <f>IF('7_EQUIPO_RRHH'!BK$8=1, '1_PANEL_CONTROL'!$C$91, 0)</f>
        <v>0</v>
      </c>
      <c r="BL15" s="33">
        <f>IF('7_EQUIPO_RRHH'!BL$8=1, '1_PANEL_CONTROL'!$C$91, 0)</f>
        <v>0</v>
      </c>
      <c r="BM15" s="33">
        <f>IF('7_EQUIPO_RRHH'!BM$8=1, '1_PANEL_CONTROL'!$C$91, 0)</f>
        <v>0</v>
      </c>
      <c r="BN15" s="33">
        <f>IF('7_EQUIPO_RRHH'!BN$8=1, '1_PANEL_CONTROL'!$C$91, 0)</f>
        <v>0</v>
      </c>
      <c r="BO15" s="33">
        <f>IF('7_EQUIPO_RRHH'!BO$8=1, '1_PANEL_CONTROL'!$C$91, 0)</f>
        <v>0</v>
      </c>
      <c r="BP15" s="33">
        <f>IF('7_EQUIPO_RRHH'!BP$8=1, '1_PANEL_CONTROL'!$C$91, 0)</f>
        <v>0</v>
      </c>
      <c r="BQ15" s="33">
        <f>IF('7_EQUIPO_RRHH'!BQ$8=1, '1_PANEL_CONTROL'!$C$91, 0)</f>
        <v>0</v>
      </c>
      <c r="BR15" s="33">
        <f>IF('7_EQUIPO_RRHH'!BR$8=1, '1_PANEL_CONTROL'!$C$91, 0)</f>
        <v>0</v>
      </c>
      <c r="BS15" s="33">
        <f>IF('7_EQUIPO_RRHH'!BS$8=1, '1_PANEL_CONTROL'!$C$91, 0)</f>
        <v>0</v>
      </c>
      <c r="BT15" s="33">
        <f>IF('7_EQUIPO_RRHH'!BT$8=1, '1_PANEL_CONTROL'!$C$91, 0)</f>
        <v>0</v>
      </c>
      <c r="BU15" s="33">
        <f>IF('7_EQUIPO_RRHH'!BU$8=1, '1_PANEL_CONTROL'!$C$91, 0)</f>
        <v>0</v>
      </c>
      <c r="BV15" s="33">
        <f>IF('7_EQUIPO_RRHH'!BV$8=1, '1_PANEL_CONTROL'!$C$91, 0)</f>
        <v>0</v>
      </c>
      <c r="BW15" s="33">
        <f>IF('7_EQUIPO_RRHH'!BW$8=1, '1_PANEL_CONTROL'!$C$91, 0)</f>
        <v>0</v>
      </c>
      <c r="BX15" s="33">
        <f>IF('7_EQUIPO_RRHH'!BX$8=1, '1_PANEL_CONTROL'!$C$91, 0)</f>
        <v>0</v>
      </c>
      <c r="BY15" s="33">
        <f>IF('7_EQUIPO_RRHH'!BY$8=1, '1_PANEL_CONTROL'!$C$91, 0)</f>
        <v>0</v>
      </c>
      <c r="BZ15" s="33">
        <f>IF('7_EQUIPO_RRHH'!BZ$8=1, '1_PANEL_CONTROL'!$C$91, 0)</f>
        <v>0</v>
      </c>
      <c r="CA15" s="33">
        <f>IF('7_EQUIPO_RRHH'!CA$8=1, '1_PANEL_CONTROL'!$C$91, 0)</f>
        <v>0</v>
      </c>
      <c r="CB15" s="33">
        <f>IF('7_EQUIPO_RRHH'!CB$8=1, '1_PANEL_CONTROL'!$C$91, 0)</f>
        <v>0</v>
      </c>
      <c r="CC15" s="33">
        <f>IF('7_EQUIPO_RRHH'!CC$8=1, '1_PANEL_CONTROL'!$C$91, 0)</f>
        <v>0</v>
      </c>
      <c r="CD15" s="33">
        <f>IF('7_EQUIPO_RRHH'!CD$8=1, '1_PANEL_CONTROL'!$C$91, 0)</f>
        <v>0</v>
      </c>
      <c r="CE15" s="33">
        <f>IF('7_EQUIPO_RRHH'!CE$8=1, '1_PANEL_CONTROL'!$C$91, 0)</f>
        <v>0</v>
      </c>
      <c r="CF15" s="33">
        <f>IF('7_EQUIPO_RRHH'!CF$8=1, '1_PANEL_CONTROL'!$C$91, 0)</f>
        <v>0</v>
      </c>
      <c r="CG15" s="33">
        <f>IF('7_EQUIPO_RRHH'!CG$8=1, '1_PANEL_CONTROL'!$C$91, 0)</f>
        <v>0</v>
      </c>
      <c r="CH15" s="33">
        <f>IF('7_EQUIPO_RRHH'!CH$8=1, '1_PANEL_CONTROL'!$C$91, 0)</f>
        <v>0</v>
      </c>
      <c r="CI15" s="33">
        <f>IF('7_EQUIPO_RRHH'!CI$8=1, '1_PANEL_CONTROL'!$C$91, 0)</f>
        <v>0</v>
      </c>
    </row>
    <row r="16" spans="1:87" ht="16.5">
      <c r="A16" s="5" t="s">
        <v>693</v>
      </c>
      <c r="B16" s="30" t="s">
        <v>465</v>
      </c>
      <c r="C16" s="17" t="s">
        <v>556</v>
      </c>
      <c r="D16" s="36">
        <f t="shared" ref="D16:AI16" si="0">SUM(D10:D15)</f>
        <v>43846</v>
      </c>
      <c r="E16" s="36">
        <f t="shared" si="0"/>
        <v>0</v>
      </c>
      <c r="F16" s="36">
        <f t="shared" si="0"/>
        <v>0</v>
      </c>
      <c r="G16" s="36">
        <f t="shared" si="0"/>
        <v>0</v>
      </c>
      <c r="H16" s="36">
        <f t="shared" si="0"/>
        <v>0</v>
      </c>
      <c r="I16" s="36">
        <f t="shared" si="0"/>
        <v>0</v>
      </c>
      <c r="J16" s="36">
        <f t="shared" si="0"/>
        <v>0</v>
      </c>
      <c r="K16" s="36">
        <f t="shared" si="0"/>
        <v>0</v>
      </c>
      <c r="L16" s="36">
        <f t="shared" si="0"/>
        <v>0</v>
      </c>
      <c r="M16" s="36">
        <f t="shared" si="0"/>
        <v>0</v>
      </c>
      <c r="N16" s="36">
        <f t="shared" si="0"/>
        <v>0</v>
      </c>
      <c r="O16" s="36">
        <f t="shared" si="0"/>
        <v>0</v>
      </c>
      <c r="P16" s="36">
        <f t="shared" si="0"/>
        <v>0</v>
      </c>
      <c r="Q16" s="36">
        <f t="shared" si="0"/>
        <v>0</v>
      </c>
      <c r="R16" s="36">
        <f t="shared" si="0"/>
        <v>0</v>
      </c>
      <c r="S16" s="36">
        <f t="shared" si="0"/>
        <v>0</v>
      </c>
      <c r="T16" s="36">
        <f t="shared" si="0"/>
        <v>0</v>
      </c>
      <c r="U16" s="36">
        <f t="shared" si="0"/>
        <v>0</v>
      </c>
      <c r="V16" s="36">
        <f t="shared" si="0"/>
        <v>0</v>
      </c>
      <c r="W16" s="36">
        <f t="shared" si="0"/>
        <v>0</v>
      </c>
      <c r="X16" s="36">
        <f t="shared" si="0"/>
        <v>0</v>
      </c>
      <c r="Y16" s="36">
        <f t="shared" si="0"/>
        <v>0</v>
      </c>
      <c r="Z16" s="36">
        <f t="shared" si="0"/>
        <v>0</v>
      </c>
      <c r="AA16" s="36">
        <f t="shared" si="0"/>
        <v>0</v>
      </c>
      <c r="AB16" s="36">
        <f t="shared" si="0"/>
        <v>0</v>
      </c>
      <c r="AC16" s="36">
        <f t="shared" si="0"/>
        <v>0</v>
      </c>
      <c r="AD16" s="36">
        <f t="shared" si="0"/>
        <v>0</v>
      </c>
      <c r="AE16" s="36">
        <f t="shared" si="0"/>
        <v>0</v>
      </c>
      <c r="AF16" s="36">
        <f t="shared" si="0"/>
        <v>0</v>
      </c>
      <c r="AG16" s="36">
        <f t="shared" si="0"/>
        <v>0</v>
      </c>
      <c r="AH16" s="36">
        <f t="shared" si="0"/>
        <v>0</v>
      </c>
      <c r="AI16" s="36">
        <f t="shared" si="0"/>
        <v>0</v>
      </c>
      <c r="AJ16" s="36">
        <f t="shared" ref="AJ16:BO16" si="1">SUM(AJ10:AJ15)</f>
        <v>0</v>
      </c>
      <c r="AK16" s="36">
        <f t="shared" si="1"/>
        <v>0</v>
      </c>
      <c r="AL16" s="36">
        <f t="shared" si="1"/>
        <v>0</v>
      </c>
      <c r="AM16" s="36">
        <f t="shared" si="1"/>
        <v>0</v>
      </c>
      <c r="AN16" s="36">
        <f t="shared" si="1"/>
        <v>0</v>
      </c>
      <c r="AO16" s="36">
        <f t="shared" si="1"/>
        <v>0</v>
      </c>
      <c r="AP16" s="36">
        <f t="shared" si="1"/>
        <v>0</v>
      </c>
      <c r="AQ16" s="36">
        <f t="shared" si="1"/>
        <v>0</v>
      </c>
      <c r="AR16" s="36">
        <f t="shared" si="1"/>
        <v>0</v>
      </c>
      <c r="AS16" s="36">
        <f t="shared" si="1"/>
        <v>0</v>
      </c>
      <c r="AT16" s="36">
        <f t="shared" si="1"/>
        <v>0</v>
      </c>
      <c r="AU16" s="36">
        <f t="shared" si="1"/>
        <v>0</v>
      </c>
      <c r="AV16" s="36">
        <f t="shared" si="1"/>
        <v>0</v>
      </c>
      <c r="AW16" s="36">
        <f t="shared" si="1"/>
        <v>0</v>
      </c>
      <c r="AX16" s="36">
        <f t="shared" si="1"/>
        <v>0</v>
      </c>
      <c r="AY16" s="36">
        <f t="shared" si="1"/>
        <v>0</v>
      </c>
      <c r="AZ16" s="36">
        <f t="shared" si="1"/>
        <v>0</v>
      </c>
      <c r="BA16" s="36">
        <f t="shared" si="1"/>
        <v>0</v>
      </c>
      <c r="BB16" s="36">
        <f t="shared" si="1"/>
        <v>0</v>
      </c>
      <c r="BC16" s="36">
        <f t="shared" si="1"/>
        <v>0</v>
      </c>
      <c r="BD16" s="36">
        <f t="shared" si="1"/>
        <v>0</v>
      </c>
      <c r="BE16" s="36">
        <f t="shared" si="1"/>
        <v>0</v>
      </c>
      <c r="BF16" s="36">
        <f t="shared" si="1"/>
        <v>0</v>
      </c>
      <c r="BG16" s="36">
        <f t="shared" si="1"/>
        <v>0</v>
      </c>
      <c r="BH16" s="36">
        <f t="shared" si="1"/>
        <v>0</v>
      </c>
      <c r="BI16" s="36">
        <f t="shared" si="1"/>
        <v>0</v>
      </c>
      <c r="BJ16" s="36">
        <f t="shared" si="1"/>
        <v>0</v>
      </c>
      <c r="BK16" s="36">
        <f t="shared" si="1"/>
        <v>0</v>
      </c>
      <c r="BL16" s="36">
        <f t="shared" si="1"/>
        <v>0</v>
      </c>
      <c r="BM16" s="36">
        <f t="shared" si="1"/>
        <v>0</v>
      </c>
      <c r="BN16" s="36">
        <f t="shared" si="1"/>
        <v>0</v>
      </c>
      <c r="BO16" s="36">
        <f t="shared" si="1"/>
        <v>0</v>
      </c>
      <c r="BP16" s="36">
        <f t="shared" ref="BP16:CU16" si="2">SUM(BP10:BP15)</f>
        <v>0</v>
      </c>
      <c r="BQ16" s="36">
        <f t="shared" si="2"/>
        <v>0</v>
      </c>
      <c r="BR16" s="36">
        <f t="shared" si="2"/>
        <v>0</v>
      </c>
      <c r="BS16" s="36">
        <f t="shared" si="2"/>
        <v>0</v>
      </c>
      <c r="BT16" s="36">
        <f t="shared" si="2"/>
        <v>0</v>
      </c>
      <c r="BU16" s="36">
        <f t="shared" si="2"/>
        <v>0</v>
      </c>
      <c r="BV16" s="36">
        <f t="shared" si="2"/>
        <v>0</v>
      </c>
      <c r="BW16" s="36">
        <f t="shared" si="2"/>
        <v>0</v>
      </c>
      <c r="BX16" s="36">
        <f t="shared" si="2"/>
        <v>0</v>
      </c>
      <c r="BY16" s="36">
        <f t="shared" si="2"/>
        <v>0</v>
      </c>
      <c r="BZ16" s="36">
        <f t="shared" si="2"/>
        <v>0</v>
      </c>
      <c r="CA16" s="36">
        <f t="shared" si="2"/>
        <v>0</v>
      </c>
      <c r="CB16" s="36">
        <f t="shared" si="2"/>
        <v>0</v>
      </c>
      <c r="CC16" s="36">
        <f t="shared" si="2"/>
        <v>0</v>
      </c>
      <c r="CD16" s="36">
        <f t="shared" si="2"/>
        <v>0</v>
      </c>
      <c r="CE16" s="36">
        <f t="shared" si="2"/>
        <v>0</v>
      </c>
      <c r="CF16" s="36">
        <f t="shared" si="2"/>
        <v>0</v>
      </c>
      <c r="CG16" s="36">
        <f t="shared" si="2"/>
        <v>0</v>
      </c>
      <c r="CH16" s="36">
        <f t="shared" si="2"/>
        <v>0</v>
      </c>
      <c r="CI16" s="36">
        <f t="shared" si="2"/>
        <v>0</v>
      </c>
    </row>
    <row r="17" spans="1:87" ht="16.5">
      <c r="A17" s="6" t="s">
        <v>694</v>
      </c>
      <c r="B17" s="30" t="s">
        <v>465</v>
      </c>
      <c r="C17" s="17" t="s">
        <v>695</v>
      </c>
      <c r="D17" s="33">
        <f>IF(SUM($D$10:$CI$10)&gt;0, SUM($D$10:$CI$10)/('1_PANEL_CONTROL'!$C$10), 0)</f>
        <v>169.93333333333334</v>
      </c>
      <c r="E17" s="33">
        <f>IF(SUM($D$10:$CI$10)&gt;0, SUM($D$10:$CI$10)/('1_PANEL_CONTROL'!$C$10), 0)</f>
        <v>169.93333333333334</v>
      </c>
      <c r="F17" s="33">
        <f>IF(SUM($D$10:$CI$10)&gt;0, SUM($D$10:$CI$10)/('1_PANEL_CONTROL'!$C$10), 0)</f>
        <v>169.93333333333334</v>
      </c>
      <c r="G17" s="33">
        <f>IF(SUM($D$10:$CI$10)&gt;0, SUM($D$10:$CI$10)/('1_PANEL_CONTROL'!$C$10), 0)</f>
        <v>169.93333333333334</v>
      </c>
      <c r="H17" s="33">
        <f>IF(SUM($D$10:$CI$10)&gt;0, SUM($D$10:$CI$10)/('1_PANEL_CONTROL'!$C$10), 0)</f>
        <v>169.93333333333334</v>
      </c>
      <c r="I17" s="33">
        <f>IF(SUM($D$10:$CI$10)&gt;0, SUM($D$10:$CI$10)/('1_PANEL_CONTROL'!$C$10), 0)</f>
        <v>169.93333333333334</v>
      </c>
      <c r="J17" s="33">
        <f>IF(SUM($D$10:$CI$10)&gt;0, SUM($D$10:$CI$10)/('1_PANEL_CONTROL'!$C$10), 0)</f>
        <v>169.93333333333334</v>
      </c>
      <c r="K17" s="33">
        <f>IF(SUM($D$10:$CI$10)&gt;0, SUM($D$10:$CI$10)/('1_PANEL_CONTROL'!$C$10), 0)</f>
        <v>169.93333333333334</v>
      </c>
      <c r="L17" s="33">
        <f>IF(SUM($D$10:$CI$10)&gt;0, SUM($D$10:$CI$10)/('1_PANEL_CONTROL'!$C$10), 0)</f>
        <v>169.93333333333334</v>
      </c>
      <c r="M17" s="33">
        <f>IF(SUM($D$10:$CI$10)&gt;0, SUM($D$10:$CI$10)/('1_PANEL_CONTROL'!$C$10), 0)</f>
        <v>169.93333333333334</v>
      </c>
      <c r="N17" s="33">
        <f>IF(SUM($D$10:$CI$10)&gt;0, SUM($D$10:$CI$10)/('1_PANEL_CONTROL'!$C$10), 0)</f>
        <v>169.93333333333334</v>
      </c>
      <c r="O17" s="33">
        <f>IF(SUM($D$10:$CI$10)&gt;0, SUM($D$10:$CI$10)/('1_PANEL_CONTROL'!$C$10), 0)</f>
        <v>169.93333333333334</v>
      </c>
      <c r="P17" s="33">
        <f>IF(SUM($D$10:$CI$10)&gt;0, SUM($D$10:$CI$10)/('1_PANEL_CONTROL'!$C$10), 0)</f>
        <v>169.93333333333334</v>
      </c>
      <c r="Q17" s="33">
        <f>IF(SUM($D$10:$CI$10)&gt;0, SUM($D$10:$CI$10)/('1_PANEL_CONTROL'!$C$10), 0)</f>
        <v>169.93333333333334</v>
      </c>
      <c r="R17" s="33">
        <f>IF(SUM($D$10:$CI$10)&gt;0, SUM($D$10:$CI$10)/('1_PANEL_CONTROL'!$C$10), 0)</f>
        <v>169.93333333333334</v>
      </c>
      <c r="S17" s="33">
        <f>IF(SUM($D$10:$CI$10)&gt;0, SUM($D$10:$CI$10)/('1_PANEL_CONTROL'!$C$10), 0)</f>
        <v>169.93333333333334</v>
      </c>
      <c r="T17" s="33">
        <f>IF(SUM($D$10:$CI$10)&gt;0, SUM($D$10:$CI$10)/('1_PANEL_CONTROL'!$C$10), 0)</f>
        <v>169.93333333333334</v>
      </c>
      <c r="U17" s="33">
        <f>IF(SUM($D$10:$CI$10)&gt;0, SUM($D$10:$CI$10)/('1_PANEL_CONTROL'!$C$10), 0)</f>
        <v>169.93333333333334</v>
      </c>
      <c r="V17" s="33">
        <f>IF(SUM($D$10:$CI$10)&gt;0, SUM($D$10:$CI$10)/('1_PANEL_CONTROL'!$C$10), 0)</f>
        <v>169.93333333333334</v>
      </c>
      <c r="W17" s="33">
        <f>IF(SUM($D$10:$CI$10)&gt;0, SUM($D$10:$CI$10)/('1_PANEL_CONTROL'!$C$10), 0)</f>
        <v>169.93333333333334</v>
      </c>
      <c r="X17" s="33">
        <f>IF(SUM($D$10:$CI$10)&gt;0, SUM($D$10:$CI$10)/('1_PANEL_CONTROL'!$C$10), 0)</f>
        <v>169.93333333333334</v>
      </c>
      <c r="Y17" s="33">
        <f>IF(SUM($D$10:$CI$10)&gt;0, SUM($D$10:$CI$10)/('1_PANEL_CONTROL'!$C$10), 0)</f>
        <v>169.93333333333334</v>
      </c>
      <c r="Z17" s="33">
        <f>IF(SUM($D$10:$CI$10)&gt;0, SUM($D$10:$CI$10)/('1_PANEL_CONTROL'!$C$10), 0)</f>
        <v>169.93333333333334</v>
      </c>
      <c r="AA17" s="33">
        <f>IF(SUM($D$10:$CI$10)&gt;0, SUM($D$10:$CI$10)/('1_PANEL_CONTROL'!$C$10), 0)</f>
        <v>169.93333333333334</v>
      </c>
      <c r="AB17" s="33">
        <f>IF(SUM($D$10:$CI$10)&gt;0, SUM($D$10:$CI$10)/('1_PANEL_CONTROL'!$C$10), 0)</f>
        <v>169.93333333333334</v>
      </c>
      <c r="AC17" s="33">
        <f>IF(SUM($D$10:$CI$10)&gt;0, SUM($D$10:$CI$10)/('1_PANEL_CONTROL'!$C$10), 0)</f>
        <v>169.93333333333334</v>
      </c>
      <c r="AD17" s="33">
        <f>IF(SUM($D$10:$CI$10)&gt;0, SUM($D$10:$CI$10)/('1_PANEL_CONTROL'!$C$10), 0)</f>
        <v>169.93333333333334</v>
      </c>
      <c r="AE17" s="33">
        <f>IF(SUM($D$10:$CI$10)&gt;0, SUM($D$10:$CI$10)/('1_PANEL_CONTROL'!$C$10), 0)</f>
        <v>169.93333333333334</v>
      </c>
      <c r="AF17" s="33">
        <f>IF(SUM($D$10:$CI$10)&gt;0, SUM($D$10:$CI$10)/('1_PANEL_CONTROL'!$C$10), 0)</f>
        <v>169.93333333333334</v>
      </c>
      <c r="AG17" s="33">
        <f>IF(SUM($D$10:$CI$10)&gt;0, SUM($D$10:$CI$10)/('1_PANEL_CONTROL'!$C$10), 0)</f>
        <v>169.93333333333334</v>
      </c>
      <c r="AH17" s="33">
        <f>IF(SUM($D$10:$CI$10)&gt;0, SUM($D$10:$CI$10)/('1_PANEL_CONTROL'!$C$10), 0)</f>
        <v>169.93333333333334</v>
      </c>
      <c r="AI17" s="33">
        <f>IF(SUM($D$10:$CI$10)&gt;0, SUM($D$10:$CI$10)/('1_PANEL_CONTROL'!$C$10), 0)</f>
        <v>169.93333333333334</v>
      </c>
      <c r="AJ17" s="33">
        <f>IF(SUM($D$10:$CI$10)&gt;0, SUM($D$10:$CI$10)/('1_PANEL_CONTROL'!$C$10), 0)</f>
        <v>169.93333333333334</v>
      </c>
      <c r="AK17" s="33">
        <f>IF(SUM($D$10:$CI$10)&gt;0, SUM($D$10:$CI$10)/('1_PANEL_CONTROL'!$C$10), 0)</f>
        <v>169.93333333333334</v>
      </c>
      <c r="AL17" s="33">
        <f>IF(SUM($D$10:$CI$10)&gt;0, SUM($D$10:$CI$10)/('1_PANEL_CONTROL'!$C$10), 0)</f>
        <v>169.93333333333334</v>
      </c>
      <c r="AM17" s="33">
        <f>IF(SUM($D$10:$CI$10)&gt;0, SUM($D$10:$CI$10)/('1_PANEL_CONTROL'!$C$10), 0)</f>
        <v>169.93333333333334</v>
      </c>
      <c r="AN17" s="33">
        <f>IF(SUM($D$10:$CI$10)&gt;0, SUM($D$10:$CI$10)/('1_PANEL_CONTROL'!$C$10), 0)</f>
        <v>169.93333333333334</v>
      </c>
      <c r="AO17" s="33">
        <f>IF(SUM($D$10:$CI$10)&gt;0, SUM($D$10:$CI$10)/('1_PANEL_CONTROL'!$C$10), 0)</f>
        <v>169.93333333333334</v>
      </c>
      <c r="AP17" s="33">
        <f>IF(SUM($D$10:$CI$10)&gt;0, SUM($D$10:$CI$10)/('1_PANEL_CONTROL'!$C$10), 0)</f>
        <v>169.93333333333334</v>
      </c>
      <c r="AQ17" s="33">
        <f>IF(SUM($D$10:$CI$10)&gt;0, SUM($D$10:$CI$10)/('1_PANEL_CONTROL'!$C$10), 0)</f>
        <v>169.93333333333334</v>
      </c>
      <c r="AR17" s="33">
        <f>IF(SUM($D$10:$CI$10)&gt;0, SUM($D$10:$CI$10)/('1_PANEL_CONTROL'!$C$10), 0)</f>
        <v>169.93333333333334</v>
      </c>
      <c r="AS17" s="33">
        <f>IF(SUM($D$10:$CI$10)&gt;0, SUM($D$10:$CI$10)/('1_PANEL_CONTROL'!$C$10), 0)</f>
        <v>169.93333333333334</v>
      </c>
      <c r="AT17" s="33">
        <f>IF(SUM($D$10:$CI$10)&gt;0, SUM($D$10:$CI$10)/('1_PANEL_CONTROL'!$C$10), 0)</f>
        <v>169.93333333333334</v>
      </c>
      <c r="AU17" s="33">
        <f>IF(SUM($D$10:$CI$10)&gt;0, SUM($D$10:$CI$10)/('1_PANEL_CONTROL'!$C$10), 0)</f>
        <v>169.93333333333334</v>
      </c>
      <c r="AV17" s="33">
        <f>IF(SUM($D$10:$CI$10)&gt;0, SUM($D$10:$CI$10)/('1_PANEL_CONTROL'!$C$10), 0)</f>
        <v>169.93333333333334</v>
      </c>
      <c r="AW17" s="33">
        <f>IF(SUM($D$10:$CI$10)&gt;0, SUM($D$10:$CI$10)/('1_PANEL_CONTROL'!$C$10), 0)</f>
        <v>169.93333333333334</v>
      </c>
      <c r="AX17" s="33">
        <f>IF(SUM($D$10:$CI$10)&gt;0, SUM($D$10:$CI$10)/('1_PANEL_CONTROL'!$C$10), 0)</f>
        <v>169.93333333333334</v>
      </c>
      <c r="AY17" s="33">
        <f>IF(SUM($D$10:$CI$10)&gt;0, SUM($D$10:$CI$10)/('1_PANEL_CONTROL'!$C$10), 0)</f>
        <v>169.93333333333334</v>
      </c>
      <c r="AZ17" s="33">
        <f>IF(SUM($D$10:$CI$10)&gt;0, SUM($D$10:$CI$10)/('1_PANEL_CONTROL'!$C$10), 0)</f>
        <v>169.93333333333334</v>
      </c>
      <c r="BA17" s="33">
        <f>IF(SUM($D$10:$CI$10)&gt;0, SUM($D$10:$CI$10)/('1_PANEL_CONTROL'!$C$10), 0)</f>
        <v>169.93333333333334</v>
      </c>
      <c r="BB17" s="33">
        <f>IF(SUM($D$10:$CI$10)&gt;0, SUM($D$10:$CI$10)/('1_PANEL_CONTROL'!$C$10), 0)</f>
        <v>169.93333333333334</v>
      </c>
      <c r="BC17" s="33">
        <f>IF(SUM($D$10:$CI$10)&gt;0, SUM($D$10:$CI$10)/('1_PANEL_CONTROL'!$C$10), 0)</f>
        <v>169.93333333333334</v>
      </c>
      <c r="BD17" s="33">
        <f>IF(SUM($D$10:$CI$10)&gt;0, SUM($D$10:$CI$10)/('1_PANEL_CONTROL'!$C$10), 0)</f>
        <v>169.93333333333334</v>
      </c>
      <c r="BE17" s="33">
        <f>IF(SUM($D$10:$CI$10)&gt;0, SUM($D$10:$CI$10)/('1_PANEL_CONTROL'!$C$10), 0)</f>
        <v>169.93333333333334</v>
      </c>
      <c r="BF17" s="33">
        <f>IF(SUM($D$10:$CI$10)&gt;0, SUM($D$10:$CI$10)/('1_PANEL_CONTROL'!$C$10), 0)</f>
        <v>169.93333333333334</v>
      </c>
      <c r="BG17" s="33">
        <f>IF(SUM($D$10:$CI$10)&gt;0, SUM($D$10:$CI$10)/('1_PANEL_CONTROL'!$C$10), 0)</f>
        <v>169.93333333333334</v>
      </c>
      <c r="BH17" s="33">
        <f>IF(SUM($D$10:$CI$10)&gt;0, SUM($D$10:$CI$10)/('1_PANEL_CONTROL'!$C$10), 0)</f>
        <v>169.93333333333334</v>
      </c>
      <c r="BI17" s="33">
        <f>IF(SUM($D$10:$CI$10)&gt;0, SUM($D$10:$CI$10)/('1_PANEL_CONTROL'!$C$10), 0)</f>
        <v>169.93333333333334</v>
      </c>
      <c r="BJ17" s="33">
        <f>IF(SUM($D$10:$CI$10)&gt;0, SUM($D$10:$CI$10)/('1_PANEL_CONTROL'!$C$10), 0)</f>
        <v>169.93333333333334</v>
      </c>
      <c r="BK17" s="33">
        <f>IF(SUM($D$10:$CI$10)&gt;0, SUM($D$10:$CI$10)/('1_PANEL_CONTROL'!$C$10), 0)</f>
        <v>169.93333333333334</v>
      </c>
      <c r="BL17" s="33">
        <f>IF(SUM($D$10:$CI$10)&gt;0, SUM($D$10:$CI$10)/('1_PANEL_CONTROL'!$C$10), 0)</f>
        <v>169.93333333333334</v>
      </c>
      <c r="BM17" s="33">
        <f>IF(SUM($D$10:$CI$10)&gt;0, SUM($D$10:$CI$10)/('1_PANEL_CONTROL'!$C$10), 0)</f>
        <v>169.93333333333334</v>
      </c>
      <c r="BN17" s="33">
        <f>IF(SUM($D$10:$CI$10)&gt;0, SUM($D$10:$CI$10)/('1_PANEL_CONTROL'!$C$10), 0)</f>
        <v>169.93333333333334</v>
      </c>
      <c r="BO17" s="33">
        <f>IF(SUM($D$10:$CI$10)&gt;0, SUM($D$10:$CI$10)/('1_PANEL_CONTROL'!$C$10), 0)</f>
        <v>169.93333333333334</v>
      </c>
      <c r="BP17" s="33">
        <f>IF(SUM($D$10:$CI$10)&gt;0, SUM($D$10:$CI$10)/('1_PANEL_CONTROL'!$C$10), 0)</f>
        <v>169.93333333333334</v>
      </c>
      <c r="BQ17" s="33">
        <f>IF(SUM($D$10:$CI$10)&gt;0, SUM($D$10:$CI$10)/('1_PANEL_CONTROL'!$C$10), 0)</f>
        <v>169.93333333333334</v>
      </c>
      <c r="BR17" s="33">
        <f>IF(SUM($D$10:$CI$10)&gt;0, SUM($D$10:$CI$10)/('1_PANEL_CONTROL'!$C$10), 0)</f>
        <v>169.93333333333334</v>
      </c>
      <c r="BS17" s="33">
        <f>IF(SUM($D$10:$CI$10)&gt;0, SUM($D$10:$CI$10)/('1_PANEL_CONTROL'!$C$10), 0)</f>
        <v>169.93333333333334</v>
      </c>
      <c r="BT17" s="33">
        <f>IF(SUM($D$10:$CI$10)&gt;0, SUM($D$10:$CI$10)/('1_PANEL_CONTROL'!$C$10), 0)</f>
        <v>169.93333333333334</v>
      </c>
      <c r="BU17" s="33">
        <f>IF(SUM($D$10:$CI$10)&gt;0, SUM($D$10:$CI$10)/('1_PANEL_CONTROL'!$C$10), 0)</f>
        <v>169.93333333333334</v>
      </c>
      <c r="BV17" s="33">
        <f>IF(SUM($D$10:$CI$10)&gt;0, SUM($D$10:$CI$10)/('1_PANEL_CONTROL'!$C$10), 0)</f>
        <v>169.93333333333334</v>
      </c>
      <c r="BW17" s="33">
        <f>IF(SUM($D$10:$CI$10)&gt;0, SUM($D$10:$CI$10)/('1_PANEL_CONTROL'!$C$10), 0)</f>
        <v>169.93333333333334</v>
      </c>
      <c r="BX17" s="33">
        <f>IF(SUM($D$10:$CI$10)&gt;0, SUM($D$10:$CI$10)/('1_PANEL_CONTROL'!$C$10), 0)</f>
        <v>169.93333333333334</v>
      </c>
      <c r="BY17" s="33">
        <f>IF(SUM($D$10:$CI$10)&gt;0, SUM($D$10:$CI$10)/('1_PANEL_CONTROL'!$C$10), 0)</f>
        <v>169.93333333333334</v>
      </c>
      <c r="BZ17" s="33">
        <f>IF(SUM($D$10:$CI$10)&gt;0, SUM($D$10:$CI$10)/('1_PANEL_CONTROL'!$C$10), 0)</f>
        <v>169.93333333333334</v>
      </c>
      <c r="CA17" s="33">
        <f>IF(SUM($D$10:$CI$10)&gt;0, SUM($D$10:$CI$10)/('1_PANEL_CONTROL'!$C$10), 0)</f>
        <v>169.93333333333334</v>
      </c>
      <c r="CB17" s="33">
        <f>IF(SUM($D$10:$CI$10)&gt;0, SUM($D$10:$CI$10)/('1_PANEL_CONTROL'!$C$10), 0)</f>
        <v>169.93333333333334</v>
      </c>
      <c r="CC17" s="33">
        <f>IF(SUM($D$10:$CI$10)&gt;0, SUM($D$10:$CI$10)/('1_PANEL_CONTROL'!$C$10), 0)</f>
        <v>169.93333333333334</v>
      </c>
      <c r="CD17" s="33">
        <f>IF(SUM($D$10:$CI$10)&gt;0, SUM($D$10:$CI$10)/('1_PANEL_CONTROL'!$C$10), 0)</f>
        <v>169.93333333333334</v>
      </c>
      <c r="CE17" s="33">
        <f>IF(SUM($D$10:$CI$10)&gt;0, SUM($D$10:$CI$10)/('1_PANEL_CONTROL'!$C$10), 0)</f>
        <v>169.93333333333334</v>
      </c>
      <c r="CF17" s="33">
        <f>IF(SUM($D$10:$CI$10)&gt;0, SUM($D$10:$CI$10)/('1_PANEL_CONTROL'!$C$10), 0)</f>
        <v>169.93333333333334</v>
      </c>
      <c r="CG17" s="33">
        <f>IF(SUM($D$10:$CI$10)&gt;0, SUM($D$10:$CI$10)/('1_PANEL_CONTROL'!$C$10), 0)</f>
        <v>169.93333333333334</v>
      </c>
      <c r="CH17" s="33">
        <f>IF(SUM($D$10:$CI$10)&gt;0, SUM($D$10:$CI$10)/('1_PANEL_CONTROL'!$C$10), 0)</f>
        <v>169.93333333333334</v>
      </c>
      <c r="CI17" s="33">
        <f>IF(SUM($D$10:$CI$10)&gt;0, SUM($D$10:$CI$10)/('1_PANEL_CONTROL'!$C$10), 0)</f>
        <v>169.93333333333334</v>
      </c>
    </row>
    <row r="18" spans="1:87" ht="16.5">
      <c r="A18" s="6" t="s">
        <v>696</v>
      </c>
      <c r="B18" s="30" t="s">
        <v>465</v>
      </c>
      <c r="C18" s="17" t="s">
        <v>695</v>
      </c>
      <c r="D18" s="33">
        <f>IF(SUM($D$11:$CI$11)&gt;0, SUM($D$11:$CI$11)/('1_PANEL_CONTROL'!$C$10), 0)</f>
        <v>285.83333333333331</v>
      </c>
      <c r="E18" s="33">
        <f>IF(SUM($D$11:$CI$11)&gt;0, SUM($D$11:$CI$11)/('1_PANEL_CONTROL'!$C$10), 0)</f>
        <v>285.83333333333331</v>
      </c>
      <c r="F18" s="33">
        <f>IF(SUM($D$11:$CI$11)&gt;0, SUM($D$11:$CI$11)/('1_PANEL_CONTROL'!$C$10), 0)</f>
        <v>285.83333333333331</v>
      </c>
      <c r="G18" s="33">
        <f>IF(SUM($D$11:$CI$11)&gt;0, SUM($D$11:$CI$11)/('1_PANEL_CONTROL'!$C$10), 0)</f>
        <v>285.83333333333331</v>
      </c>
      <c r="H18" s="33">
        <f>IF(SUM($D$11:$CI$11)&gt;0, SUM($D$11:$CI$11)/('1_PANEL_CONTROL'!$C$10), 0)</f>
        <v>285.83333333333331</v>
      </c>
      <c r="I18" s="33">
        <f>IF(SUM($D$11:$CI$11)&gt;0, SUM($D$11:$CI$11)/('1_PANEL_CONTROL'!$C$10), 0)</f>
        <v>285.83333333333331</v>
      </c>
      <c r="J18" s="33">
        <f>IF(SUM($D$11:$CI$11)&gt;0, SUM($D$11:$CI$11)/('1_PANEL_CONTROL'!$C$10), 0)</f>
        <v>285.83333333333331</v>
      </c>
      <c r="K18" s="33">
        <f>IF(SUM($D$11:$CI$11)&gt;0, SUM($D$11:$CI$11)/('1_PANEL_CONTROL'!$C$10), 0)</f>
        <v>285.83333333333331</v>
      </c>
      <c r="L18" s="33">
        <f>IF(SUM($D$11:$CI$11)&gt;0, SUM($D$11:$CI$11)/('1_PANEL_CONTROL'!$C$10), 0)</f>
        <v>285.83333333333331</v>
      </c>
      <c r="M18" s="33">
        <f>IF(SUM($D$11:$CI$11)&gt;0, SUM($D$11:$CI$11)/('1_PANEL_CONTROL'!$C$10), 0)</f>
        <v>285.83333333333331</v>
      </c>
      <c r="N18" s="33">
        <f>IF(SUM($D$11:$CI$11)&gt;0, SUM($D$11:$CI$11)/('1_PANEL_CONTROL'!$C$10), 0)</f>
        <v>285.83333333333331</v>
      </c>
      <c r="O18" s="33">
        <f>IF(SUM($D$11:$CI$11)&gt;0, SUM($D$11:$CI$11)/('1_PANEL_CONTROL'!$C$10), 0)</f>
        <v>285.83333333333331</v>
      </c>
      <c r="P18" s="33">
        <f>IF(SUM($D$11:$CI$11)&gt;0, SUM($D$11:$CI$11)/('1_PANEL_CONTROL'!$C$10), 0)</f>
        <v>285.83333333333331</v>
      </c>
      <c r="Q18" s="33">
        <f>IF(SUM($D$11:$CI$11)&gt;0, SUM($D$11:$CI$11)/('1_PANEL_CONTROL'!$C$10), 0)</f>
        <v>285.83333333333331</v>
      </c>
      <c r="R18" s="33">
        <f>IF(SUM($D$11:$CI$11)&gt;0, SUM($D$11:$CI$11)/('1_PANEL_CONTROL'!$C$10), 0)</f>
        <v>285.83333333333331</v>
      </c>
      <c r="S18" s="33">
        <f>IF(SUM($D$11:$CI$11)&gt;0, SUM($D$11:$CI$11)/('1_PANEL_CONTROL'!$C$10), 0)</f>
        <v>285.83333333333331</v>
      </c>
      <c r="T18" s="33">
        <f>IF(SUM($D$11:$CI$11)&gt;0, SUM($D$11:$CI$11)/('1_PANEL_CONTROL'!$C$10), 0)</f>
        <v>285.83333333333331</v>
      </c>
      <c r="U18" s="33">
        <f>IF(SUM($D$11:$CI$11)&gt;0, SUM($D$11:$CI$11)/('1_PANEL_CONTROL'!$C$10), 0)</f>
        <v>285.83333333333331</v>
      </c>
      <c r="V18" s="33">
        <f>IF(SUM($D$11:$CI$11)&gt;0, SUM($D$11:$CI$11)/('1_PANEL_CONTROL'!$C$10), 0)</f>
        <v>285.83333333333331</v>
      </c>
      <c r="W18" s="33">
        <f>IF(SUM($D$11:$CI$11)&gt;0, SUM($D$11:$CI$11)/('1_PANEL_CONTROL'!$C$10), 0)</f>
        <v>285.83333333333331</v>
      </c>
      <c r="X18" s="33">
        <f>IF(SUM($D$11:$CI$11)&gt;0, SUM($D$11:$CI$11)/('1_PANEL_CONTROL'!$C$10), 0)</f>
        <v>285.83333333333331</v>
      </c>
      <c r="Y18" s="33">
        <f>IF(SUM($D$11:$CI$11)&gt;0, SUM($D$11:$CI$11)/('1_PANEL_CONTROL'!$C$10), 0)</f>
        <v>285.83333333333331</v>
      </c>
      <c r="Z18" s="33">
        <f>IF(SUM($D$11:$CI$11)&gt;0, SUM($D$11:$CI$11)/('1_PANEL_CONTROL'!$C$10), 0)</f>
        <v>285.83333333333331</v>
      </c>
      <c r="AA18" s="33">
        <f>IF(SUM($D$11:$CI$11)&gt;0, SUM($D$11:$CI$11)/('1_PANEL_CONTROL'!$C$10), 0)</f>
        <v>285.83333333333331</v>
      </c>
      <c r="AB18" s="33">
        <f>IF(SUM($D$11:$CI$11)&gt;0, SUM($D$11:$CI$11)/('1_PANEL_CONTROL'!$C$10), 0)</f>
        <v>285.83333333333331</v>
      </c>
      <c r="AC18" s="33">
        <f>IF(SUM($D$11:$CI$11)&gt;0, SUM($D$11:$CI$11)/('1_PANEL_CONTROL'!$C$10), 0)</f>
        <v>285.83333333333331</v>
      </c>
      <c r="AD18" s="33">
        <f>IF(SUM($D$11:$CI$11)&gt;0, SUM($D$11:$CI$11)/('1_PANEL_CONTROL'!$C$10), 0)</f>
        <v>285.83333333333331</v>
      </c>
      <c r="AE18" s="33">
        <f>IF(SUM($D$11:$CI$11)&gt;0, SUM($D$11:$CI$11)/('1_PANEL_CONTROL'!$C$10), 0)</f>
        <v>285.83333333333331</v>
      </c>
      <c r="AF18" s="33">
        <f>IF(SUM($D$11:$CI$11)&gt;0, SUM($D$11:$CI$11)/('1_PANEL_CONTROL'!$C$10), 0)</f>
        <v>285.83333333333331</v>
      </c>
      <c r="AG18" s="33">
        <f>IF(SUM($D$11:$CI$11)&gt;0, SUM($D$11:$CI$11)/('1_PANEL_CONTROL'!$C$10), 0)</f>
        <v>285.83333333333331</v>
      </c>
      <c r="AH18" s="33">
        <f>IF(SUM($D$11:$CI$11)&gt;0, SUM($D$11:$CI$11)/('1_PANEL_CONTROL'!$C$10), 0)</f>
        <v>285.83333333333331</v>
      </c>
      <c r="AI18" s="33">
        <f>IF(SUM($D$11:$CI$11)&gt;0, SUM($D$11:$CI$11)/('1_PANEL_CONTROL'!$C$10), 0)</f>
        <v>285.83333333333331</v>
      </c>
      <c r="AJ18" s="33">
        <f>IF(SUM($D$11:$CI$11)&gt;0, SUM($D$11:$CI$11)/('1_PANEL_CONTROL'!$C$10), 0)</f>
        <v>285.83333333333331</v>
      </c>
      <c r="AK18" s="33">
        <f>IF(SUM($D$11:$CI$11)&gt;0, SUM($D$11:$CI$11)/('1_PANEL_CONTROL'!$C$10), 0)</f>
        <v>285.83333333333331</v>
      </c>
      <c r="AL18" s="33">
        <f>IF(SUM($D$11:$CI$11)&gt;0, SUM($D$11:$CI$11)/('1_PANEL_CONTROL'!$C$10), 0)</f>
        <v>285.83333333333331</v>
      </c>
      <c r="AM18" s="33">
        <f>IF(SUM($D$11:$CI$11)&gt;0, SUM($D$11:$CI$11)/('1_PANEL_CONTROL'!$C$10), 0)</f>
        <v>285.83333333333331</v>
      </c>
      <c r="AN18" s="33">
        <f>IF(SUM($D$11:$CI$11)&gt;0, SUM($D$11:$CI$11)/('1_PANEL_CONTROL'!$C$10), 0)</f>
        <v>285.83333333333331</v>
      </c>
      <c r="AO18" s="33">
        <f>IF(SUM($D$11:$CI$11)&gt;0, SUM($D$11:$CI$11)/('1_PANEL_CONTROL'!$C$10), 0)</f>
        <v>285.83333333333331</v>
      </c>
      <c r="AP18" s="33">
        <f>IF(SUM($D$11:$CI$11)&gt;0, SUM($D$11:$CI$11)/('1_PANEL_CONTROL'!$C$10), 0)</f>
        <v>285.83333333333331</v>
      </c>
      <c r="AQ18" s="33">
        <f>IF(SUM($D$11:$CI$11)&gt;0, SUM($D$11:$CI$11)/('1_PANEL_CONTROL'!$C$10), 0)</f>
        <v>285.83333333333331</v>
      </c>
      <c r="AR18" s="33">
        <f>IF(SUM($D$11:$CI$11)&gt;0, SUM($D$11:$CI$11)/('1_PANEL_CONTROL'!$C$10), 0)</f>
        <v>285.83333333333331</v>
      </c>
      <c r="AS18" s="33">
        <f>IF(SUM($D$11:$CI$11)&gt;0, SUM($D$11:$CI$11)/('1_PANEL_CONTROL'!$C$10), 0)</f>
        <v>285.83333333333331</v>
      </c>
      <c r="AT18" s="33">
        <f>IF(SUM($D$11:$CI$11)&gt;0, SUM($D$11:$CI$11)/('1_PANEL_CONTROL'!$C$10), 0)</f>
        <v>285.83333333333331</v>
      </c>
      <c r="AU18" s="33">
        <f>IF(SUM($D$11:$CI$11)&gt;0, SUM($D$11:$CI$11)/('1_PANEL_CONTROL'!$C$10), 0)</f>
        <v>285.83333333333331</v>
      </c>
      <c r="AV18" s="33">
        <f>IF(SUM($D$11:$CI$11)&gt;0, SUM($D$11:$CI$11)/('1_PANEL_CONTROL'!$C$10), 0)</f>
        <v>285.83333333333331</v>
      </c>
      <c r="AW18" s="33">
        <f>IF(SUM($D$11:$CI$11)&gt;0, SUM($D$11:$CI$11)/('1_PANEL_CONTROL'!$C$10), 0)</f>
        <v>285.83333333333331</v>
      </c>
      <c r="AX18" s="33">
        <f>IF(SUM($D$11:$CI$11)&gt;0, SUM($D$11:$CI$11)/('1_PANEL_CONTROL'!$C$10), 0)</f>
        <v>285.83333333333331</v>
      </c>
      <c r="AY18" s="33">
        <f>IF(SUM($D$11:$CI$11)&gt;0, SUM($D$11:$CI$11)/('1_PANEL_CONTROL'!$C$10), 0)</f>
        <v>285.83333333333331</v>
      </c>
      <c r="AZ18" s="33">
        <f>IF(SUM($D$11:$CI$11)&gt;0, SUM($D$11:$CI$11)/('1_PANEL_CONTROL'!$C$10), 0)</f>
        <v>285.83333333333331</v>
      </c>
      <c r="BA18" s="33">
        <f>IF(SUM($D$11:$CI$11)&gt;0, SUM($D$11:$CI$11)/('1_PANEL_CONTROL'!$C$10), 0)</f>
        <v>285.83333333333331</v>
      </c>
      <c r="BB18" s="33">
        <f>IF(SUM($D$11:$CI$11)&gt;0, SUM($D$11:$CI$11)/('1_PANEL_CONTROL'!$C$10), 0)</f>
        <v>285.83333333333331</v>
      </c>
      <c r="BC18" s="33">
        <f>IF(SUM($D$11:$CI$11)&gt;0, SUM($D$11:$CI$11)/('1_PANEL_CONTROL'!$C$10), 0)</f>
        <v>285.83333333333331</v>
      </c>
      <c r="BD18" s="33">
        <f>IF(SUM($D$11:$CI$11)&gt;0, SUM($D$11:$CI$11)/('1_PANEL_CONTROL'!$C$10), 0)</f>
        <v>285.83333333333331</v>
      </c>
      <c r="BE18" s="33">
        <f>IF(SUM($D$11:$CI$11)&gt;0, SUM($D$11:$CI$11)/('1_PANEL_CONTROL'!$C$10), 0)</f>
        <v>285.83333333333331</v>
      </c>
      <c r="BF18" s="33">
        <f>IF(SUM($D$11:$CI$11)&gt;0, SUM($D$11:$CI$11)/('1_PANEL_CONTROL'!$C$10), 0)</f>
        <v>285.83333333333331</v>
      </c>
      <c r="BG18" s="33">
        <f>IF(SUM($D$11:$CI$11)&gt;0, SUM($D$11:$CI$11)/('1_PANEL_CONTROL'!$C$10), 0)</f>
        <v>285.83333333333331</v>
      </c>
      <c r="BH18" s="33">
        <f>IF(SUM($D$11:$CI$11)&gt;0, SUM($D$11:$CI$11)/('1_PANEL_CONTROL'!$C$10), 0)</f>
        <v>285.83333333333331</v>
      </c>
      <c r="BI18" s="33">
        <f>IF(SUM($D$11:$CI$11)&gt;0, SUM($D$11:$CI$11)/('1_PANEL_CONTROL'!$C$10), 0)</f>
        <v>285.83333333333331</v>
      </c>
      <c r="BJ18" s="33">
        <f>IF(SUM($D$11:$CI$11)&gt;0, SUM($D$11:$CI$11)/('1_PANEL_CONTROL'!$C$10), 0)</f>
        <v>285.83333333333331</v>
      </c>
      <c r="BK18" s="33">
        <f>IF(SUM($D$11:$CI$11)&gt;0, SUM($D$11:$CI$11)/('1_PANEL_CONTROL'!$C$10), 0)</f>
        <v>285.83333333333331</v>
      </c>
      <c r="BL18" s="33">
        <f>IF(SUM($D$11:$CI$11)&gt;0, SUM($D$11:$CI$11)/('1_PANEL_CONTROL'!$C$10), 0)</f>
        <v>285.83333333333331</v>
      </c>
      <c r="BM18" s="33">
        <f>IF(SUM($D$11:$CI$11)&gt;0, SUM($D$11:$CI$11)/('1_PANEL_CONTROL'!$C$10), 0)</f>
        <v>285.83333333333331</v>
      </c>
      <c r="BN18" s="33">
        <f>IF(SUM($D$11:$CI$11)&gt;0, SUM($D$11:$CI$11)/('1_PANEL_CONTROL'!$C$10), 0)</f>
        <v>285.83333333333331</v>
      </c>
      <c r="BO18" s="33">
        <f>IF(SUM($D$11:$CI$11)&gt;0, SUM($D$11:$CI$11)/('1_PANEL_CONTROL'!$C$10), 0)</f>
        <v>285.83333333333331</v>
      </c>
      <c r="BP18" s="33">
        <f>IF(SUM($D$11:$CI$11)&gt;0, SUM($D$11:$CI$11)/('1_PANEL_CONTROL'!$C$10), 0)</f>
        <v>285.83333333333331</v>
      </c>
      <c r="BQ18" s="33">
        <f>IF(SUM($D$11:$CI$11)&gt;0, SUM($D$11:$CI$11)/('1_PANEL_CONTROL'!$C$10), 0)</f>
        <v>285.83333333333331</v>
      </c>
      <c r="BR18" s="33">
        <f>IF(SUM($D$11:$CI$11)&gt;0, SUM($D$11:$CI$11)/('1_PANEL_CONTROL'!$C$10), 0)</f>
        <v>285.83333333333331</v>
      </c>
      <c r="BS18" s="33">
        <f>IF(SUM($D$11:$CI$11)&gt;0, SUM($D$11:$CI$11)/('1_PANEL_CONTROL'!$C$10), 0)</f>
        <v>285.83333333333331</v>
      </c>
      <c r="BT18" s="33">
        <f>IF(SUM($D$11:$CI$11)&gt;0, SUM($D$11:$CI$11)/('1_PANEL_CONTROL'!$C$10), 0)</f>
        <v>285.83333333333331</v>
      </c>
      <c r="BU18" s="33">
        <f>IF(SUM($D$11:$CI$11)&gt;0, SUM($D$11:$CI$11)/('1_PANEL_CONTROL'!$C$10), 0)</f>
        <v>285.83333333333331</v>
      </c>
      <c r="BV18" s="33">
        <f>IF(SUM($D$11:$CI$11)&gt;0, SUM($D$11:$CI$11)/('1_PANEL_CONTROL'!$C$10), 0)</f>
        <v>285.83333333333331</v>
      </c>
      <c r="BW18" s="33">
        <f>IF(SUM($D$11:$CI$11)&gt;0, SUM($D$11:$CI$11)/('1_PANEL_CONTROL'!$C$10), 0)</f>
        <v>285.83333333333331</v>
      </c>
      <c r="BX18" s="33">
        <f>IF(SUM($D$11:$CI$11)&gt;0, SUM($D$11:$CI$11)/('1_PANEL_CONTROL'!$C$10), 0)</f>
        <v>285.83333333333331</v>
      </c>
      <c r="BY18" s="33">
        <f>IF(SUM($D$11:$CI$11)&gt;0, SUM($D$11:$CI$11)/('1_PANEL_CONTROL'!$C$10), 0)</f>
        <v>285.83333333333331</v>
      </c>
      <c r="BZ18" s="33">
        <f>IF(SUM($D$11:$CI$11)&gt;0, SUM($D$11:$CI$11)/('1_PANEL_CONTROL'!$C$10), 0)</f>
        <v>285.83333333333331</v>
      </c>
      <c r="CA18" s="33">
        <f>IF(SUM($D$11:$CI$11)&gt;0, SUM($D$11:$CI$11)/('1_PANEL_CONTROL'!$C$10), 0)</f>
        <v>285.83333333333331</v>
      </c>
      <c r="CB18" s="33">
        <f>IF(SUM($D$11:$CI$11)&gt;0, SUM($D$11:$CI$11)/('1_PANEL_CONTROL'!$C$10), 0)</f>
        <v>285.83333333333331</v>
      </c>
      <c r="CC18" s="33">
        <f>IF(SUM($D$11:$CI$11)&gt;0, SUM($D$11:$CI$11)/('1_PANEL_CONTROL'!$C$10), 0)</f>
        <v>285.83333333333331</v>
      </c>
      <c r="CD18" s="33">
        <f>IF(SUM($D$11:$CI$11)&gt;0, SUM($D$11:$CI$11)/('1_PANEL_CONTROL'!$C$10), 0)</f>
        <v>285.83333333333331</v>
      </c>
      <c r="CE18" s="33">
        <f>IF(SUM($D$11:$CI$11)&gt;0, SUM($D$11:$CI$11)/('1_PANEL_CONTROL'!$C$10), 0)</f>
        <v>285.83333333333331</v>
      </c>
      <c r="CF18" s="33">
        <f>IF(SUM($D$11:$CI$11)&gt;0, SUM($D$11:$CI$11)/('1_PANEL_CONTROL'!$C$10), 0)</f>
        <v>285.83333333333331</v>
      </c>
      <c r="CG18" s="33">
        <f>IF(SUM($D$11:$CI$11)&gt;0, SUM($D$11:$CI$11)/('1_PANEL_CONTROL'!$C$10), 0)</f>
        <v>285.83333333333331</v>
      </c>
      <c r="CH18" s="33">
        <f>IF(SUM($D$11:$CI$11)&gt;0, SUM($D$11:$CI$11)/('1_PANEL_CONTROL'!$C$10), 0)</f>
        <v>285.83333333333331</v>
      </c>
      <c r="CI18" s="33">
        <f>IF(SUM($D$11:$CI$11)&gt;0, SUM($D$11:$CI$11)/('1_PANEL_CONTROL'!$C$10), 0)</f>
        <v>285.83333333333331</v>
      </c>
    </row>
    <row r="19" spans="1:87" ht="16.5">
      <c r="A19" s="6" t="s">
        <v>697</v>
      </c>
      <c r="B19" s="30" t="s">
        <v>465</v>
      </c>
      <c r="C19" s="17" t="s">
        <v>695</v>
      </c>
      <c r="D19" s="33">
        <f>IF(SUM($D$12:$CI$12)&gt;0, SUM($D$12:$CI$12)/('1_PANEL_CONTROL'!$C$10), 0)</f>
        <v>25</v>
      </c>
      <c r="E19" s="33">
        <f>IF(SUM($D$12:$CI$12)&gt;0, SUM($D$12:$CI$12)/('1_PANEL_CONTROL'!$C$10), 0)</f>
        <v>25</v>
      </c>
      <c r="F19" s="33">
        <f>IF(SUM($D$12:$CI$12)&gt;0, SUM($D$12:$CI$12)/('1_PANEL_CONTROL'!$C$10), 0)</f>
        <v>25</v>
      </c>
      <c r="G19" s="33">
        <f>IF(SUM($D$12:$CI$12)&gt;0, SUM($D$12:$CI$12)/('1_PANEL_CONTROL'!$C$10), 0)</f>
        <v>25</v>
      </c>
      <c r="H19" s="33">
        <f>IF(SUM($D$12:$CI$12)&gt;0, SUM($D$12:$CI$12)/('1_PANEL_CONTROL'!$C$10), 0)</f>
        <v>25</v>
      </c>
      <c r="I19" s="33">
        <f>IF(SUM($D$12:$CI$12)&gt;0, SUM($D$12:$CI$12)/('1_PANEL_CONTROL'!$C$10), 0)</f>
        <v>25</v>
      </c>
      <c r="J19" s="33">
        <f>IF(SUM($D$12:$CI$12)&gt;0, SUM($D$12:$CI$12)/('1_PANEL_CONTROL'!$C$10), 0)</f>
        <v>25</v>
      </c>
      <c r="K19" s="33">
        <f>IF(SUM($D$12:$CI$12)&gt;0, SUM($D$12:$CI$12)/('1_PANEL_CONTROL'!$C$10), 0)</f>
        <v>25</v>
      </c>
      <c r="L19" s="33">
        <f>IF(SUM($D$12:$CI$12)&gt;0, SUM($D$12:$CI$12)/('1_PANEL_CONTROL'!$C$10), 0)</f>
        <v>25</v>
      </c>
      <c r="M19" s="33">
        <f>IF(SUM($D$12:$CI$12)&gt;0, SUM($D$12:$CI$12)/('1_PANEL_CONTROL'!$C$10), 0)</f>
        <v>25</v>
      </c>
      <c r="N19" s="33">
        <f>IF(SUM($D$12:$CI$12)&gt;0, SUM($D$12:$CI$12)/('1_PANEL_CONTROL'!$C$10), 0)</f>
        <v>25</v>
      </c>
      <c r="O19" s="33">
        <f>IF(SUM($D$12:$CI$12)&gt;0, SUM($D$12:$CI$12)/('1_PANEL_CONTROL'!$C$10), 0)</f>
        <v>25</v>
      </c>
      <c r="P19" s="33">
        <f>IF(SUM($D$12:$CI$12)&gt;0, SUM($D$12:$CI$12)/('1_PANEL_CONTROL'!$C$10), 0)</f>
        <v>25</v>
      </c>
      <c r="Q19" s="33">
        <f>IF(SUM($D$12:$CI$12)&gt;0, SUM($D$12:$CI$12)/('1_PANEL_CONTROL'!$C$10), 0)</f>
        <v>25</v>
      </c>
      <c r="R19" s="33">
        <f>IF(SUM($D$12:$CI$12)&gt;0, SUM($D$12:$CI$12)/('1_PANEL_CONTROL'!$C$10), 0)</f>
        <v>25</v>
      </c>
      <c r="S19" s="33">
        <f>IF(SUM($D$12:$CI$12)&gt;0, SUM($D$12:$CI$12)/('1_PANEL_CONTROL'!$C$10), 0)</f>
        <v>25</v>
      </c>
      <c r="T19" s="33">
        <f>IF(SUM($D$12:$CI$12)&gt;0, SUM($D$12:$CI$12)/('1_PANEL_CONTROL'!$C$10), 0)</f>
        <v>25</v>
      </c>
      <c r="U19" s="33">
        <f>IF(SUM($D$12:$CI$12)&gt;0, SUM($D$12:$CI$12)/('1_PANEL_CONTROL'!$C$10), 0)</f>
        <v>25</v>
      </c>
      <c r="V19" s="33">
        <f>IF(SUM($D$12:$CI$12)&gt;0, SUM($D$12:$CI$12)/('1_PANEL_CONTROL'!$C$10), 0)</f>
        <v>25</v>
      </c>
      <c r="W19" s="33">
        <f>IF(SUM($D$12:$CI$12)&gt;0, SUM($D$12:$CI$12)/('1_PANEL_CONTROL'!$C$10), 0)</f>
        <v>25</v>
      </c>
      <c r="X19" s="33">
        <f>IF(SUM($D$12:$CI$12)&gt;0, SUM($D$12:$CI$12)/('1_PANEL_CONTROL'!$C$10), 0)</f>
        <v>25</v>
      </c>
      <c r="Y19" s="33">
        <f>IF(SUM($D$12:$CI$12)&gt;0, SUM($D$12:$CI$12)/('1_PANEL_CONTROL'!$C$10), 0)</f>
        <v>25</v>
      </c>
      <c r="Z19" s="33">
        <f>IF(SUM($D$12:$CI$12)&gt;0, SUM($D$12:$CI$12)/('1_PANEL_CONTROL'!$C$10), 0)</f>
        <v>25</v>
      </c>
      <c r="AA19" s="33">
        <f>IF(SUM($D$12:$CI$12)&gt;0, SUM($D$12:$CI$12)/('1_PANEL_CONTROL'!$C$10), 0)</f>
        <v>25</v>
      </c>
      <c r="AB19" s="33">
        <f>IF(SUM($D$12:$CI$12)&gt;0, SUM($D$12:$CI$12)/('1_PANEL_CONTROL'!$C$10), 0)</f>
        <v>25</v>
      </c>
      <c r="AC19" s="33">
        <f>IF(SUM($D$12:$CI$12)&gt;0, SUM($D$12:$CI$12)/('1_PANEL_CONTROL'!$C$10), 0)</f>
        <v>25</v>
      </c>
      <c r="AD19" s="33">
        <f>IF(SUM($D$12:$CI$12)&gt;0, SUM($D$12:$CI$12)/('1_PANEL_CONTROL'!$C$10), 0)</f>
        <v>25</v>
      </c>
      <c r="AE19" s="33">
        <f>IF(SUM($D$12:$CI$12)&gt;0, SUM($D$12:$CI$12)/('1_PANEL_CONTROL'!$C$10), 0)</f>
        <v>25</v>
      </c>
      <c r="AF19" s="33">
        <f>IF(SUM($D$12:$CI$12)&gt;0, SUM($D$12:$CI$12)/('1_PANEL_CONTROL'!$C$10), 0)</f>
        <v>25</v>
      </c>
      <c r="AG19" s="33">
        <f>IF(SUM($D$12:$CI$12)&gt;0, SUM($D$12:$CI$12)/('1_PANEL_CONTROL'!$C$10), 0)</f>
        <v>25</v>
      </c>
      <c r="AH19" s="33">
        <f>IF(SUM($D$12:$CI$12)&gt;0, SUM($D$12:$CI$12)/('1_PANEL_CONTROL'!$C$10), 0)</f>
        <v>25</v>
      </c>
      <c r="AI19" s="33">
        <f>IF(SUM($D$12:$CI$12)&gt;0, SUM($D$12:$CI$12)/('1_PANEL_CONTROL'!$C$10), 0)</f>
        <v>25</v>
      </c>
      <c r="AJ19" s="33">
        <f>IF(SUM($D$12:$CI$12)&gt;0, SUM($D$12:$CI$12)/('1_PANEL_CONTROL'!$C$10), 0)</f>
        <v>25</v>
      </c>
      <c r="AK19" s="33">
        <f>IF(SUM($D$12:$CI$12)&gt;0, SUM($D$12:$CI$12)/('1_PANEL_CONTROL'!$C$10), 0)</f>
        <v>25</v>
      </c>
      <c r="AL19" s="33">
        <f>IF(SUM($D$12:$CI$12)&gt;0, SUM($D$12:$CI$12)/('1_PANEL_CONTROL'!$C$10), 0)</f>
        <v>25</v>
      </c>
      <c r="AM19" s="33">
        <f>IF(SUM($D$12:$CI$12)&gt;0, SUM($D$12:$CI$12)/('1_PANEL_CONTROL'!$C$10), 0)</f>
        <v>25</v>
      </c>
      <c r="AN19" s="33">
        <f>IF(SUM($D$12:$CI$12)&gt;0, SUM($D$12:$CI$12)/('1_PANEL_CONTROL'!$C$10), 0)</f>
        <v>25</v>
      </c>
      <c r="AO19" s="33">
        <f>IF(SUM($D$12:$CI$12)&gt;0, SUM($D$12:$CI$12)/('1_PANEL_CONTROL'!$C$10), 0)</f>
        <v>25</v>
      </c>
      <c r="AP19" s="33">
        <f>IF(SUM($D$12:$CI$12)&gt;0, SUM($D$12:$CI$12)/('1_PANEL_CONTROL'!$C$10), 0)</f>
        <v>25</v>
      </c>
      <c r="AQ19" s="33">
        <f>IF(SUM($D$12:$CI$12)&gt;0, SUM($D$12:$CI$12)/('1_PANEL_CONTROL'!$C$10), 0)</f>
        <v>25</v>
      </c>
      <c r="AR19" s="33">
        <f>IF(SUM($D$12:$CI$12)&gt;0, SUM($D$12:$CI$12)/('1_PANEL_CONTROL'!$C$10), 0)</f>
        <v>25</v>
      </c>
      <c r="AS19" s="33">
        <f>IF(SUM($D$12:$CI$12)&gt;0, SUM($D$12:$CI$12)/('1_PANEL_CONTROL'!$C$10), 0)</f>
        <v>25</v>
      </c>
      <c r="AT19" s="33">
        <f>IF(SUM($D$12:$CI$12)&gt;0, SUM($D$12:$CI$12)/('1_PANEL_CONTROL'!$C$10), 0)</f>
        <v>25</v>
      </c>
      <c r="AU19" s="33">
        <f>IF(SUM($D$12:$CI$12)&gt;0, SUM($D$12:$CI$12)/('1_PANEL_CONTROL'!$C$10), 0)</f>
        <v>25</v>
      </c>
      <c r="AV19" s="33">
        <f>IF(SUM($D$12:$CI$12)&gt;0, SUM($D$12:$CI$12)/('1_PANEL_CONTROL'!$C$10), 0)</f>
        <v>25</v>
      </c>
      <c r="AW19" s="33">
        <f>IF(SUM($D$12:$CI$12)&gt;0, SUM($D$12:$CI$12)/('1_PANEL_CONTROL'!$C$10), 0)</f>
        <v>25</v>
      </c>
      <c r="AX19" s="33">
        <f>IF(SUM($D$12:$CI$12)&gt;0, SUM($D$12:$CI$12)/('1_PANEL_CONTROL'!$C$10), 0)</f>
        <v>25</v>
      </c>
      <c r="AY19" s="33">
        <f>IF(SUM($D$12:$CI$12)&gt;0, SUM($D$12:$CI$12)/('1_PANEL_CONTROL'!$C$10), 0)</f>
        <v>25</v>
      </c>
      <c r="AZ19" s="33">
        <f>IF(SUM($D$12:$CI$12)&gt;0, SUM($D$12:$CI$12)/('1_PANEL_CONTROL'!$C$10), 0)</f>
        <v>25</v>
      </c>
      <c r="BA19" s="33">
        <f>IF(SUM($D$12:$CI$12)&gt;0, SUM($D$12:$CI$12)/('1_PANEL_CONTROL'!$C$10), 0)</f>
        <v>25</v>
      </c>
      <c r="BB19" s="33">
        <f>IF(SUM($D$12:$CI$12)&gt;0, SUM($D$12:$CI$12)/('1_PANEL_CONTROL'!$C$10), 0)</f>
        <v>25</v>
      </c>
      <c r="BC19" s="33">
        <f>IF(SUM($D$12:$CI$12)&gt;0, SUM($D$12:$CI$12)/('1_PANEL_CONTROL'!$C$10), 0)</f>
        <v>25</v>
      </c>
      <c r="BD19" s="33">
        <f>IF(SUM($D$12:$CI$12)&gt;0, SUM($D$12:$CI$12)/('1_PANEL_CONTROL'!$C$10), 0)</f>
        <v>25</v>
      </c>
      <c r="BE19" s="33">
        <f>IF(SUM($D$12:$CI$12)&gt;0, SUM($D$12:$CI$12)/('1_PANEL_CONTROL'!$C$10), 0)</f>
        <v>25</v>
      </c>
      <c r="BF19" s="33">
        <f>IF(SUM($D$12:$CI$12)&gt;0, SUM($D$12:$CI$12)/('1_PANEL_CONTROL'!$C$10), 0)</f>
        <v>25</v>
      </c>
      <c r="BG19" s="33">
        <f>IF(SUM($D$12:$CI$12)&gt;0, SUM($D$12:$CI$12)/('1_PANEL_CONTROL'!$C$10), 0)</f>
        <v>25</v>
      </c>
      <c r="BH19" s="33">
        <f>IF(SUM($D$12:$CI$12)&gt;0, SUM($D$12:$CI$12)/('1_PANEL_CONTROL'!$C$10), 0)</f>
        <v>25</v>
      </c>
      <c r="BI19" s="33">
        <f>IF(SUM($D$12:$CI$12)&gt;0, SUM($D$12:$CI$12)/('1_PANEL_CONTROL'!$C$10), 0)</f>
        <v>25</v>
      </c>
      <c r="BJ19" s="33">
        <f>IF(SUM($D$12:$CI$12)&gt;0, SUM($D$12:$CI$12)/('1_PANEL_CONTROL'!$C$10), 0)</f>
        <v>25</v>
      </c>
      <c r="BK19" s="33">
        <f>IF(SUM($D$12:$CI$12)&gt;0, SUM($D$12:$CI$12)/('1_PANEL_CONTROL'!$C$10), 0)</f>
        <v>25</v>
      </c>
      <c r="BL19" s="33">
        <f>IF(SUM($D$12:$CI$12)&gt;0, SUM($D$12:$CI$12)/('1_PANEL_CONTROL'!$C$10), 0)</f>
        <v>25</v>
      </c>
      <c r="BM19" s="33">
        <f>IF(SUM($D$12:$CI$12)&gt;0, SUM($D$12:$CI$12)/('1_PANEL_CONTROL'!$C$10), 0)</f>
        <v>25</v>
      </c>
      <c r="BN19" s="33">
        <f>IF(SUM($D$12:$CI$12)&gt;0, SUM($D$12:$CI$12)/('1_PANEL_CONTROL'!$C$10), 0)</f>
        <v>25</v>
      </c>
      <c r="BO19" s="33">
        <f>IF(SUM($D$12:$CI$12)&gt;0, SUM($D$12:$CI$12)/('1_PANEL_CONTROL'!$C$10), 0)</f>
        <v>25</v>
      </c>
      <c r="BP19" s="33">
        <f>IF(SUM($D$12:$CI$12)&gt;0, SUM($D$12:$CI$12)/('1_PANEL_CONTROL'!$C$10), 0)</f>
        <v>25</v>
      </c>
      <c r="BQ19" s="33">
        <f>IF(SUM($D$12:$CI$12)&gt;0, SUM($D$12:$CI$12)/('1_PANEL_CONTROL'!$C$10), 0)</f>
        <v>25</v>
      </c>
      <c r="BR19" s="33">
        <f>IF(SUM($D$12:$CI$12)&gt;0, SUM($D$12:$CI$12)/('1_PANEL_CONTROL'!$C$10), 0)</f>
        <v>25</v>
      </c>
      <c r="BS19" s="33">
        <f>IF(SUM($D$12:$CI$12)&gt;0, SUM($D$12:$CI$12)/('1_PANEL_CONTROL'!$C$10), 0)</f>
        <v>25</v>
      </c>
      <c r="BT19" s="33">
        <f>IF(SUM($D$12:$CI$12)&gt;0, SUM($D$12:$CI$12)/('1_PANEL_CONTROL'!$C$10), 0)</f>
        <v>25</v>
      </c>
      <c r="BU19" s="33">
        <f>IF(SUM($D$12:$CI$12)&gt;0, SUM($D$12:$CI$12)/('1_PANEL_CONTROL'!$C$10), 0)</f>
        <v>25</v>
      </c>
      <c r="BV19" s="33">
        <f>IF(SUM($D$12:$CI$12)&gt;0, SUM($D$12:$CI$12)/('1_PANEL_CONTROL'!$C$10), 0)</f>
        <v>25</v>
      </c>
      <c r="BW19" s="33">
        <f>IF(SUM($D$12:$CI$12)&gt;0, SUM($D$12:$CI$12)/('1_PANEL_CONTROL'!$C$10), 0)</f>
        <v>25</v>
      </c>
      <c r="BX19" s="33">
        <f>IF(SUM($D$12:$CI$12)&gt;0, SUM($D$12:$CI$12)/('1_PANEL_CONTROL'!$C$10), 0)</f>
        <v>25</v>
      </c>
      <c r="BY19" s="33">
        <f>IF(SUM($D$12:$CI$12)&gt;0, SUM($D$12:$CI$12)/('1_PANEL_CONTROL'!$C$10), 0)</f>
        <v>25</v>
      </c>
      <c r="BZ19" s="33">
        <f>IF(SUM($D$12:$CI$12)&gt;0, SUM($D$12:$CI$12)/('1_PANEL_CONTROL'!$C$10), 0)</f>
        <v>25</v>
      </c>
      <c r="CA19" s="33">
        <f>IF(SUM($D$12:$CI$12)&gt;0, SUM($D$12:$CI$12)/('1_PANEL_CONTROL'!$C$10), 0)</f>
        <v>25</v>
      </c>
      <c r="CB19" s="33">
        <f>IF(SUM($D$12:$CI$12)&gt;0, SUM($D$12:$CI$12)/('1_PANEL_CONTROL'!$C$10), 0)</f>
        <v>25</v>
      </c>
      <c r="CC19" s="33">
        <f>IF(SUM($D$12:$CI$12)&gt;0, SUM($D$12:$CI$12)/('1_PANEL_CONTROL'!$C$10), 0)</f>
        <v>25</v>
      </c>
      <c r="CD19" s="33">
        <f>IF(SUM($D$12:$CI$12)&gt;0, SUM($D$12:$CI$12)/('1_PANEL_CONTROL'!$C$10), 0)</f>
        <v>25</v>
      </c>
      <c r="CE19" s="33">
        <f>IF(SUM($D$12:$CI$12)&gt;0, SUM($D$12:$CI$12)/('1_PANEL_CONTROL'!$C$10), 0)</f>
        <v>25</v>
      </c>
      <c r="CF19" s="33">
        <f>IF(SUM($D$12:$CI$12)&gt;0, SUM($D$12:$CI$12)/('1_PANEL_CONTROL'!$C$10), 0)</f>
        <v>25</v>
      </c>
      <c r="CG19" s="33">
        <f>IF(SUM($D$12:$CI$12)&gt;0, SUM($D$12:$CI$12)/('1_PANEL_CONTROL'!$C$10), 0)</f>
        <v>25</v>
      </c>
      <c r="CH19" s="33">
        <f>IF(SUM($D$12:$CI$12)&gt;0, SUM($D$12:$CI$12)/('1_PANEL_CONTROL'!$C$10), 0)</f>
        <v>25</v>
      </c>
      <c r="CI19" s="33">
        <f>IF(SUM($D$12:$CI$12)&gt;0, SUM($D$12:$CI$12)/('1_PANEL_CONTROL'!$C$10), 0)</f>
        <v>25</v>
      </c>
    </row>
    <row r="20" spans="1:87" ht="16.5">
      <c r="A20" s="6" t="s">
        <v>698</v>
      </c>
      <c r="B20" s="30" t="s">
        <v>465</v>
      </c>
      <c r="C20" s="17" t="s">
        <v>695</v>
      </c>
      <c r="D20" s="33">
        <f>IF(SUM($D$13:$CI$13)&gt;0, SUM($D$13:$CI$13)/('1_PANEL_CONTROL'!$C$10), 0)</f>
        <v>0</v>
      </c>
      <c r="E20" s="33">
        <f>IF(SUM($D$13:$CI$13)&gt;0, SUM($D$13:$CI$13)/('1_PANEL_CONTROL'!$C$10), 0)</f>
        <v>0</v>
      </c>
      <c r="F20" s="33">
        <f>IF(SUM($D$13:$CI$13)&gt;0, SUM($D$13:$CI$13)/('1_PANEL_CONTROL'!$C$10), 0)</f>
        <v>0</v>
      </c>
      <c r="G20" s="33">
        <f>IF(SUM($D$13:$CI$13)&gt;0, SUM($D$13:$CI$13)/('1_PANEL_CONTROL'!$C$10), 0)</f>
        <v>0</v>
      </c>
      <c r="H20" s="33">
        <f>IF(SUM($D$13:$CI$13)&gt;0, SUM($D$13:$CI$13)/('1_PANEL_CONTROL'!$C$10), 0)</f>
        <v>0</v>
      </c>
      <c r="I20" s="33">
        <f>IF(SUM($D$13:$CI$13)&gt;0, SUM($D$13:$CI$13)/('1_PANEL_CONTROL'!$C$10), 0)</f>
        <v>0</v>
      </c>
      <c r="J20" s="33">
        <f>IF(SUM($D$13:$CI$13)&gt;0, SUM($D$13:$CI$13)/('1_PANEL_CONTROL'!$C$10), 0)</f>
        <v>0</v>
      </c>
      <c r="K20" s="33">
        <f>IF(SUM($D$13:$CI$13)&gt;0, SUM($D$13:$CI$13)/('1_PANEL_CONTROL'!$C$10), 0)</f>
        <v>0</v>
      </c>
      <c r="L20" s="33">
        <f>IF(SUM($D$13:$CI$13)&gt;0, SUM($D$13:$CI$13)/('1_PANEL_CONTROL'!$C$10), 0)</f>
        <v>0</v>
      </c>
      <c r="M20" s="33">
        <f>IF(SUM($D$13:$CI$13)&gt;0, SUM($D$13:$CI$13)/('1_PANEL_CONTROL'!$C$10), 0)</f>
        <v>0</v>
      </c>
      <c r="N20" s="33">
        <f>IF(SUM($D$13:$CI$13)&gt;0, SUM($D$13:$CI$13)/('1_PANEL_CONTROL'!$C$10), 0)</f>
        <v>0</v>
      </c>
      <c r="O20" s="33">
        <f>IF(SUM($D$13:$CI$13)&gt;0, SUM($D$13:$CI$13)/('1_PANEL_CONTROL'!$C$10), 0)</f>
        <v>0</v>
      </c>
      <c r="P20" s="33">
        <f>IF(SUM($D$13:$CI$13)&gt;0, SUM($D$13:$CI$13)/('1_PANEL_CONTROL'!$C$10), 0)</f>
        <v>0</v>
      </c>
      <c r="Q20" s="33">
        <f>IF(SUM($D$13:$CI$13)&gt;0, SUM($D$13:$CI$13)/('1_PANEL_CONTROL'!$C$10), 0)</f>
        <v>0</v>
      </c>
      <c r="R20" s="33">
        <f>IF(SUM($D$13:$CI$13)&gt;0, SUM($D$13:$CI$13)/('1_PANEL_CONTROL'!$C$10), 0)</f>
        <v>0</v>
      </c>
      <c r="S20" s="33">
        <f>IF(SUM($D$13:$CI$13)&gt;0, SUM($D$13:$CI$13)/('1_PANEL_CONTROL'!$C$10), 0)</f>
        <v>0</v>
      </c>
      <c r="T20" s="33">
        <f>IF(SUM($D$13:$CI$13)&gt;0, SUM($D$13:$CI$13)/('1_PANEL_CONTROL'!$C$10), 0)</f>
        <v>0</v>
      </c>
      <c r="U20" s="33">
        <f>IF(SUM($D$13:$CI$13)&gt;0, SUM($D$13:$CI$13)/('1_PANEL_CONTROL'!$C$10), 0)</f>
        <v>0</v>
      </c>
      <c r="V20" s="33">
        <f>IF(SUM($D$13:$CI$13)&gt;0, SUM($D$13:$CI$13)/('1_PANEL_CONTROL'!$C$10), 0)</f>
        <v>0</v>
      </c>
      <c r="W20" s="33">
        <f>IF(SUM($D$13:$CI$13)&gt;0, SUM($D$13:$CI$13)/('1_PANEL_CONTROL'!$C$10), 0)</f>
        <v>0</v>
      </c>
      <c r="X20" s="33">
        <f>IF(SUM($D$13:$CI$13)&gt;0, SUM($D$13:$CI$13)/('1_PANEL_CONTROL'!$C$10), 0)</f>
        <v>0</v>
      </c>
      <c r="Y20" s="33">
        <f>IF(SUM($D$13:$CI$13)&gt;0, SUM($D$13:$CI$13)/('1_PANEL_CONTROL'!$C$10), 0)</f>
        <v>0</v>
      </c>
      <c r="Z20" s="33">
        <f>IF(SUM($D$13:$CI$13)&gt;0, SUM($D$13:$CI$13)/('1_PANEL_CONTROL'!$C$10), 0)</f>
        <v>0</v>
      </c>
      <c r="AA20" s="33">
        <f>IF(SUM($D$13:$CI$13)&gt;0, SUM($D$13:$CI$13)/('1_PANEL_CONTROL'!$C$10), 0)</f>
        <v>0</v>
      </c>
      <c r="AB20" s="33">
        <f>IF(SUM($D$13:$CI$13)&gt;0, SUM($D$13:$CI$13)/('1_PANEL_CONTROL'!$C$10), 0)</f>
        <v>0</v>
      </c>
      <c r="AC20" s="33">
        <f>IF(SUM($D$13:$CI$13)&gt;0, SUM($D$13:$CI$13)/('1_PANEL_CONTROL'!$C$10), 0)</f>
        <v>0</v>
      </c>
      <c r="AD20" s="33">
        <f>IF(SUM($D$13:$CI$13)&gt;0, SUM($D$13:$CI$13)/('1_PANEL_CONTROL'!$C$10), 0)</f>
        <v>0</v>
      </c>
      <c r="AE20" s="33">
        <f>IF(SUM($D$13:$CI$13)&gt;0, SUM($D$13:$CI$13)/('1_PANEL_CONTROL'!$C$10), 0)</f>
        <v>0</v>
      </c>
      <c r="AF20" s="33">
        <f>IF(SUM($D$13:$CI$13)&gt;0, SUM($D$13:$CI$13)/('1_PANEL_CONTROL'!$C$10), 0)</f>
        <v>0</v>
      </c>
      <c r="AG20" s="33">
        <f>IF(SUM($D$13:$CI$13)&gt;0, SUM($D$13:$CI$13)/('1_PANEL_CONTROL'!$C$10), 0)</f>
        <v>0</v>
      </c>
      <c r="AH20" s="33">
        <f>IF(SUM($D$13:$CI$13)&gt;0, SUM($D$13:$CI$13)/('1_PANEL_CONTROL'!$C$10), 0)</f>
        <v>0</v>
      </c>
      <c r="AI20" s="33">
        <f>IF(SUM($D$13:$CI$13)&gt;0, SUM($D$13:$CI$13)/('1_PANEL_CONTROL'!$C$10), 0)</f>
        <v>0</v>
      </c>
      <c r="AJ20" s="33">
        <f>IF(SUM($D$13:$CI$13)&gt;0, SUM($D$13:$CI$13)/('1_PANEL_CONTROL'!$C$10), 0)</f>
        <v>0</v>
      </c>
      <c r="AK20" s="33">
        <f>IF(SUM($D$13:$CI$13)&gt;0, SUM($D$13:$CI$13)/('1_PANEL_CONTROL'!$C$10), 0)</f>
        <v>0</v>
      </c>
      <c r="AL20" s="33">
        <f>IF(SUM($D$13:$CI$13)&gt;0, SUM($D$13:$CI$13)/('1_PANEL_CONTROL'!$C$10), 0)</f>
        <v>0</v>
      </c>
      <c r="AM20" s="33">
        <f>IF(SUM($D$13:$CI$13)&gt;0, SUM($D$13:$CI$13)/('1_PANEL_CONTROL'!$C$10), 0)</f>
        <v>0</v>
      </c>
      <c r="AN20" s="33">
        <f>IF(SUM($D$13:$CI$13)&gt;0, SUM($D$13:$CI$13)/('1_PANEL_CONTROL'!$C$10), 0)</f>
        <v>0</v>
      </c>
      <c r="AO20" s="33">
        <f>IF(SUM($D$13:$CI$13)&gt;0, SUM($D$13:$CI$13)/('1_PANEL_CONTROL'!$C$10), 0)</f>
        <v>0</v>
      </c>
      <c r="AP20" s="33">
        <f>IF(SUM($D$13:$CI$13)&gt;0, SUM($D$13:$CI$13)/('1_PANEL_CONTROL'!$C$10), 0)</f>
        <v>0</v>
      </c>
      <c r="AQ20" s="33">
        <f>IF(SUM($D$13:$CI$13)&gt;0, SUM($D$13:$CI$13)/('1_PANEL_CONTROL'!$C$10), 0)</f>
        <v>0</v>
      </c>
      <c r="AR20" s="33">
        <f>IF(SUM($D$13:$CI$13)&gt;0, SUM($D$13:$CI$13)/('1_PANEL_CONTROL'!$C$10), 0)</f>
        <v>0</v>
      </c>
      <c r="AS20" s="33">
        <f>IF(SUM($D$13:$CI$13)&gt;0, SUM($D$13:$CI$13)/('1_PANEL_CONTROL'!$C$10), 0)</f>
        <v>0</v>
      </c>
      <c r="AT20" s="33">
        <f>IF(SUM($D$13:$CI$13)&gt;0, SUM($D$13:$CI$13)/('1_PANEL_CONTROL'!$C$10), 0)</f>
        <v>0</v>
      </c>
      <c r="AU20" s="33">
        <f>IF(SUM($D$13:$CI$13)&gt;0, SUM($D$13:$CI$13)/('1_PANEL_CONTROL'!$C$10), 0)</f>
        <v>0</v>
      </c>
      <c r="AV20" s="33">
        <f>IF(SUM($D$13:$CI$13)&gt;0, SUM($D$13:$CI$13)/('1_PANEL_CONTROL'!$C$10), 0)</f>
        <v>0</v>
      </c>
      <c r="AW20" s="33">
        <f>IF(SUM($D$13:$CI$13)&gt;0, SUM($D$13:$CI$13)/('1_PANEL_CONTROL'!$C$10), 0)</f>
        <v>0</v>
      </c>
      <c r="AX20" s="33">
        <f>IF(SUM($D$13:$CI$13)&gt;0, SUM($D$13:$CI$13)/('1_PANEL_CONTROL'!$C$10), 0)</f>
        <v>0</v>
      </c>
      <c r="AY20" s="33">
        <f>IF(SUM($D$13:$CI$13)&gt;0, SUM($D$13:$CI$13)/('1_PANEL_CONTROL'!$C$10), 0)</f>
        <v>0</v>
      </c>
      <c r="AZ20" s="33">
        <f>IF(SUM($D$13:$CI$13)&gt;0, SUM($D$13:$CI$13)/('1_PANEL_CONTROL'!$C$10), 0)</f>
        <v>0</v>
      </c>
      <c r="BA20" s="33">
        <f>IF(SUM($D$13:$CI$13)&gt;0, SUM($D$13:$CI$13)/('1_PANEL_CONTROL'!$C$10), 0)</f>
        <v>0</v>
      </c>
      <c r="BB20" s="33">
        <f>IF(SUM($D$13:$CI$13)&gt;0, SUM($D$13:$CI$13)/('1_PANEL_CONTROL'!$C$10), 0)</f>
        <v>0</v>
      </c>
      <c r="BC20" s="33">
        <f>IF(SUM($D$13:$CI$13)&gt;0, SUM($D$13:$CI$13)/('1_PANEL_CONTROL'!$C$10), 0)</f>
        <v>0</v>
      </c>
      <c r="BD20" s="33">
        <f>IF(SUM($D$13:$CI$13)&gt;0, SUM($D$13:$CI$13)/('1_PANEL_CONTROL'!$C$10), 0)</f>
        <v>0</v>
      </c>
      <c r="BE20" s="33">
        <f>IF(SUM($D$13:$CI$13)&gt;0, SUM($D$13:$CI$13)/('1_PANEL_CONTROL'!$C$10), 0)</f>
        <v>0</v>
      </c>
      <c r="BF20" s="33">
        <f>IF(SUM($D$13:$CI$13)&gt;0, SUM($D$13:$CI$13)/('1_PANEL_CONTROL'!$C$10), 0)</f>
        <v>0</v>
      </c>
      <c r="BG20" s="33">
        <f>IF(SUM($D$13:$CI$13)&gt;0, SUM($D$13:$CI$13)/('1_PANEL_CONTROL'!$C$10), 0)</f>
        <v>0</v>
      </c>
      <c r="BH20" s="33">
        <f>IF(SUM($D$13:$CI$13)&gt;0, SUM($D$13:$CI$13)/('1_PANEL_CONTROL'!$C$10), 0)</f>
        <v>0</v>
      </c>
      <c r="BI20" s="33">
        <f>IF(SUM($D$13:$CI$13)&gt;0, SUM($D$13:$CI$13)/('1_PANEL_CONTROL'!$C$10), 0)</f>
        <v>0</v>
      </c>
      <c r="BJ20" s="33">
        <f>IF(SUM($D$13:$CI$13)&gt;0, SUM($D$13:$CI$13)/('1_PANEL_CONTROL'!$C$10), 0)</f>
        <v>0</v>
      </c>
      <c r="BK20" s="33">
        <f>IF(SUM($D$13:$CI$13)&gt;0, SUM($D$13:$CI$13)/('1_PANEL_CONTROL'!$C$10), 0)</f>
        <v>0</v>
      </c>
      <c r="BL20" s="33">
        <f>IF(SUM($D$13:$CI$13)&gt;0, SUM($D$13:$CI$13)/('1_PANEL_CONTROL'!$C$10), 0)</f>
        <v>0</v>
      </c>
      <c r="BM20" s="33">
        <f>IF(SUM($D$13:$CI$13)&gt;0, SUM($D$13:$CI$13)/('1_PANEL_CONTROL'!$C$10), 0)</f>
        <v>0</v>
      </c>
      <c r="BN20" s="33">
        <f>IF(SUM($D$13:$CI$13)&gt;0, SUM($D$13:$CI$13)/('1_PANEL_CONTROL'!$C$10), 0)</f>
        <v>0</v>
      </c>
      <c r="BO20" s="33">
        <f>IF(SUM($D$13:$CI$13)&gt;0, SUM($D$13:$CI$13)/('1_PANEL_CONTROL'!$C$10), 0)</f>
        <v>0</v>
      </c>
      <c r="BP20" s="33">
        <f>IF(SUM($D$13:$CI$13)&gt;0, SUM($D$13:$CI$13)/('1_PANEL_CONTROL'!$C$10), 0)</f>
        <v>0</v>
      </c>
      <c r="BQ20" s="33">
        <f>IF(SUM($D$13:$CI$13)&gt;0, SUM($D$13:$CI$13)/('1_PANEL_CONTROL'!$C$10), 0)</f>
        <v>0</v>
      </c>
      <c r="BR20" s="33">
        <f>IF(SUM($D$13:$CI$13)&gt;0, SUM($D$13:$CI$13)/('1_PANEL_CONTROL'!$C$10), 0)</f>
        <v>0</v>
      </c>
      <c r="BS20" s="33">
        <f>IF(SUM($D$13:$CI$13)&gt;0, SUM($D$13:$CI$13)/('1_PANEL_CONTROL'!$C$10), 0)</f>
        <v>0</v>
      </c>
      <c r="BT20" s="33">
        <f>IF(SUM($D$13:$CI$13)&gt;0, SUM($D$13:$CI$13)/('1_PANEL_CONTROL'!$C$10), 0)</f>
        <v>0</v>
      </c>
      <c r="BU20" s="33">
        <f>IF(SUM($D$13:$CI$13)&gt;0, SUM($D$13:$CI$13)/('1_PANEL_CONTROL'!$C$10), 0)</f>
        <v>0</v>
      </c>
      <c r="BV20" s="33">
        <f>IF(SUM($D$13:$CI$13)&gt;0, SUM($D$13:$CI$13)/('1_PANEL_CONTROL'!$C$10), 0)</f>
        <v>0</v>
      </c>
      <c r="BW20" s="33">
        <f>IF(SUM($D$13:$CI$13)&gt;0, SUM($D$13:$CI$13)/('1_PANEL_CONTROL'!$C$10), 0)</f>
        <v>0</v>
      </c>
      <c r="BX20" s="33">
        <f>IF(SUM($D$13:$CI$13)&gt;0, SUM($D$13:$CI$13)/('1_PANEL_CONTROL'!$C$10), 0)</f>
        <v>0</v>
      </c>
      <c r="BY20" s="33">
        <f>IF(SUM($D$13:$CI$13)&gt;0, SUM($D$13:$CI$13)/('1_PANEL_CONTROL'!$C$10), 0)</f>
        <v>0</v>
      </c>
      <c r="BZ20" s="33">
        <f>IF(SUM($D$13:$CI$13)&gt;0, SUM($D$13:$CI$13)/('1_PANEL_CONTROL'!$C$10), 0)</f>
        <v>0</v>
      </c>
      <c r="CA20" s="33">
        <f>IF(SUM($D$13:$CI$13)&gt;0, SUM($D$13:$CI$13)/('1_PANEL_CONTROL'!$C$10), 0)</f>
        <v>0</v>
      </c>
      <c r="CB20" s="33">
        <f>IF(SUM($D$13:$CI$13)&gt;0, SUM($D$13:$CI$13)/('1_PANEL_CONTROL'!$C$10), 0)</f>
        <v>0</v>
      </c>
      <c r="CC20" s="33">
        <f>IF(SUM($D$13:$CI$13)&gt;0, SUM($D$13:$CI$13)/('1_PANEL_CONTROL'!$C$10), 0)</f>
        <v>0</v>
      </c>
      <c r="CD20" s="33">
        <f>IF(SUM($D$13:$CI$13)&gt;0, SUM($D$13:$CI$13)/('1_PANEL_CONTROL'!$C$10), 0)</f>
        <v>0</v>
      </c>
      <c r="CE20" s="33">
        <f>IF(SUM($D$13:$CI$13)&gt;0, SUM($D$13:$CI$13)/('1_PANEL_CONTROL'!$C$10), 0)</f>
        <v>0</v>
      </c>
      <c r="CF20" s="33">
        <f>IF(SUM($D$13:$CI$13)&gt;0, SUM($D$13:$CI$13)/('1_PANEL_CONTROL'!$C$10), 0)</f>
        <v>0</v>
      </c>
      <c r="CG20" s="33">
        <f>IF(SUM($D$13:$CI$13)&gt;0, SUM($D$13:$CI$13)/('1_PANEL_CONTROL'!$C$10), 0)</f>
        <v>0</v>
      </c>
      <c r="CH20" s="33">
        <f>IF(SUM($D$13:$CI$13)&gt;0, SUM($D$13:$CI$13)/('1_PANEL_CONTROL'!$C$10), 0)</f>
        <v>0</v>
      </c>
      <c r="CI20" s="33">
        <f>IF(SUM($D$13:$CI$13)&gt;0, SUM($D$13:$CI$13)/('1_PANEL_CONTROL'!$C$10), 0)</f>
        <v>0</v>
      </c>
    </row>
    <row r="21" spans="1:87" ht="16.5">
      <c r="A21" s="6" t="s">
        <v>699</v>
      </c>
      <c r="B21" s="30" t="s">
        <v>465</v>
      </c>
      <c r="C21" s="17" t="s">
        <v>695</v>
      </c>
      <c r="D21" s="33">
        <f>IF(SUM($D$14:$CI$14)&gt;0, SUM($D$14:$CI$14)/('1_PANEL_CONTROL'!$C$10), 0)</f>
        <v>250</v>
      </c>
      <c r="E21" s="33">
        <f>IF(SUM($D$14:$CI$14)&gt;0, SUM($D$14:$CI$14)/('1_PANEL_CONTROL'!$C$10), 0)</f>
        <v>250</v>
      </c>
      <c r="F21" s="33">
        <f>IF(SUM($D$14:$CI$14)&gt;0, SUM($D$14:$CI$14)/('1_PANEL_CONTROL'!$C$10), 0)</f>
        <v>250</v>
      </c>
      <c r="G21" s="33">
        <f>IF(SUM($D$14:$CI$14)&gt;0, SUM($D$14:$CI$14)/('1_PANEL_CONTROL'!$C$10), 0)</f>
        <v>250</v>
      </c>
      <c r="H21" s="33">
        <f>IF(SUM($D$14:$CI$14)&gt;0, SUM($D$14:$CI$14)/('1_PANEL_CONTROL'!$C$10), 0)</f>
        <v>250</v>
      </c>
      <c r="I21" s="33">
        <f>IF(SUM($D$14:$CI$14)&gt;0, SUM($D$14:$CI$14)/('1_PANEL_CONTROL'!$C$10), 0)</f>
        <v>250</v>
      </c>
      <c r="J21" s="33">
        <f>IF(SUM($D$14:$CI$14)&gt;0, SUM($D$14:$CI$14)/('1_PANEL_CONTROL'!$C$10), 0)</f>
        <v>250</v>
      </c>
      <c r="K21" s="33">
        <f>IF(SUM($D$14:$CI$14)&gt;0, SUM($D$14:$CI$14)/('1_PANEL_CONTROL'!$C$10), 0)</f>
        <v>250</v>
      </c>
      <c r="L21" s="33">
        <f>IF(SUM($D$14:$CI$14)&gt;0, SUM($D$14:$CI$14)/('1_PANEL_CONTROL'!$C$10), 0)</f>
        <v>250</v>
      </c>
      <c r="M21" s="33">
        <f>IF(SUM($D$14:$CI$14)&gt;0, SUM($D$14:$CI$14)/('1_PANEL_CONTROL'!$C$10), 0)</f>
        <v>250</v>
      </c>
      <c r="N21" s="33">
        <f>IF(SUM($D$14:$CI$14)&gt;0, SUM($D$14:$CI$14)/('1_PANEL_CONTROL'!$C$10), 0)</f>
        <v>250</v>
      </c>
      <c r="O21" s="33">
        <f>IF(SUM($D$14:$CI$14)&gt;0, SUM($D$14:$CI$14)/('1_PANEL_CONTROL'!$C$10), 0)</f>
        <v>250</v>
      </c>
      <c r="P21" s="33">
        <f>IF(SUM($D$14:$CI$14)&gt;0, SUM($D$14:$CI$14)/('1_PANEL_CONTROL'!$C$10), 0)</f>
        <v>250</v>
      </c>
      <c r="Q21" s="33">
        <f>IF(SUM($D$14:$CI$14)&gt;0, SUM($D$14:$CI$14)/('1_PANEL_CONTROL'!$C$10), 0)</f>
        <v>250</v>
      </c>
      <c r="R21" s="33">
        <f>IF(SUM($D$14:$CI$14)&gt;0, SUM($D$14:$CI$14)/('1_PANEL_CONTROL'!$C$10), 0)</f>
        <v>250</v>
      </c>
      <c r="S21" s="33">
        <f>IF(SUM($D$14:$CI$14)&gt;0, SUM($D$14:$CI$14)/('1_PANEL_CONTROL'!$C$10), 0)</f>
        <v>250</v>
      </c>
      <c r="T21" s="33">
        <f>IF(SUM($D$14:$CI$14)&gt;0, SUM($D$14:$CI$14)/('1_PANEL_CONTROL'!$C$10), 0)</f>
        <v>250</v>
      </c>
      <c r="U21" s="33">
        <f>IF(SUM($D$14:$CI$14)&gt;0, SUM($D$14:$CI$14)/('1_PANEL_CONTROL'!$C$10), 0)</f>
        <v>250</v>
      </c>
      <c r="V21" s="33">
        <f>IF(SUM($D$14:$CI$14)&gt;0, SUM($D$14:$CI$14)/('1_PANEL_CONTROL'!$C$10), 0)</f>
        <v>250</v>
      </c>
      <c r="W21" s="33">
        <f>IF(SUM($D$14:$CI$14)&gt;0, SUM($D$14:$CI$14)/('1_PANEL_CONTROL'!$C$10), 0)</f>
        <v>250</v>
      </c>
      <c r="X21" s="33">
        <f>IF(SUM($D$14:$CI$14)&gt;0, SUM($D$14:$CI$14)/('1_PANEL_CONTROL'!$C$10), 0)</f>
        <v>250</v>
      </c>
      <c r="Y21" s="33">
        <f>IF(SUM($D$14:$CI$14)&gt;0, SUM($D$14:$CI$14)/('1_PANEL_CONTROL'!$C$10), 0)</f>
        <v>250</v>
      </c>
      <c r="Z21" s="33">
        <f>IF(SUM($D$14:$CI$14)&gt;0, SUM($D$14:$CI$14)/('1_PANEL_CONTROL'!$C$10), 0)</f>
        <v>250</v>
      </c>
      <c r="AA21" s="33">
        <f>IF(SUM($D$14:$CI$14)&gt;0, SUM($D$14:$CI$14)/('1_PANEL_CONTROL'!$C$10), 0)</f>
        <v>250</v>
      </c>
      <c r="AB21" s="33">
        <f>IF(SUM($D$14:$CI$14)&gt;0, SUM($D$14:$CI$14)/('1_PANEL_CONTROL'!$C$10), 0)</f>
        <v>250</v>
      </c>
      <c r="AC21" s="33">
        <f>IF(SUM($D$14:$CI$14)&gt;0, SUM($D$14:$CI$14)/('1_PANEL_CONTROL'!$C$10), 0)</f>
        <v>250</v>
      </c>
      <c r="AD21" s="33">
        <f>IF(SUM($D$14:$CI$14)&gt;0, SUM($D$14:$CI$14)/('1_PANEL_CONTROL'!$C$10), 0)</f>
        <v>250</v>
      </c>
      <c r="AE21" s="33">
        <f>IF(SUM($D$14:$CI$14)&gt;0, SUM($D$14:$CI$14)/('1_PANEL_CONTROL'!$C$10), 0)</f>
        <v>250</v>
      </c>
      <c r="AF21" s="33">
        <f>IF(SUM($D$14:$CI$14)&gt;0, SUM($D$14:$CI$14)/('1_PANEL_CONTROL'!$C$10), 0)</f>
        <v>250</v>
      </c>
      <c r="AG21" s="33">
        <f>IF(SUM($D$14:$CI$14)&gt;0, SUM($D$14:$CI$14)/('1_PANEL_CONTROL'!$C$10), 0)</f>
        <v>250</v>
      </c>
      <c r="AH21" s="33">
        <f>IF(SUM($D$14:$CI$14)&gt;0, SUM($D$14:$CI$14)/('1_PANEL_CONTROL'!$C$10), 0)</f>
        <v>250</v>
      </c>
      <c r="AI21" s="33">
        <f>IF(SUM($D$14:$CI$14)&gt;0, SUM($D$14:$CI$14)/('1_PANEL_CONTROL'!$C$10), 0)</f>
        <v>250</v>
      </c>
      <c r="AJ21" s="33">
        <f>IF(SUM($D$14:$CI$14)&gt;0, SUM($D$14:$CI$14)/('1_PANEL_CONTROL'!$C$10), 0)</f>
        <v>250</v>
      </c>
      <c r="AK21" s="33">
        <f>IF(SUM($D$14:$CI$14)&gt;0, SUM($D$14:$CI$14)/('1_PANEL_CONTROL'!$C$10), 0)</f>
        <v>250</v>
      </c>
      <c r="AL21" s="33">
        <f>IF(SUM($D$14:$CI$14)&gt;0, SUM($D$14:$CI$14)/('1_PANEL_CONTROL'!$C$10), 0)</f>
        <v>250</v>
      </c>
      <c r="AM21" s="33">
        <f>IF(SUM($D$14:$CI$14)&gt;0, SUM($D$14:$CI$14)/('1_PANEL_CONTROL'!$C$10), 0)</f>
        <v>250</v>
      </c>
      <c r="AN21" s="33">
        <f>IF(SUM($D$14:$CI$14)&gt;0, SUM($D$14:$CI$14)/('1_PANEL_CONTROL'!$C$10), 0)</f>
        <v>250</v>
      </c>
      <c r="AO21" s="33">
        <f>IF(SUM($D$14:$CI$14)&gt;0, SUM($D$14:$CI$14)/('1_PANEL_CONTROL'!$C$10), 0)</f>
        <v>250</v>
      </c>
      <c r="AP21" s="33">
        <f>IF(SUM($D$14:$CI$14)&gt;0, SUM($D$14:$CI$14)/('1_PANEL_CONTROL'!$C$10), 0)</f>
        <v>250</v>
      </c>
      <c r="AQ21" s="33">
        <f>IF(SUM($D$14:$CI$14)&gt;0, SUM($D$14:$CI$14)/('1_PANEL_CONTROL'!$C$10), 0)</f>
        <v>250</v>
      </c>
      <c r="AR21" s="33">
        <f>IF(SUM($D$14:$CI$14)&gt;0, SUM($D$14:$CI$14)/('1_PANEL_CONTROL'!$C$10), 0)</f>
        <v>250</v>
      </c>
      <c r="AS21" s="33">
        <f>IF(SUM($D$14:$CI$14)&gt;0, SUM($D$14:$CI$14)/('1_PANEL_CONTROL'!$C$10), 0)</f>
        <v>250</v>
      </c>
      <c r="AT21" s="33">
        <f>IF(SUM($D$14:$CI$14)&gt;0, SUM($D$14:$CI$14)/('1_PANEL_CONTROL'!$C$10), 0)</f>
        <v>250</v>
      </c>
      <c r="AU21" s="33">
        <f>IF(SUM($D$14:$CI$14)&gt;0, SUM($D$14:$CI$14)/('1_PANEL_CONTROL'!$C$10), 0)</f>
        <v>250</v>
      </c>
      <c r="AV21" s="33">
        <f>IF(SUM($D$14:$CI$14)&gt;0, SUM($D$14:$CI$14)/('1_PANEL_CONTROL'!$C$10), 0)</f>
        <v>250</v>
      </c>
      <c r="AW21" s="33">
        <f>IF(SUM($D$14:$CI$14)&gt;0, SUM($D$14:$CI$14)/('1_PANEL_CONTROL'!$C$10), 0)</f>
        <v>250</v>
      </c>
      <c r="AX21" s="33">
        <f>IF(SUM($D$14:$CI$14)&gt;0, SUM($D$14:$CI$14)/('1_PANEL_CONTROL'!$C$10), 0)</f>
        <v>250</v>
      </c>
      <c r="AY21" s="33">
        <f>IF(SUM($D$14:$CI$14)&gt;0, SUM($D$14:$CI$14)/('1_PANEL_CONTROL'!$C$10), 0)</f>
        <v>250</v>
      </c>
      <c r="AZ21" s="33">
        <f>IF(SUM($D$14:$CI$14)&gt;0, SUM($D$14:$CI$14)/('1_PANEL_CONTROL'!$C$10), 0)</f>
        <v>250</v>
      </c>
      <c r="BA21" s="33">
        <f>IF(SUM($D$14:$CI$14)&gt;0, SUM($D$14:$CI$14)/('1_PANEL_CONTROL'!$C$10), 0)</f>
        <v>250</v>
      </c>
      <c r="BB21" s="33">
        <f>IF(SUM($D$14:$CI$14)&gt;0, SUM($D$14:$CI$14)/('1_PANEL_CONTROL'!$C$10), 0)</f>
        <v>250</v>
      </c>
      <c r="BC21" s="33">
        <f>IF(SUM($D$14:$CI$14)&gt;0, SUM($D$14:$CI$14)/('1_PANEL_CONTROL'!$C$10), 0)</f>
        <v>250</v>
      </c>
      <c r="BD21" s="33">
        <f>IF(SUM($D$14:$CI$14)&gt;0, SUM($D$14:$CI$14)/('1_PANEL_CONTROL'!$C$10), 0)</f>
        <v>250</v>
      </c>
      <c r="BE21" s="33">
        <f>IF(SUM($D$14:$CI$14)&gt;0, SUM($D$14:$CI$14)/('1_PANEL_CONTROL'!$C$10), 0)</f>
        <v>250</v>
      </c>
      <c r="BF21" s="33">
        <f>IF(SUM($D$14:$CI$14)&gt;0, SUM($D$14:$CI$14)/('1_PANEL_CONTROL'!$C$10), 0)</f>
        <v>250</v>
      </c>
      <c r="BG21" s="33">
        <f>IF(SUM($D$14:$CI$14)&gt;0, SUM($D$14:$CI$14)/('1_PANEL_CONTROL'!$C$10), 0)</f>
        <v>250</v>
      </c>
      <c r="BH21" s="33">
        <f>IF(SUM($D$14:$CI$14)&gt;0, SUM($D$14:$CI$14)/('1_PANEL_CONTROL'!$C$10), 0)</f>
        <v>250</v>
      </c>
      <c r="BI21" s="33">
        <f>IF(SUM($D$14:$CI$14)&gt;0, SUM($D$14:$CI$14)/('1_PANEL_CONTROL'!$C$10), 0)</f>
        <v>250</v>
      </c>
      <c r="BJ21" s="33">
        <f>IF(SUM($D$14:$CI$14)&gt;0, SUM($D$14:$CI$14)/('1_PANEL_CONTROL'!$C$10), 0)</f>
        <v>250</v>
      </c>
      <c r="BK21" s="33">
        <f>IF(SUM($D$14:$CI$14)&gt;0, SUM($D$14:$CI$14)/('1_PANEL_CONTROL'!$C$10), 0)</f>
        <v>250</v>
      </c>
      <c r="BL21" s="33">
        <f>IF(SUM($D$14:$CI$14)&gt;0, SUM($D$14:$CI$14)/('1_PANEL_CONTROL'!$C$10), 0)</f>
        <v>250</v>
      </c>
      <c r="BM21" s="33">
        <f>IF(SUM($D$14:$CI$14)&gt;0, SUM($D$14:$CI$14)/('1_PANEL_CONTROL'!$C$10), 0)</f>
        <v>250</v>
      </c>
      <c r="BN21" s="33">
        <f>IF(SUM($D$14:$CI$14)&gt;0, SUM($D$14:$CI$14)/('1_PANEL_CONTROL'!$C$10), 0)</f>
        <v>250</v>
      </c>
      <c r="BO21" s="33">
        <f>IF(SUM($D$14:$CI$14)&gt;0, SUM($D$14:$CI$14)/('1_PANEL_CONTROL'!$C$10), 0)</f>
        <v>250</v>
      </c>
      <c r="BP21" s="33">
        <f>IF(SUM($D$14:$CI$14)&gt;0, SUM($D$14:$CI$14)/('1_PANEL_CONTROL'!$C$10), 0)</f>
        <v>250</v>
      </c>
      <c r="BQ21" s="33">
        <f>IF(SUM($D$14:$CI$14)&gt;0, SUM($D$14:$CI$14)/('1_PANEL_CONTROL'!$C$10), 0)</f>
        <v>250</v>
      </c>
      <c r="BR21" s="33">
        <f>IF(SUM($D$14:$CI$14)&gt;0, SUM($D$14:$CI$14)/('1_PANEL_CONTROL'!$C$10), 0)</f>
        <v>250</v>
      </c>
      <c r="BS21" s="33">
        <f>IF(SUM($D$14:$CI$14)&gt;0, SUM($D$14:$CI$14)/('1_PANEL_CONTROL'!$C$10), 0)</f>
        <v>250</v>
      </c>
      <c r="BT21" s="33">
        <f>IF(SUM($D$14:$CI$14)&gt;0, SUM($D$14:$CI$14)/('1_PANEL_CONTROL'!$C$10), 0)</f>
        <v>250</v>
      </c>
      <c r="BU21" s="33">
        <f>IF(SUM($D$14:$CI$14)&gt;0, SUM($D$14:$CI$14)/('1_PANEL_CONTROL'!$C$10), 0)</f>
        <v>250</v>
      </c>
      <c r="BV21" s="33">
        <f>IF(SUM($D$14:$CI$14)&gt;0, SUM($D$14:$CI$14)/('1_PANEL_CONTROL'!$C$10), 0)</f>
        <v>250</v>
      </c>
      <c r="BW21" s="33">
        <f>IF(SUM($D$14:$CI$14)&gt;0, SUM($D$14:$CI$14)/('1_PANEL_CONTROL'!$C$10), 0)</f>
        <v>250</v>
      </c>
      <c r="BX21" s="33">
        <f>IF(SUM($D$14:$CI$14)&gt;0, SUM($D$14:$CI$14)/('1_PANEL_CONTROL'!$C$10), 0)</f>
        <v>250</v>
      </c>
      <c r="BY21" s="33">
        <f>IF(SUM($D$14:$CI$14)&gt;0, SUM($D$14:$CI$14)/('1_PANEL_CONTROL'!$C$10), 0)</f>
        <v>250</v>
      </c>
      <c r="BZ21" s="33">
        <f>IF(SUM($D$14:$CI$14)&gt;0, SUM($D$14:$CI$14)/('1_PANEL_CONTROL'!$C$10), 0)</f>
        <v>250</v>
      </c>
      <c r="CA21" s="33">
        <f>IF(SUM($D$14:$CI$14)&gt;0, SUM($D$14:$CI$14)/('1_PANEL_CONTROL'!$C$10), 0)</f>
        <v>250</v>
      </c>
      <c r="CB21" s="33">
        <f>IF(SUM($D$14:$CI$14)&gt;0, SUM($D$14:$CI$14)/('1_PANEL_CONTROL'!$C$10), 0)</f>
        <v>250</v>
      </c>
      <c r="CC21" s="33">
        <f>IF(SUM($D$14:$CI$14)&gt;0, SUM($D$14:$CI$14)/('1_PANEL_CONTROL'!$C$10), 0)</f>
        <v>250</v>
      </c>
      <c r="CD21" s="33">
        <f>IF(SUM($D$14:$CI$14)&gt;0, SUM($D$14:$CI$14)/('1_PANEL_CONTROL'!$C$10), 0)</f>
        <v>250</v>
      </c>
      <c r="CE21" s="33">
        <f>IF(SUM($D$14:$CI$14)&gt;0, SUM($D$14:$CI$14)/('1_PANEL_CONTROL'!$C$10), 0)</f>
        <v>250</v>
      </c>
      <c r="CF21" s="33">
        <f>IF(SUM($D$14:$CI$14)&gt;0, SUM($D$14:$CI$14)/('1_PANEL_CONTROL'!$C$10), 0)</f>
        <v>250</v>
      </c>
      <c r="CG21" s="33">
        <f>IF(SUM($D$14:$CI$14)&gt;0, SUM($D$14:$CI$14)/('1_PANEL_CONTROL'!$C$10), 0)</f>
        <v>250</v>
      </c>
      <c r="CH21" s="33">
        <f>IF(SUM($D$14:$CI$14)&gt;0, SUM($D$14:$CI$14)/('1_PANEL_CONTROL'!$C$10), 0)</f>
        <v>250</v>
      </c>
      <c r="CI21" s="33">
        <f>IF(SUM($D$14:$CI$14)&gt;0, SUM($D$14:$CI$14)/('1_PANEL_CONTROL'!$C$10), 0)</f>
        <v>250</v>
      </c>
    </row>
    <row r="22" spans="1:87" ht="16.5">
      <c r="A22" s="6" t="s">
        <v>700</v>
      </c>
      <c r="B22" s="30" t="s">
        <v>465</v>
      </c>
      <c r="C22" s="17" t="s">
        <v>695</v>
      </c>
      <c r="D22" s="33">
        <f>IF(SUM($D$15:$CI$15)&gt;0, SUM($D$15:$CI$15)/('1_PANEL_CONTROL'!$C$10), 0)</f>
        <v>0</v>
      </c>
      <c r="E22" s="33">
        <f>IF(SUM($D$15:$CI$15)&gt;0, SUM($D$15:$CI$15)/('1_PANEL_CONTROL'!$C$10), 0)</f>
        <v>0</v>
      </c>
      <c r="F22" s="33">
        <f>IF(SUM($D$15:$CI$15)&gt;0, SUM($D$15:$CI$15)/('1_PANEL_CONTROL'!$C$10), 0)</f>
        <v>0</v>
      </c>
      <c r="G22" s="33">
        <f>IF(SUM($D$15:$CI$15)&gt;0, SUM($D$15:$CI$15)/('1_PANEL_CONTROL'!$C$10), 0)</f>
        <v>0</v>
      </c>
      <c r="H22" s="33">
        <f>IF(SUM($D$15:$CI$15)&gt;0, SUM($D$15:$CI$15)/('1_PANEL_CONTROL'!$C$10), 0)</f>
        <v>0</v>
      </c>
      <c r="I22" s="33">
        <f>IF(SUM($D$15:$CI$15)&gt;0, SUM($D$15:$CI$15)/('1_PANEL_CONTROL'!$C$10), 0)</f>
        <v>0</v>
      </c>
      <c r="J22" s="33">
        <f>IF(SUM($D$15:$CI$15)&gt;0, SUM($D$15:$CI$15)/('1_PANEL_CONTROL'!$C$10), 0)</f>
        <v>0</v>
      </c>
      <c r="K22" s="33">
        <f>IF(SUM($D$15:$CI$15)&gt;0, SUM($D$15:$CI$15)/('1_PANEL_CONTROL'!$C$10), 0)</f>
        <v>0</v>
      </c>
      <c r="L22" s="33">
        <f>IF(SUM($D$15:$CI$15)&gt;0, SUM($D$15:$CI$15)/('1_PANEL_CONTROL'!$C$10), 0)</f>
        <v>0</v>
      </c>
      <c r="M22" s="33">
        <f>IF(SUM($D$15:$CI$15)&gt;0, SUM($D$15:$CI$15)/('1_PANEL_CONTROL'!$C$10), 0)</f>
        <v>0</v>
      </c>
      <c r="N22" s="33">
        <f>IF(SUM($D$15:$CI$15)&gt;0, SUM($D$15:$CI$15)/('1_PANEL_CONTROL'!$C$10), 0)</f>
        <v>0</v>
      </c>
      <c r="O22" s="33">
        <f>IF(SUM($D$15:$CI$15)&gt;0, SUM($D$15:$CI$15)/('1_PANEL_CONTROL'!$C$10), 0)</f>
        <v>0</v>
      </c>
      <c r="P22" s="33">
        <f>IF(SUM($D$15:$CI$15)&gt;0, SUM($D$15:$CI$15)/('1_PANEL_CONTROL'!$C$10), 0)</f>
        <v>0</v>
      </c>
      <c r="Q22" s="33">
        <f>IF(SUM($D$15:$CI$15)&gt;0, SUM($D$15:$CI$15)/('1_PANEL_CONTROL'!$C$10), 0)</f>
        <v>0</v>
      </c>
      <c r="R22" s="33">
        <f>IF(SUM($D$15:$CI$15)&gt;0, SUM($D$15:$CI$15)/('1_PANEL_CONTROL'!$C$10), 0)</f>
        <v>0</v>
      </c>
      <c r="S22" s="33">
        <f>IF(SUM($D$15:$CI$15)&gt;0, SUM($D$15:$CI$15)/('1_PANEL_CONTROL'!$C$10), 0)</f>
        <v>0</v>
      </c>
      <c r="T22" s="33">
        <f>IF(SUM($D$15:$CI$15)&gt;0, SUM($D$15:$CI$15)/('1_PANEL_CONTROL'!$C$10), 0)</f>
        <v>0</v>
      </c>
      <c r="U22" s="33">
        <f>IF(SUM($D$15:$CI$15)&gt;0, SUM($D$15:$CI$15)/('1_PANEL_CONTROL'!$C$10), 0)</f>
        <v>0</v>
      </c>
      <c r="V22" s="33">
        <f>IF(SUM($D$15:$CI$15)&gt;0, SUM($D$15:$CI$15)/('1_PANEL_CONTROL'!$C$10), 0)</f>
        <v>0</v>
      </c>
      <c r="W22" s="33">
        <f>IF(SUM($D$15:$CI$15)&gt;0, SUM($D$15:$CI$15)/('1_PANEL_CONTROL'!$C$10), 0)</f>
        <v>0</v>
      </c>
      <c r="X22" s="33">
        <f>IF(SUM($D$15:$CI$15)&gt;0, SUM($D$15:$CI$15)/('1_PANEL_CONTROL'!$C$10), 0)</f>
        <v>0</v>
      </c>
      <c r="Y22" s="33">
        <f>IF(SUM($D$15:$CI$15)&gt;0, SUM($D$15:$CI$15)/('1_PANEL_CONTROL'!$C$10), 0)</f>
        <v>0</v>
      </c>
      <c r="Z22" s="33">
        <f>IF(SUM($D$15:$CI$15)&gt;0, SUM($D$15:$CI$15)/('1_PANEL_CONTROL'!$C$10), 0)</f>
        <v>0</v>
      </c>
      <c r="AA22" s="33">
        <f>IF(SUM($D$15:$CI$15)&gt;0, SUM($D$15:$CI$15)/('1_PANEL_CONTROL'!$C$10), 0)</f>
        <v>0</v>
      </c>
      <c r="AB22" s="33">
        <f>IF(SUM($D$15:$CI$15)&gt;0, SUM($D$15:$CI$15)/('1_PANEL_CONTROL'!$C$10), 0)</f>
        <v>0</v>
      </c>
      <c r="AC22" s="33">
        <f>IF(SUM($D$15:$CI$15)&gt;0, SUM($D$15:$CI$15)/('1_PANEL_CONTROL'!$C$10), 0)</f>
        <v>0</v>
      </c>
      <c r="AD22" s="33">
        <f>IF(SUM($D$15:$CI$15)&gt;0, SUM($D$15:$CI$15)/('1_PANEL_CONTROL'!$C$10), 0)</f>
        <v>0</v>
      </c>
      <c r="AE22" s="33">
        <f>IF(SUM($D$15:$CI$15)&gt;0, SUM($D$15:$CI$15)/('1_PANEL_CONTROL'!$C$10), 0)</f>
        <v>0</v>
      </c>
      <c r="AF22" s="33">
        <f>IF(SUM($D$15:$CI$15)&gt;0, SUM($D$15:$CI$15)/('1_PANEL_CONTROL'!$C$10), 0)</f>
        <v>0</v>
      </c>
      <c r="AG22" s="33">
        <f>IF(SUM($D$15:$CI$15)&gt;0, SUM($D$15:$CI$15)/('1_PANEL_CONTROL'!$C$10), 0)</f>
        <v>0</v>
      </c>
      <c r="AH22" s="33">
        <f>IF(SUM($D$15:$CI$15)&gt;0, SUM($D$15:$CI$15)/('1_PANEL_CONTROL'!$C$10), 0)</f>
        <v>0</v>
      </c>
      <c r="AI22" s="33">
        <f>IF(SUM($D$15:$CI$15)&gt;0, SUM($D$15:$CI$15)/('1_PANEL_CONTROL'!$C$10), 0)</f>
        <v>0</v>
      </c>
      <c r="AJ22" s="33">
        <f>IF(SUM($D$15:$CI$15)&gt;0, SUM($D$15:$CI$15)/('1_PANEL_CONTROL'!$C$10), 0)</f>
        <v>0</v>
      </c>
      <c r="AK22" s="33">
        <f>IF(SUM($D$15:$CI$15)&gt;0, SUM($D$15:$CI$15)/('1_PANEL_CONTROL'!$C$10), 0)</f>
        <v>0</v>
      </c>
      <c r="AL22" s="33">
        <f>IF(SUM($D$15:$CI$15)&gt;0, SUM($D$15:$CI$15)/('1_PANEL_CONTROL'!$C$10), 0)</f>
        <v>0</v>
      </c>
      <c r="AM22" s="33">
        <f>IF(SUM($D$15:$CI$15)&gt;0, SUM($D$15:$CI$15)/('1_PANEL_CONTROL'!$C$10), 0)</f>
        <v>0</v>
      </c>
      <c r="AN22" s="33">
        <f>IF(SUM($D$15:$CI$15)&gt;0, SUM($D$15:$CI$15)/('1_PANEL_CONTROL'!$C$10), 0)</f>
        <v>0</v>
      </c>
      <c r="AO22" s="33">
        <f>IF(SUM($D$15:$CI$15)&gt;0, SUM($D$15:$CI$15)/('1_PANEL_CONTROL'!$C$10), 0)</f>
        <v>0</v>
      </c>
      <c r="AP22" s="33">
        <f>IF(SUM($D$15:$CI$15)&gt;0, SUM($D$15:$CI$15)/('1_PANEL_CONTROL'!$C$10), 0)</f>
        <v>0</v>
      </c>
      <c r="AQ22" s="33">
        <f>IF(SUM($D$15:$CI$15)&gt;0, SUM($D$15:$CI$15)/('1_PANEL_CONTROL'!$C$10), 0)</f>
        <v>0</v>
      </c>
      <c r="AR22" s="33">
        <f>IF(SUM($D$15:$CI$15)&gt;0, SUM($D$15:$CI$15)/('1_PANEL_CONTROL'!$C$10), 0)</f>
        <v>0</v>
      </c>
      <c r="AS22" s="33">
        <f>IF(SUM($D$15:$CI$15)&gt;0, SUM($D$15:$CI$15)/('1_PANEL_CONTROL'!$C$10), 0)</f>
        <v>0</v>
      </c>
      <c r="AT22" s="33">
        <f>IF(SUM($D$15:$CI$15)&gt;0, SUM($D$15:$CI$15)/('1_PANEL_CONTROL'!$C$10), 0)</f>
        <v>0</v>
      </c>
      <c r="AU22" s="33">
        <f>IF(SUM($D$15:$CI$15)&gt;0, SUM($D$15:$CI$15)/('1_PANEL_CONTROL'!$C$10), 0)</f>
        <v>0</v>
      </c>
      <c r="AV22" s="33">
        <f>IF(SUM($D$15:$CI$15)&gt;0, SUM($D$15:$CI$15)/('1_PANEL_CONTROL'!$C$10), 0)</f>
        <v>0</v>
      </c>
      <c r="AW22" s="33">
        <f>IF(SUM($D$15:$CI$15)&gt;0, SUM($D$15:$CI$15)/('1_PANEL_CONTROL'!$C$10), 0)</f>
        <v>0</v>
      </c>
      <c r="AX22" s="33">
        <f>IF(SUM($D$15:$CI$15)&gt;0, SUM($D$15:$CI$15)/('1_PANEL_CONTROL'!$C$10), 0)</f>
        <v>0</v>
      </c>
      <c r="AY22" s="33">
        <f>IF(SUM($D$15:$CI$15)&gt;0, SUM($D$15:$CI$15)/('1_PANEL_CONTROL'!$C$10), 0)</f>
        <v>0</v>
      </c>
      <c r="AZ22" s="33">
        <f>IF(SUM($D$15:$CI$15)&gt;0, SUM($D$15:$CI$15)/('1_PANEL_CONTROL'!$C$10), 0)</f>
        <v>0</v>
      </c>
      <c r="BA22" s="33">
        <f>IF(SUM($D$15:$CI$15)&gt;0, SUM($D$15:$CI$15)/('1_PANEL_CONTROL'!$C$10), 0)</f>
        <v>0</v>
      </c>
      <c r="BB22" s="33">
        <f>IF(SUM($D$15:$CI$15)&gt;0, SUM($D$15:$CI$15)/('1_PANEL_CONTROL'!$C$10), 0)</f>
        <v>0</v>
      </c>
      <c r="BC22" s="33">
        <f>IF(SUM($D$15:$CI$15)&gt;0, SUM($D$15:$CI$15)/('1_PANEL_CONTROL'!$C$10), 0)</f>
        <v>0</v>
      </c>
      <c r="BD22" s="33">
        <f>IF(SUM($D$15:$CI$15)&gt;0, SUM($D$15:$CI$15)/('1_PANEL_CONTROL'!$C$10), 0)</f>
        <v>0</v>
      </c>
      <c r="BE22" s="33">
        <f>IF(SUM($D$15:$CI$15)&gt;0, SUM($D$15:$CI$15)/('1_PANEL_CONTROL'!$C$10), 0)</f>
        <v>0</v>
      </c>
      <c r="BF22" s="33">
        <f>IF(SUM($D$15:$CI$15)&gt;0, SUM($D$15:$CI$15)/('1_PANEL_CONTROL'!$C$10), 0)</f>
        <v>0</v>
      </c>
      <c r="BG22" s="33">
        <f>IF(SUM($D$15:$CI$15)&gt;0, SUM($D$15:$CI$15)/('1_PANEL_CONTROL'!$C$10), 0)</f>
        <v>0</v>
      </c>
      <c r="BH22" s="33">
        <f>IF(SUM($D$15:$CI$15)&gt;0, SUM($D$15:$CI$15)/('1_PANEL_CONTROL'!$C$10), 0)</f>
        <v>0</v>
      </c>
      <c r="BI22" s="33">
        <f>IF(SUM($D$15:$CI$15)&gt;0, SUM($D$15:$CI$15)/('1_PANEL_CONTROL'!$C$10), 0)</f>
        <v>0</v>
      </c>
      <c r="BJ22" s="33">
        <f>IF(SUM($D$15:$CI$15)&gt;0, SUM($D$15:$CI$15)/('1_PANEL_CONTROL'!$C$10), 0)</f>
        <v>0</v>
      </c>
      <c r="BK22" s="33">
        <f>IF(SUM($D$15:$CI$15)&gt;0, SUM($D$15:$CI$15)/('1_PANEL_CONTROL'!$C$10), 0)</f>
        <v>0</v>
      </c>
      <c r="BL22" s="33">
        <f>IF(SUM($D$15:$CI$15)&gt;0, SUM($D$15:$CI$15)/('1_PANEL_CONTROL'!$C$10), 0)</f>
        <v>0</v>
      </c>
      <c r="BM22" s="33">
        <f>IF(SUM($D$15:$CI$15)&gt;0, SUM($D$15:$CI$15)/('1_PANEL_CONTROL'!$C$10), 0)</f>
        <v>0</v>
      </c>
      <c r="BN22" s="33">
        <f>IF(SUM($D$15:$CI$15)&gt;0, SUM($D$15:$CI$15)/('1_PANEL_CONTROL'!$C$10), 0)</f>
        <v>0</v>
      </c>
      <c r="BO22" s="33">
        <f>IF(SUM($D$15:$CI$15)&gt;0, SUM($D$15:$CI$15)/('1_PANEL_CONTROL'!$C$10), 0)</f>
        <v>0</v>
      </c>
      <c r="BP22" s="33">
        <f>IF(SUM($D$15:$CI$15)&gt;0, SUM($D$15:$CI$15)/('1_PANEL_CONTROL'!$C$10), 0)</f>
        <v>0</v>
      </c>
      <c r="BQ22" s="33">
        <f>IF(SUM($D$15:$CI$15)&gt;0, SUM($D$15:$CI$15)/('1_PANEL_CONTROL'!$C$10), 0)</f>
        <v>0</v>
      </c>
      <c r="BR22" s="33">
        <f>IF(SUM($D$15:$CI$15)&gt;0, SUM($D$15:$CI$15)/('1_PANEL_CONTROL'!$C$10), 0)</f>
        <v>0</v>
      </c>
      <c r="BS22" s="33">
        <f>IF(SUM($D$15:$CI$15)&gt;0, SUM($D$15:$CI$15)/('1_PANEL_CONTROL'!$C$10), 0)</f>
        <v>0</v>
      </c>
      <c r="BT22" s="33">
        <f>IF(SUM($D$15:$CI$15)&gt;0, SUM($D$15:$CI$15)/('1_PANEL_CONTROL'!$C$10), 0)</f>
        <v>0</v>
      </c>
      <c r="BU22" s="33">
        <f>IF(SUM($D$15:$CI$15)&gt;0, SUM($D$15:$CI$15)/('1_PANEL_CONTROL'!$C$10), 0)</f>
        <v>0</v>
      </c>
      <c r="BV22" s="33">
        <f>IF(SUM($D$15:$CI$15)&gt;0, SUM($D$15:$CI$15)/('1_PANEL_CONTROL'!$C$10), 0)</f>
        <v>0</v>
      </c>
      <c r="BW22" s="33">
        <f>IF(SUM($D$15:$CI$15)&gt;0, SUM($D$15:$CI$15)/('1_PANEL_CONTROL'!$C$10), 0)</f>
        <v>0</v>
      </c>
      <c r="BX22" s="33">
        <f>IF(SUM($D$15:$CI$15)&gt;0, SUM($D$15:$CI$15)/('1_PANEL_CONTROL'!$C$10), 0)</f>
        <v>0</v>
      </c>
      <c r="BY22" s="33">
        <f>IF(SUM($D$15:$CI$15)&gt;0, SUM($D$15:$CI$15)/('1_PANEL_CONTROL'!$C$10), 0)</f>
        <v>0</v>
      </c>
      <c r="BZ22" s="33">
        <f>IF(SUM($D$15:$CI$15)&gt;0, SUM($D$15:$CI$15)/('1_PANEL_CONTROL'!$C$10), 0)</f>
        <v>0</v>
      </c>
      <c r="CA22" s="33">
        <f>IF(SUM($D$15:$CI$15)&gt;0, SUM($D$15:$CI$15)/('1_PANEL_CONTROL'!$C$10), 0)</f>
        <v>0</v>
      </c>
      <c r="CB22" s="33">
        <f>IF(SUM($D$15:$CI$15)&gt;0, SUM($D$15:$CI$15)/('1_PANEL_CONTROL'!$C$10), 0)</f>
        <v>0</v>
      </c>
      <c r="CC22" s="33">
        <f>IF(SUM($D$15:$CI$15)&gt;0, SUM($D$15:$CI$15)/('1_PANEL_CONTROL'!$C$10), 0)</f>
        <v>0</v>
      </c>
      <c r="CD22" s="33">
        <f>IF(SUM($D$15:$CI$15)&gt;0, SUM($D$15:$CI$15)/('1_PANEL_CONTROL'!$C$10), 0)</f>
        <v>0</v>
      </c>
      <c r="CE22" s="33">
        <f>IF(SUM($D$15:$CI$15)&gt;0, SUM($D$15:$CI$15)/('1_PANEL_CONTROL'!$C$10), 0)</f>
        <v>0</v>
      </c>
      <c r="CF22" s="33">
        <f>IF(SUM($D$15:$CI$15)&gt;0, SUM($D$15:$CI$15)/('1_PANEL_CONTROL'!$C$10), 0)</f>
        <v>0</v>
      </c>
      <c r="CG22" s="33">
        <f>IF(SUM($D$15:$CI$15)&gt;0, SUM($D$15:$CI$15)/('1_PANEL_CONTROL'!$C$10), 0)</f>
        <v>0</v>
      </c>
      <c r="CH22" s="33">
        <f>IF(SUM($D$15:$CI$15)&gt;0, SUM($D$15:$CI$15)/('1_PANEL_CONTROL'!$C$10), 0)</f>
        <v>0</v>
      </c>
      <c r="CI22" s="33">
        <f>IF(SUM($D$15:$CI$15)&gt;0, SUM($D$15:$CI$15)/('1_PANEL_CONTROL'!$C$10), 0)</f>
        <v>0</v>
      </c>
    </row>
    <row r="23" spans="1:87" ht="16.5">
      <c r="A23" s="5" t="s">
        <v>701</v>
      </c>
      <c r="B23" s="30" t="s">
        <v>465</v>
      </c>
      <c r="C23" s="17" t="s">
        <v>556</v>
      </c>
      <c r="D23" s="36">
        <f t="shared" ref="D23:AI23" si="3">SUM(D17:D22)</f>
        <v>730.76666666666665</v>
      </c>
      <c r="E23" s="36">
        <f t="shared" si="3"/>
        <v>730.76666666666665</v>
      </c>
      <c r="F23" s="36">
        <f t="shared" si="3"/>
        <v>730.76666666666665</v>
      </c>
      <c r="G23" s="36">
        <f t="shared" si="3"/>
        <v>730.76666666666665</v>
      </c>
      <c r="H23" s="36">
        <f t="shared" si="3"/>
        <v>730.76666666666665</v>
      </c>
      <c r="I23" s="36">
        <f t="shared" si="3"/>
        <v>730.76666666666665</v>
      </c>
      <c r="J23" s="36">
        <f t="shared" si="3"/>
        <v>730.76666666666665</v>
      </c>
      <c r="K23" s="36">
        <f t="shared" si="3"/>
        <v>730.76666666666665</v>
      </c>
      <c r="L23" s="36">
        <f t="shared" si="3"/>
        <v>730.76666666666665</v>
      </c>
      <c r="M23" s="36">
        <f t="shared" si="3"/>
        <v>730.76666666666665</v>
      </c>
      <c r="N23" s="36">
        <f t="shared" si="3"/>
        <v>730.76666666666665</v>
      </c>
      <c r="O23" s="36">
        <f t="shared" si="3"/>
        <v>730.76666666666665</v>
      </c>
      <c r="P23" s="36">
        <f t="shared" si="3"/>
        <v>730.76666666666665</v>
      </c>
      <c r="Q23" s="36">
        <f t="shared" si="3"/>
        <v>730.76666666666665</v>
      </c>
      <c r="R23" s="36">
        <f t="shared" si="3"/>
        <v>730.76666666666665</v>
      </c>
      <c r="S23" s="36">
        <f t="shared" si="3"/>
        <v>730.76666666666665</v>
      </c>
      <c r="T23" s="36">
        <f t="shared" si="3"/>
        <v>730.76666666666665</v>
      </c>
      <c r="U23" s="36">
        <f t="shared" si="3"/>
        <v>730.76666666666665</v>
      </c>
      <c r="V23" s="36">
        <f t="shared" si="3"/>
        <v>730.76666666666665</v>
      </c>
      <c r="W23" s="36">
        <f t="shared" si="3"/>
        <v>730.76666666666665</v>
      </c>
      <c r="X23" s="36">
        <f t="shared" si="3"/>
        <v>730.76666666666665</v>
      </c>
      <c r="Y23" s="36">
        <f t="shared" si="3"/>
        <v>730.76666666666665</v>
      </c>
      <c r="Z23" s="36">
        <f t="shared" si="3"/>
        <v>730.76666666666665</v>
      </c>
      <c r="AA23" s="36">
        <f t="shared" si="3"/>
        <v>730.76666666666665</v>
      </c>
      <c r="AB23" s="36">
        <f t="shared" si="3"/>
        <v>730.76666666666665</v>
      </c>
      <c r="AC23" s="36">
        <f t="shared" si="3"/>
        <v>730.76666666666665</v>
      </c>
      <c r="AD23" s="36">
        <f t="shared" si="3"/>
        <v>730.76666666666665</v>
      </c>
      <c r="AE23" s="36">
        <f t="shared" si="3"/>
        <v>730.76666666666665</v>
      </c>
      <c r="AF23" s="36">
        <f t="shared" si="3"/>
        <v>730.76666666666665</v>
      </c>
      <c r="AG23" s="36">
        <f t="shared" si="3"/>
        <v>730.76666666666665</v>
      </c>
      <c r="AH23" s="36">
        <f t="shared" si="3"/>
        <v>730.76666666666665</v>
      </c>
      <c r="AI23" s="36">
        <f t="shared" si="3"/>
        <v>730.76666666666665</v>
      </c>
      <c r="AJ23" s="36">
        <f t="shared" ref="AJ23:BO23" si="4">SUM(AJ17:AJ22)</f>
        <v>730.76666666666665</v>
      </c>
      <c r="AK23" s="36">
        <f t="shared" si="4"/>
        <v>730.76666666666665</v>
      </c>
      <c r="AL23" s="36">
        <f t="shared" si="4"/>
        <v>730.76666666666665</v>
      </c>
      <c r="AM23" s="36">
        <f t="shared" si="4"/>
        <v>730.76666666666665</v>
      </c>
      <c r="AN23" s="36">
        <f t="shared" si="4"/>
        <v>730.76666666666665</v>
      </c>
      <c r="AO23" s="36">
        <f t="shared" si="4"/>
        <v>730.76666666666665</v>
      </c>
      <c r="AP23" s="36">
        <f t="shared" si="4"/>
        <v>730.76666666666665</v>
      </c>
      <c r="AQ23" s="36">
        <f t="shared" si="4"/>
        <v>730.76666666666665</v>
      </c>
      <c r="AR23" s="36">
        <f t="shared" si="4"/>
        <v>730.76666666666665</v>
      </c>
      <c r="AS23" s="36">
        <f t="shared" si="4"/>
        <v>730.76666666666665</v>
      </c>
      <c r="AT23" s="36">
        <f t="shared" si="4"/>
        <v>730.76666666666665</v>
      </c>
      <c r="AU23" s="36">
        <f t="shared" si="4"/>
        <v>730.76666666666665</v>
      </c>
      <c r="AV23" s="36">
        <f t="shared" si="4"/>
        <v>730.76666666666665</v>
      </c>
      <c r="AW23" s="36">
        <f t="shared" si="4"/>
        <v>730.76666666666665</v>
      </c>
      <c r="AX23" s="36">
        <f t="shared" si="4"/>
        <v>730.76666666666665</v>
      </c>
      <c r="AY23" s="36">
        <f t="shared" si="4"/>
        <v>730.76666666666665</v>
      </c>
      <c r="AZ23" s="36">
        <f t="shared" si="4"/>
        <v>730.76666666666665</v>
      </c>
      <c r="BA23" s="36">
        <f t="shared" si="4"/>
        <v>730.76666666666665</v>
      </c>
      <c r="BB23" s="36">
        <f t="shared" si="4"/>
        <v>730.76666666666665</v>
      </c>
      <c r="BC23" s="36">
        <f t="shared" si="4"/>
        <v>730.76666666666665</v>
      </c>
      <c r="BD23" s="36">
        <f t="shared" si="4"/>
        <v>730.76666666666665</v>
      </c>
      <c r="BE23" s="36">
        <f t="shared" si="4"/>
        <v>730.76666666666665</v>
      </c>
      <c r="BF23" s="36">
        <f t="shared" si="4"/>
        <v>730.76666666666665</v>
      </c>
      <c r="BG23" s="36">
        <f t="shared" si="4"/>
        <v>730.76666666666665</v>
      </c>
      <c r="BH23" s="36">
        <f t="shared" si="4"/>
        <v>730.76666666666665</v>
      </c>
      <c r="BI23" s="36">
        <f t="shared" si="4"/>
        <v>730.76666666666665</v>
      </c>
      <c r="BJ23" s="36">
        <f t="shared" si="4"/>
        <v>730.76666666666665</v>
      </c>
      <c r="BK23" s="36">
        <f t="shared" si="4"/>
        <v>730.76666666666665</v>
      </c>
      <c r="BL23" s="36">
        <f t="shared" si="4"/>
        <v>730.76666666666665</v>
      </c>
      <c r="BM23" s="36">
        <f t="shared" si="4"/>
        <v>730.76666666666665</v>
      </c>
      <c r="BN23" s="36">
        <f t="shared" si="4"/>
        <v>730.76666666666665</v>
      </c>
      <c r="BO23" s="36">
        <f t="shared" si="4"/>
        <v>730.76666666666665</v>
      </c>
      <c r="BP23" s="36">
        <f t="shared" ref="BP23:CU23" si="5">SUM(BP17:BP22)</f>
        <v>730.76666666666665</v>
      </c>
      <c r="BQ23" s="36">
        <f t="shared" si="5"/>
        <v>730.76666666666665</v>
      </c>
      <c r="BR23" s="36">
        <f t="shared" si="5"/>
        <v>730.76666666666665</v>
      </c>
      <c r="BS23" s="36">
        <f t="shared" si="5"/>
        <v>730.76666666666665</v>
      </c>
      <c r="BT23" s="36">
        <f t="shared" si="5"/>
        <v>730.76666666666665</v>
      </c>
      <c r="BU23" s="36">
        <f t="shared" si="5"/>
        <v>730.76666666666665</v>
      </c>
      <c r="BV23" s="36">
        <f t="shared" si="5"/>
        <v>730.76666666666665</v>
      </c>
      <c r="BW23" s="36">
        <f t="shared" si="5"/>
        <v>730.76666666666665</v>
      </c>
      <c r="BX23" s="36">
        <f t="shared" si="5"/>
        <v>730.76666666666665</v>
      </c>
      <c r="BY23" s="36">
        <f t="shared" si="5"/>
        <v>730.76666666666665</v>
      </c>
      <c r="BZ23" s="36">
        <f t="shared" si="5"/>
        <v>730.76666666666665</v>
      </c>
      <c r="CA23" s="36">
        <f t="shared" si="5"/>
        <v>730.76666666666665</v>
      </c>
      <c r="CB23" s="36">
        <f t="shared" si="5"/>
        <v>730.76666666666665</v>
      </c>
      <c r="CC23" s="36">
        <f t="shared" si="5"/>
        <v>730.76666666666665</v>
      </c>
      <c r="CD23" s="36">
        <f t="shared" si="5"/>
        <v>730.76666666666665</v>
      </c>
      <c r="CE23" s="36">
        <f t="shared" si="5"/>
        <v>730.76666666666665</v>
      </c>
      <c r="CF23" s="36">
        <f t="shared" si="5"/>
        <v>730.76666666666665</v>
      </c>
      <c r="CG23" s="36">
        <f t="shared" si="5"/>
        <v>730.76666666666665</v>
      </c>
      <c r="CH23" s="36">
        <f t="shared" si="5"/>
        <v>730.76666666666665</v>
      </c>
      <c r="CI23" s="36">
        <f t="shared" si="5"/>
        <v>730.76666666666665</v>
      </c>
    </row>
    <row r="24" spans="1:87" ht="16">
      <c r="A24" s="131" t="s">
        <v>702</v>
      </c>
      <c r="B24" s="112"/>
      <c r="C24" s="113"/>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row>
    <row r="25" spans="1:87" ht="16.5">
      <c r="A25" s="6" t="s">
        <v>703</v>
      </c>
      <c r="B25" s="30" t="s">
        <v>465</v>
      </c>
      <c r="C25" s="17" t="s">
        <v>704</v>
      </c>
      <c r="D25" s="33">
        <v>0</v>
      </c>
      <c r="E25" s="33">
        <f t="shared" ref="E25:AJ25" si="6">D37</f>
        <v>160450.49936750002</v>
      </c>
      <c r="F25" s="33">
        <f t="shared" si="6"/>
        <v>149647.02174000003</v>
      </c>
      <c r="G25" s="33">
        <f t="shared" si="6"/>
        <v>141181.73324390003</v>
      </c>
      <c r="H25" s="33">
        <f t="shared" si="6"/>
        <v>137729.81651871203</v>
      </c>
      <c r="I25" s="33">
        <f t="shared" si="6"/>
        <v>136145.733688109</v>
      </c>
      <c r="J25" s="33">
        <f t="shared" si="6"/>
        <v>136580.65694665772</v>
      </c>
      <c r="K25" s="33">
        <f t="shared" si="6"/>
        <v>139002.50318049034</v>
      </c>
      <c r="L25" s="33">
        <f t="shared" si="6"/>
        <v>143637.24607262955</v>
      </c>
      <c r="M25" s="33">
        <f t="shared" si="6"/>
        <v>150664.71897673991</v>
      </c>
      <c r="N25" s="33">
        <f t="shared" si="6"/>
        <v>158385.53225177911</v>
      </c>
      <c r="O25" s="33">
        <f t="shared" si="6"/>
        <v>170589.87043442143</v>
      </c>
      <c r="P25" s="33">
        <f t="shared" si="6"/>
        <v>185648.46191127517</v>
      </c>
      <c r="Q25" s="33">
        <f t="shared" si="6"/>
        <v>186679.58581387717</v>
      </c>
      <c r="R25" s="33">
        <f t="shared" si="6"/>
        <v>190799.21837128734</v>
      </c>
      <c r="S25" s="33">
        <f t="shared" si="6"/>
        <v>198327.57414289031</v>
      </c>
      <c r="T25" s="33">
        <f t="shared" si="6"/>
        <v>209450.59699282155</v>
      </c>
      <c r="U25" s="33">
        <f t="shared" si="6"/>
        <v>224286.75425734726</v>
      </c>
      <c r="V25" s="33">
        <f t="shared" si="6"/>
        <v>243096.14512263503</v>
      </c>
      <c r="W25" s="33">
        <f t="shared" si="6"/>
        <v>263098.43576441251</v>
      </c>
      <c r="X25" s="33">
        <f t="shared" si="6"/>
        <v>287662.18736979883</v>
      </c>
      <c r="Y25" s="33">
        <f t="shared" si="6"/>
        <v>317181.4367568827</v>
      </c>
      <c r="Z25" s="33">
        <f t="shared" si="6"/>
        <v>351976.60482119996</v>
      </c>
      <c r="AA25" s="33">
        <f t="shared" si="6"/>
        <v>392373.77351192932</v>
      </c>
      <c r="AB25" s="33">
        <f t="shared" si="6"/>
        <v>438956.63689118368</v>
      </c>
      <c r="AC25" s="33">
        <f t="shared" si="6"/>
        <v>488675.35464904504</v>
      </c>
      <c r="AD25" s="33">
        <f t="shared" si="6"/>
        <v>545578.8504518019</v>
      </c>
      <c r="AE25" s="33">
        <f t="shared" si="6"/>
        <v>610144.27050804603</v>
      </c>
      <c r="AF25" s="33">
        <f t="shared" si="6"/>
        <v>682951.89792205638</v>
      </c>
      <c r="AG25" s="33">
        <f t="shared" si="6"/>
        <v>764689.84631645423</v>
      </c>
      <c r="AH25" s="33">
        <f t="shared" si="6"/>
        <v>856050.56587167061</v>
      </c>
      <c r="AI25" s="33">
        <f t="shared" si="6"/>
        <v>957774.15924857091</v>
      </c>
      <c r="AJ25" s="33">
        <f t="shared" si="6"/>
        <v>1070691.5429578898</v>
      </c>
      <c r="AK25" s="33">
        <f t="shared" ref="AK25:BP25" si="7">AJ37</f>
        <v>1195672.0562162211</v>
      </c>
      <c r="AL25" s="33">
        <f t="shared" si="7"/>
        <v>1333609.0823084854</v>
      </c>
      <c r="AM25" s="33">
        <f t="shared" si="7"/>
        <v>1485592.2021363976</v>
      </c>
      <c r="AN25" s="33">
        <f t="shared" si="7"/>
        <v>1652666.1550218095</v>
      </c>
      <c r="AO25" s="33">
        <f t="shared" si="7"/>
        <v>1836148.7104033208</v>
      </c>
      <c r="AP25" s="33">
        <f t="shared" si="7"/>
        <v>2037252.7662646198</v>
      </c>
      <c r="AQ25" s="33">
        <f t="shared" si="7"/>
        <v>2257471.0067640892</v>
      </c>
      <c r="AR25" s="33">
        <f t="shared" si="7"/>
        <v>2498180.690772783</v>
      </c>
      <c r="AS25" s="33">
        <f t="shared" si="7"/>
        <v>2761231.202747439</v>
      </c>
      <c r="AT25" s="33">
        <f t="shared" si="7"/>
        <v>3048199.7714173342</v>
      </c>
      <c r="AU25" s="33">
        <f t="shared" si="7"/>
        <v>3360957.7843740876</v>
      </c>
      <c r="AV25" s="33">
        <f t="shared" si="7"/>
        <v>3701671.6374226483</v>
      </c>
      <c r="AW25" s="33">
        <f t="shared" si="7"/>
        <v>4072611.9811553601</v>
      </c>
      <c r="AX25" s="33">
        <f t="shared" si="7"/>
        <v>4476125.757799956</v>
      </c>
      <c r="AY25" s="33">
        <f t="shared" si="7"/>
        <v>4914873.2817173861</v>
      </c>
      <c r="AZ25" s="33">
        <f t="shared" si="7"/>
        <v>5391521.517512477</v>
      </c>
      <c r="BA25" s="33">
        <f t="shared" si="7"/>
        <v>5909241.0851454418</v>
      </c>
      <c r="BB25" s="33">
        <f t="shared" si="7"/>
        <v>6471397.4450213108</v>
      </c>
      <c r="BC25" s="33">
        <f t="shared" si="7"/>
        <v>7081230.5952885151</v>
      </c>
      <c r="BD25" s="33">
        <f t="shared" si="7"/>
        <v>7742887.4938233625</v>
      </c>
      <c r="BE25" s="33">
        <f t="shared" si="7"/>
        <v>8460268.5009402651</v>
      </c>
      <c r="BF25" s="33">
        <f t="shared" si="7"/>
        <v>9237871.3784747869</v>
      </c>
      <c r="BG25" s="33">
        <f t="shared" si="7"/>
        <v>10080605.389489336</v>
      </c>
      <c r="BH25" s="33">
        <f t="shared" si="7"/>
        <v>10993578.092601316</v>
      </c>
      <c r="BI25" s="33">
        <f t="shared" si="7"/>
        <v>11982367.090332521</v>
      </c>
      <c r="BJ25" s="33">
        <f t="shared" si="7"/>
        <v>13053215.770703489</v>
      </c>
      <c r="BK25" s="33">
        <f t="shared" si="7"/>
        <v>14212448.578849401</v>
      </c>
      <c r="BL25" s="33">
        <f t="shared" si="7"/>
        <v>15467336.931892253</v>
      </c>
      <c r="BM25" s="33">
        <f t="shared" si="7"/>
        <v>16826965.687119801</v>
      </c>
      <c r="BN25" s="33">
        <f t="shared" si="7"/>
        <v>18298009.433872819</v>
      </c>
      <c r="BO25" s="33">
        <f t="shared" si="7"/>
        <v>19889497.312956344</v>
      </c>
      <c r="BP25" s="33">
        <f t="shared" si="7"/>
        <v>21610953.34527082</v>
      </c>
      <c r="BQ25" s="33">
        <f t="shared" ref="BQ25:CI25" si="8">BP37</f>
        <v>23472867.12163372</v>
      </c>
      <c r="BR25" s="33">
        <f t="shared" si="8"/>
        <v>25486480.507509917</v>
      </c>
      <c r="BS25" s="33">
        <f t="shared" si="8"/>
        <v>27663768.530243479</v>
      </c>
      <c r="BT25" s="33">
        <f t="shared" si="8"/>
        <v>30017895.160213992</v>
      </c>
      <c r="BU25" s="33">
        <f t="shared" si="8"/>
        <v>32563074.658206411</v>
      </c>
      <c r="BV25" s="33">
        <f t="shared" si="8"/>
        <v>35314573.076439492</v>
      </c>
      <c r="BW25" s="33">
        <f t="shared" si="8"/>
        <v>38288762.891174488</v>
      </c>
      <c r="BX25" s="33">
        <f t="shared" si="8"/>
        <v>41503544.662028544</v>
      </c>
      <c r="BY25" s="33">
        <f t="shared" si="8"/>
        <v>44978243.227952197</v>
      </c>
      <c r="BZ25" s="33">
        <f t="shared" si="8"/>
        <v>48733594.697904006</v>
      </c>
      <c r="CA25" s="33">
        <f t="shared" si="8"/>
        <v>52792015.482500225</v>
      </c>
      <c r="CB25" s="33">
        <f t="shared" si="8"/>
        <v>57177828.25739041</v>
      </c>
      <c r="CC25" s="33">
        <f t="shared" si="8"/>
        <v>61917097.265570074</v>
      </c>
      <c r="CD25" s="33">
        <f t="shared" si="8"/>
        <v>67038148.956322379</v>
      </c>
      <c r="CE25" s="33">
        <f t="shared" si="8"/>
        <v>72571674.418942139</v>
      </c>
      <c r="CF25" s="33">
        <f t="shared" si="8"/>
        <v>78550558.337472737</v>
      </c>
      <c r="CG25" s="33">
        <f t="shared" si="8"/>
        <v>85010370.088066056</v>
      </c>
      <c r="CH25" s="33">
        <f t="shared" si="8"/>
        <v>91989682.738819107</v>
      </c>
      <c r="CI25" s="33">
        <f t="shared" si="8"/>
        <v>99530021.045712665</v>
      </c>
    </row>
    <row r="26" spans="1:87" ht="16.5">
      <c r="A26" s="6" t="s">
        <v>705</v>
      </c>
      <c r="B26" s="30" t="s">
        <v>465</v>
      </c>
      <c r="C26" s="17" t="s">
        <v>706</v>
      </c>
      <c r="D26" s="33">
        <f>'5_DETALLE_INGRESOS'!D37 + ('5_DETALLE_INGRESOS'!D16 * '1_PANEL_CONTROL'!$C$138 * '1_PANEL_CONTROL'!$C$15 * (1 - '1_PANEL_CONTROL'!$C$139) * 12) - ('5_DETALLE_INGRESOS'!D18 * '1_PANEL_CONTROL'!$C$138 * '1_PANEL_CONTROL'!$C$15 * (1 - '1_PANEL_CONTROL'!$C$139))</f>
        <v>15987.6173</v>
      </c>
      <c r="E26" s="33">
        <f>'5_DETALLE_INGRESOS'!E37 + ('5_DETALLE_INGRESOS'!E16 * '1_PANEL_CONTROL'!$C$138 * '1_PANEL_CONTROL'!$C$15 * (1 - '1_PANEL_CONTROL'!$C$139) * 12) - ('5_DETALLE_INGRESOS'!E18 * '1_PANEL_CONTROL'!$C$138 * '1_PANEL_CONTROL'!$C$15 * (1 - '1_PANEL_CONTROL'!$C$139))</f>
        <v>17955.019100000001</v>
      </c>
      <c r="F26" s="33">
        <f>'5_DETALLE_INGRESOS'!F37 + ('5_DETALLE_INGRESOS'!F16 * '1_PANEL_CONTROL'!$C$138 * '1_PANEL_CONTROL'!$C$15 * (1 - '1_PANEL_CONTROL'!$C$139) * 12) - ('5_DETALLE_INGRESOS'!F18 * '1_PANEL_CONTROL'!$C$138 * '1_PANEL_CONTROL'!$C$15 * (1 - '1_PANEL_CONTROL'!$C$139))</f>
        <v>19942.090003999998</v>
      </c>
      <c r="G26" s="33">
        <f>'5_DETALLE_INGRESOS'!G37 + ('5_DETALLE_INGRESOS'!G16 * '1_PANEL_CONTROL'!$C$138 * '1_PANEL_CONTROL'!$C$15 * (1 - '1_PANEL_CONTROL'!$C$139) * 12) - ('5_DETALLE_INGRESOS'!G18 * '1_PANEL_CONTROL'!$C$138 * '1_PANEL_CONTROL'!$C$15 * (1 - '1_PANEL_CONTROL'!$C$139))</f>
        <v>22226.44182032</v>
      </c>
      <c r="H26" s="33">
        <f>'5_DETALLE_INGRESOS'!H37 + ('5_DETALLE_INGRESOS'!H16 * '1_PANEL_CONTROL'!$C$138 * '1_PANEL_CONTROL'!$C$15 * (1 - '1_PANEL_CONTROL'!$C$139) * 12) - ('5_DETALLE_INGRESOS'!H18 * '1_PANEL_CONTROL'!$C$138 * '1_PANEL_CONTROL'!$C$15 * (1 - '1_PANEL_CONTROL'!$C$139))</f>
        <v>24520.675301945601</v>
      </c>
      <c r="I26" s="33">
        <f>'5_DETALLE_INGRESOS'!I37 + ('5_DETALLE_INGRESOS'!I16 * '1_PANEL_CONTROL'!$C$138 * '1_PANEL_CONTROL'!$C$15 * (1 - '1_PANEL_CONTROL'!$C$139) * 12) - ('5_DETALLE_INGRESOS'!I18 * '1_PANEL_CONTROL'!$C$138 * '1_PANEL_CONTROL'!$C$15 * (1 - '1_PANEL_CONTROL'!$C$139))</f>
        <v>27018.703342101249</v>
      </c>
      <c r="J26" s="33">
        <f>'5_DETALLE_INGRESOS'!J37 + ('5_DETALLE_INGRESOS'!J16 * '1_PANEL_CONTROL'!$C$138 * '1_PANEL_CONTROL'!$C$15 * (1 - '1_PANEL_CONTROL'!$C$139) * 12) - ('5_DETALLE_INGRESOS'!J18 * '1_PANEL_CONTROL'!$C$138 * '1_PANEL_CONTROL'!$C$15 * (1 - '1_PANEL_CONTROL'!$C$139))</f>
        <v>29452.151265469347</v>
      </c>
      <c r="K26" s="33">
        <f>'5_DETALLE_INGRESOS'!K37 + ('5_DETALLE_INGRESOS'!K16 * '1_PANEL_CONTROL'!$C$138 * '1_PANEL_CONTROL'!$C$15 * (1 - '1_PANEL_CONTROL'!$C$139) * 12) - ('5_DETALLE_INGRESOS'!K18 * '1_PANEL_CONTROL'!$C$138 * '1_PANEL_CONTROL'!$C$15 * (1 - '1_PANEL_CONTROL'!$C$139))</f>
        <v>32166.113222706896</v>
      </c>
      <c r="L26" s="33">
        <f>'5_DETALLE_INGRESOS'!L37 + ('5_DETALLE_INGRESOS'!L16 * '1_PANEL_CONTROL'!$C$138 * '1_PANEL_CONTROL'!$C$15 * (1 - '1_PANEL_CONTROL'!$C$139) * 12) - ('5_DETALLE_INGRESOS'!L18 * '1_PANEL_CONTROL'!$C$138 * '1_PANEL_CONTROL'!$C$15 * (1 - '1_PANEL_CONTROL'!$C$139))</f>
        <v>35121.801696523442</v>
      </c>
      <c r="M26" s="33">
        <f>'5_DETALLE_INGRESOS'!M37 + ('5_DETALLE_INGRESOS'!M16 * '1_PANEL_CONTROL'!$C$138 * '1_PANEL_CONTROL'!$C$15 * (1 - '1_PANEL_CONTROL'!$C$139) * 12) - ('5_DETALLE_INGRESOS'!M18 * '1_PANEL_CONTROL'!$C$138 * '1_PANEL_CONTROL'!$C$15 * (1 - '1_PANEL_CONTROL'!$C$139))</f>
        <v>38193.48412824532</v>
      </c>
      <c r="N26" s="33">
        <f>'5_DETALLE_INGRESOS'!N37 + ('5_DETALLE_INGRESOS'!N16 * '1_PANEL_CONTROL'!$C$138 * '1_PANEL_CONTROL'!$C$15 * (1 - '1_PANEL_CONTROL'!$C$139) * 12) - ('5_DETALLE_INGRESOS'!N18 * '1_PANEL_CONTROL'!$C$138 * '1_PANEL_CONTROL'!$C$15 * (1 - '1_PANEL_CONTROL'!$C$139))</f>
        <v>41517.509674504952</v>
      </c>
      <c r="O26" s="33">
        <f>'5_DETALLE_INGRESOS'!O37 + ('5_DETALLE_INGRESOS'!O16 * '1_PANEL_CONTROL'!$C$138 * '1_PANEL_CONTROL'!$C$15 * (1 - '1_PANEL_CONTROL'!$C$139) * 12) - ('5_DETALLE_INGRESOS'!O18 * '1_PANEL_CONTROL'!$C$138 * '1_PANEL_CONTROL'!$C$15 * (1 - '1_PANEL_CONTROL'!$C$139))</f>
        <v>45029.445104465347</v>
      </c>
      <c r="P26" s="33">
        <f>'5_DETALLE_INGRESOS'!P37 + ('5_DETALLE_INGRESOS'!P16 * '1_PANEL_CONTROL'!$C$138 * '1_PANEL_CONTROL'!$C$15 * (1 - '1_PANEL_CONTROL'!$C$139) * 12) - ('5_DETALLE_INGRESOS'!P18 * '1_PANEL_CONTROL'!$C$138 * '1_PANEL_CONTROL'!$C$15 * (1 - '1_PANEL_CONTROL'!$C$139))</f>
        <v>48639.50784882257</v>
      </c>
      <c r="Q26" s="33">
        <f>'5_DETALLE_INGRESOS'!Q37 + ('5_DETALLE_INGRESOS'!Q16 * '1_PANEL_CONTROL'!$C$138 * '1_PANEL_CONTROL'!$C$15 * (1 - '1_PANEL_CONTROL'!$C$139) * 12) - ('5_DETALLE_INGRESOS'!Q18 * '1_PANEL_CONTROL'!$C$138 * '1_PANEL_CONTROL'!$C$15 * (1 - '1_PANEL_CONTROL'!$C$139))</f>
        <v>52458.046212728375</v>
      </c>
      <c r="R26" s="33">
        <f>'5_DETALLE_INGRESOS'!R37 + ('5_DETALLE_INGRESOS'!R16 * '1_PANEL_CONTROL'!$C$138 * '1_PANEL_CONTROL'!$C$15 * (1 - '1_PANEL_CONTROL'!$C$139) * 12) - ('5_DETALLE_INGRESOS'!R18 * '1_PANEL_CONTROL'!$C$138 * '1_PANEL_CONTROL'!$C$15 * (1 - '1_PANEL_CONTROL'!$C$139))</f>
        <v>56666.559765746642</v>
      </c>
      <c r="S26" s="33">
        <f>'5_DETALLE_INGRESOS'!S37 + ('5_DETALLE_INGRESOS'!S16 * '1_PANEL_CONTROL'!$C$138 * '1_PANEL_CONTROL'!$C$15 * (1 - '1_PANEL_CONTROL'!$C$139) * 12) - ('5_DETALLE_INGRESOS'!S18 * '1_PANEL_CONTROL'!$C$138 * '1_PANEL_CONTROL'!$C$15 * (1 - '1_PANEL_CONTROL'!$C$139))</f>
        <v>61131.602923006387</v>
      </c>
      <c r="T26" s="33">
        <f>'5_DETALLE_INGRESOS'!T37 + ('5_DETALLE_INGRESOS'!T16 * '1_PANEL_CONTROL'!$C$138 * '1_PANEL_CONTROL'!$C$15 * (1 - '1_PANEL_CONTROL'!$C$139) * 12) - ('5_DETALLE_INGRESOS'!T18 * '1_PANEL_CONTROL'!$C$138 * '1_PANEL_CONTROL'!$C$15 * (1 - '1_PANEL_CONTROL'!$C$139))</f>
        <v>65743.75873284688</v>
      </c>
      <c r="U26" s="33">
        <f>'5_DETALLE_INGRESOS'!U37 + ('5_DETALLE_INGRESOS'!U16 * '1_PANEL_CONTROL'!$C$138 * '1_PANEL_CONTROL'!$C$15 * (1 - '1_PANEL_CONTROL'!$C$139) * 12) - ('5_DETALLE_INGRESOS'!U18 * '1_PANEL_CONTROL'!$C$138 * '1_PANEL_CONTROL'!$C$15 * (1 - '1_PANEL_CONTROL'!$C$139))</f>
        <v>70688.500887474642</v>
      </c>
      <c r="V26" s="33">
        <f>'5_DETALLE_INGRESOS'!V37 + ('5_DETALLE_INGRESOS'!V16 * '1_PANEL_CONTROL'!$C$138 * '1_PANEL_CONTROL'!$C$15 * (1 - '1_PANEL_CONTROL'!$C$139) * 12) - ('5_DETALLE_INGRESOS'!V18 * '1_PANEL_CONTROL'!$C$138 * '1_PANEL_CONTROL'!$C$15 * (1 - '1_PANEL_CONTROL'!$C$139))</f>
        <v>76017.339974472619</v>
      </c>
      <c r="W26" s="33">
        <f>'5_DETALLE_INGRESOS'!W37 + ('5_DETALLE_INGRESOS'!W16 * '1_PANEL_CONTROL'!$C$138 * '1_PANEL_CONTROL'!$C$15 * (1 - '1_PANEL_CONTROL'!$C$139) * 12) - ('5_DETALLE_INGRESOS'!W18 * '1_PANEL_CONTROL'!$C$138 * '1_PANEL_CONTROL'!$C$15 * (1 - '1_PANEL_CONTROL'!$C$139))</f>
        <v>81709.831988430422</v>
      </c>
      <c r="X26" s="33">
        <f>'5_DETALLE_INGRESOS'!X37 + ('5_DETALLE_INGRESOS'!X16 * '1_PANEL_CONTROL'!$C$138 * '1_PANEL_CONTROL'!$C$15 * (1 - '1_PANEL_CONTROL'!$C$139) * 12) - ('5_DETALLE_INGRESOS'!X18 * '1_PANEL_CONTROL'!$C$138 * '1_PANEL_CONTROL'!$C$15 * (1 - '1_PANEL_CONTROL'!$C$139))</f>
        <v>87885.086123504851</v>
      </c>
      <c r="Y26" s="33">
        <f>'5_DETALLE_INGRESOS'!Y37 + ('5_DETALLE_INGRESOS'!Y16 * '1_PANEL_CONTROL'!$C$138 * '1_PANEL_CONTROL'!$C$15 * (1 - '1_PANEL_CONTROL'!$C$139) * 12) - ('5_DETALLE_INGRESOS'!Y18 * '1_PANEL_CONTROL'!$C$138 * '1_PANEL_CONTROL'!$C$15 * (1 - '1_PANEL_CONTROL'!$C$139))</f>
        <v>94467.598869385241</v>
      </c>
      <c r="Z26" s="33">
        <f>'5_DETALLE_INGRESOS'!Z37 + ('5_DETALLE_INGRESOS'!Z16 * '1_PANEL_CONTROL'!$C$138 * '1_PANEL_CONTROL'!$C$15 * (1 - '1_PANEL_CONTROL'!$C$139) * 12) - ('5_DETALLE_INGRESOS'!Z18 * '1_PANEL_CONTROL'!$C$138 * '1_PANEL_CONTROL'!$C$15 * (1 - '1_PANEL_CONTROL'!$C$139))</f>
        <v>101463.17643493607</v>
      </c>
      <c r="AA26" s="33">
        <f>'5_DETALLE_INGRESOS'!AA37 + ('5_DETALLE_INGRESOS'!AA16 * '1_PANEL_CONTROL'!$C$138 * '1_PANEL_CONTROL'!$C$15 * (1 - '1_PANEL_CONTROL'!$C$139) * 12) - ('5_DETALLE_INGRESOS'!AA18 * '1_PANEL_CONTROL'!$C$138 * '1_PANEL_CONTROL'!$C$15 * (1 - '1_PANEL_CONTROL'!$C$139))</f>
        <v>109184.78252573095</v>
      </c>
      <c r="AB26" s="33">
        <f>'5_DETALLE_INGRESOS'!AB37 + ('5_DETALLE_INGRESOS'!AB16 * '1_PANEL_CONTROL'!$C$138 * '1_PANEL_CONTROL'!$C$15 * (1 - '1_PANEL_CONTROL'!$C$139) * 12) - ('5_DETALLE_INGRESOS'!AB18 * '1_PANEL_CONTROL'!$C$138 * '1_PANEL_CONTROL'!$C$15 * (1 - '1_PANEL_CONTROL'!$C$139))</f>
        <v>117459.51650378943</v>
      </c>
      <c r="AC26" s="33">
        <f>'5_DETALLE_INGRESOS'!AC37 + ('5_DETALLE_INGRESOS'!AC16 * '1_PANEL_CONTROL'!$C$138 * '1_PANEL_CONTROL'!$C$15 * (1 - '1_PANEL_CONTROL'!$C$139) * 12) - ('5_DETALLE_INGRESOS'!AC18 * '1_PANEL_CONTROL'!$C$138 * '1_PANEL_CONTROL'!$C$15 * (1 - '1_PANEL_CONTROL'!$C$139))</f>
        <v>126433.15296009259</v>
      </c>
      <c r="AD26" s="33">
        <f>'5_DETALLE_INGRESOS'!AD37 + ('5_DETALLE_INGRESOS'!AD16 * '1_PANEL_CONTROL'!$C$138 * '1_PANEL_CONTROL'!$C$15 * (1 - '1_PANEL_CONTROL'!$C$139) * 12) - ('5_DETALLE_INGRESOS'!AD18 * '1_PANEL_CONTROL'!$C$138 * '1_PANEL_CONTROL'!$C$15 * (1 - '1_PANEL_CONTROL'!$C$139))</f>
        <v>135991.86373289998</v>
      </c>
      <c r="AE26" s="33">
        <f>'5_DETALLE_INGRESOS'!AE37 + ('5_DETALLE_INGRESOS'!AE16 * '1_PANEL_CONTROL'!$C$138 * '1_PANEL_CONTROL'!$C$15 * (1 - '1_PANEL_CONTROL'!$C$139) * 12) - ('5_DETALLE_INGRESOS'!AE18 * '1_PANEL_CONTROL'!$C$138 * '1_PANEL_CONTROL'!$C$15 * (1 - '1_PANEL_CONTROL'!$C$139))</f>
        <v>146290.17640753198</v>
      </c>
      <c r="AF26" s="33">
        <f>'5_DETALLE_INGRESOS'!AF37 + ('5_DETALLE_INGRESOS'!AF16 * '1_PANEL_CONTROL'!$C$138 * '1_PANEL_CONTROL'!$C$15 * (1 - '1_PANEL_CONTROL'!$C$139) * 12) - ('5_DETALLE_INGRESOS'!AF18 * '1_PANEL_CONTROL'!$C$138 * '1_PANEL_CONTROL'!$C$15 * (1 - '1_PANEL_CONTROL'!$C$139))</f>
        <v>157442.95433613454</v>
      </c>
      <c r="AG26" s="33">
        <f>'5_DETALLE_INGRESOS'!AG37 + ('5_DETALLE_INGRESOS'!AG16 * '1_PANEL_CONTROL'!$C$138 * '1_PANEL_CONTROL'!$C$15 * (1 - '1_PANEL_CONTROL'!$C$139) * 12) - ('5_DETALLE_INGRESOS'!AG18 * '1_PANEL_CONTROL'!$C$138 * '1_PANEL_CONTROL'!$C$15 * (1 - '1_PANEL_CONTROL'!$C$139))</f>
        <v>169458.9132190253</v>
      </c>
      <c r="AH26" s="33">
        <f>'5_DETALLE_INGRESOS'!AH37 + ('5_DETALLE_INGRESOS'!AH16 * '1_PANEL_CONTROL'!$C$138 * '1_PANEL_CONTROL'!$C$15 * (1 - '1_PANEL_CONTROL'!$C$139) * 12) - ('5_DETALLE_INGRESOS'!AH18 * '1_PANEL_CONTROL'!$C$138 * '1_PANEL_CONTROL'!$C$15 * (1 - '1_PANEL_CONTROL'!$C$139))</f>
        <v>182395.46329254733</v>
      </c>
      <c r="AI26" s="33">
        <f>'5_DETALLE_INGRESOS'!AI37 + ('5_DETALLE_INGRESOS'!AI16 * '1_PANEL_CONTROL'!$C$138 * '1_PANEL_CONTROL'!$C$15 * (1 - '1_PANEL_CONTROL'!$C$139) * 12) - ('5_DETALLE_INGRESOS'!AI18 * '1_PANEL_CONTROL'!$C$138 * '1_PANEL_CONTROL'!$C$15 * (1 - '1_PANEL_CONTROL'!$C$139))</f>
        <v>196390.22517195111</v>
      </c>
      <c r="AJ26" s="33">
        <f>'5_DETALLE_INGRESOS'!AJ37 + ('5_DETALLE_INGRESOS'!AJ16 * '1_PANEL_CONTROL'!$C$138 * '1_PANEL_CONTROL'!$C$15 * (1 - '1_PANEL_CONTROL'!$C$139) * 12) - ('5_DETALLE_INGRESOS'!AJ18 * '1_PANEL_CONTROL'!$C$138 * '1_PANEL_CONTROL'!$C$15 * (1 - '1_PANEL_CONTROL'!$C$139))</f>
        <v>211450.93240170722</v>
      </c>
      <c r="AK26" s="33">
        <f>'5_DETALLE_INGRESOS'!AK37 + ('5_DETALLE_INGRESOS'!AK16 * '1_PANEL_CONTROL'!$C$138 * '1_PANEL_CONTROL'!$C$15 * (1 - '1_PANEL_CONTROL'!$C$139) * 12) - ('5_DETALLE_INGRESOS'!AK18 * '1_PANEL_CONTROL'!$C$138 * '1_PANEL_CONTROL'!$C$15 * (1 - '1_PANEL_CONTROL'!$C$139))</f>
        <v>227646.72376984378</v>
      </c>
      <c r="AL26" s="33">
        <f>'5_DETALLE_INGRESOS'!AL37 + ('5_DETALLE_INGRESOS'!AL16 * '1_PANEL_CONTROL'!$C$138 * '1_PANEL_CONTROL'!$C$15 * (1 - '1_PANEL_CONTROL'!$C$139) * 12) - ('5_DETALLE_INGRESOS'!AL18 * '1_PANEL_CONTROL'!$C$138 * '1_PANEL_CONTROL'!$C$15 * (1 - '1_PANEL_CONTROL'!$C$139))</f>
        <v>245191.63144743125</v>
      </c>
      <c r="AM26" s="33">
        <f>'5_DETALLE_INGRESOS'!AM37 + ('5_DETALLE_INGRESOS'!AM16 * '1_PANEL_CONTROL'!$C$138 * '1_PANEL_CONTROL'!$C$15 * (1 - '1_PANEL_CONTROL'!$C$139) * 12) - ('5_DETALLE_INGRESOS'!AM18 * '1_PANEL_CONTROL'!$C$138 * '1_PANEL_CONTROL'!$C$15 * (1 - '1_PANEL_CONTROL'!$C$139))</f>
        <v>264043.93201922579</v>
      </c>
      <c r="AN26" s="33">
        <f>'5_DETALLE_INGRESOS'!AN37 + ('5_DETALLE_INGRESOS'!AN16 * '1_PANEL_CONTROL'!$C$138 * '1_PANEL_CONTROL'!$C$15 * (1 - '1_PANEL_CONTROL'!$C$139) * 12) - ('5_DETALLE_INGRESOS'!AN18 * '1_PANEL_CONTROL'!$C$138 * '1_PANEL_CONTROL'!$C$15 * (1 - '1_PANEL_CONTROL'!$C$139))</f>
        <v>284536.67047676386</v>
      </c>
      <c r="AO26" s="33">
        <f>'5_DETALLE_INGRESOS'!AO37 + ('5_DETALLE_INGRESOS'!AO16 * '1_PANEL_CONTROL'!$C$138 * '1_PANEL_CONTROL'!$C$15 * (1 - '1_PANEL_CONTROL'!$C$139) * 12) - ('5_DETALLE_INGRESOS'!AO18 * '1_PANEL_CONTROL'!$C$138 * '1_PANEL_CONTROL'!$C$15 * (1 - '1_PANEL_CONTROL'!$C$139))</f>
        <v>306570.82225090498</v>
      </c>
      <c r="AP26" s="33">
        <f>'5_DETALLE_INGRESOS'!AP37 + ('5_DETALLE_INGRESOS'!AP16 * '1_PANEL_CONTROL'!$C$138 * '1_PANEL_CONTROL'!$C$15 * (1 - '1_PANEL_CONTROL'!$C$139) * 12) - ('5_DETALLE_INGRESOS'!AP18 * '1_PANEL_CONTROL'!$C$138 * '1_PANEL_CONTROL'!$C$15 * (1 - '1_PANEL_CONTROL'!$C$139))</f>
        <v>330446.15136697737</v>
      </c>
      <c r="AQ26" s="33">
        <f>'5_DETALLE_INGRESOS'!AQ37 + ('5_DETALLE_INGRESOS'!AQ16 * '1_PANEL_CONTROL'!$C$138 * '1_PANEL_CONTROL'!$C$15 * (1 - '1_PANEL_CONTROL'!$C$139) * 12) - ('5_DETALLE_INGRESOS'!AQ18 * '1_PANEL_CONTROL'!$C$138 * '1_PANEL_CONTROL'!$C$15 * (1 - '1_PANEL_CONTROL'!$C$139))</f>
        <v>356052.80881233554</v>
      </c>
      <c r="AR26" s="33">
        <f>'5_DETALLE_INGRESOS'!AR37 + ('5_DETALLE_INGRESOS'!AR16 * '1_PANEL_CONTROL'!$C$138 * '1_PANEL_CONTROL'!$C$15 * (1 - '1_PANEL_CONTROL'!$C$139) * 12) - ('5_DETALLE_INGRESOS'!AR18 * '1_PANEL_CONTROL'!$C$138 * '1_PANEL_CONTROL'!$C$15 * (1 - '1_PANEL_CONTROL'!$C$139))</f>
        <v>383976.78621332243</v>
      </c>
      <c r="AS26" s="33">
        <f>'5_DETALLE_INGRESOS'!AS37 + ('5_DETALLE_INGRESOS'!AS16 * '1_PANEL_CONTROL'!$C$138 * '1_PANEL_CONTROL'!$C$15 * (1 - '1_PANEL_CONTROL'!$C$139) * 12) - ('5_DETALLE_INGRESOS'!AS18 * '1_PANEL_CONTROL'!$C$138 * '1_PANEL_CONTROL'!$C$15 * (1 - '1_PANEL_CONTROL'!$C$139))</f>
        <v>413862.79692638811</v>
      </c>
      <c r="AT26" s="33">
        <f>'5_DETALLE_INGRESOS'!AT37 + ('5_DETALLE_INGRESOS'!AT16 * '1_PANEL_CONTROL'!$C$138 * '1_PANEL_CONTROL'!$C$15 * (1 - '1_PANEL_CONTROL'!$C$139) * 12) - ('5_DETALLE_INGRESOS'!AT18 * '1_PANEL_CONTROL'!$C$138 * '1_PANEL_CONTROL'!$C$15 * (1 - '1_PANEL_CONTROL'!$C$139))</f>
        <v>446110.03465649922</v>
      </c>
      <c r="AU26" s="33">
        <f>'5_DETALLE_INGRESOS'!AU37 + ('5_DETALLE_INGRESOS'!AU16 * '1_PANEL_CONTROL'!$C$138 * '1_PANEL_CONTROL'!$C$15 * (1 - '1_PANEL_CONTROL'!$C$139) * 12) - ('5_DETALLE_INGRESOS'!AU18 * '1_PANEL_CONTROL'!$C$138 * '1_PANEL_CONTROL'!$C$15 * (1 - '1_PANEL_CONTROL'!$C$139))</f>
        <v>481038.14372501924</v>
      </c>
      <c r="AV26" s="33">
        <f>'5_DETALLE_INGRESOS'!AV37 + ('5_DETALLE_INGRESOS'!AV16 * '1_PANEL_CONTROL'!$C$138 * '1_PANEL_CONTROL'!$C$15 * (1 - '1_PANEL_CONTROL'!$C$139) * 12) - ('5_DETALLE_INGRESOS'!AV18 * '1_PANEL_CONTROL'!$C$138 * '1_PANEL_CONTROL'!$C$15 * (1 - '1_PANEL_CONTROL'!$C$139))</f>
        <v>518815.60211902071</v>
      </c>
      <c r="AW26" s="33">
        <f>'5_DETALLE_INGRESOS'!AW37 + ('5_DETALLE_INGRESOS'!AW16 * '1_PANEL_CONTROL'!$C$138 * '1_PANEL_CONTROL'!$C$15 * (1 - '1_PANEL_CONTROL'!$C$139) * 12) - ('5_DETALLE_INGRESOS'!AW18 * '1_PANEL_CONTROL'!$C$138 * '1_PANEL_CONTROL'!$C$15 * (1 - '1_PANEL_CONTROL'!$C$139))</f>
        <v>559537.72946454247</v>
      </c>
      <c r="AX26" s="33">
        <f>'5_DETALLE_INGRESOS'!AX37 + ('5_DETALLE_INGRESOS'!AX16 * '1_PANEL_CONTROL'!$C$138 * '1_PANEL_CONTROL'!$C$15 * (1 - '1_PANEL_CONTROL'!$C$139) * 12) - ('5_DETALLE_INGRESOS'!AX18 * '1_PANEL_CONTROL'!$C$138 * '1_PANEL_CONTROL'!$C$15 * (1 - '1_PANEL_CONTROL'!$C$139))</f>
        <v>603587.48307770584</v>
      </c>
      <c r="AY26" s="33">
        <f>'5_DETALLE_INGRESOS'!AY37 + ('5_DETALLE_INGRESOS'!AY16 * '1_PANEL_CONTROL'!$C$138 * '1_PANEL_CONTROL'!$C$15 * (1 - '1_PANEL_CONTROL'!$C$139) * 12) - ('5_DETALLE_INGRESOS'!AY18 * '1_PANEL_CONTROL'!$C$138 * '1_PANEL_CONTROL'!$C$15 * (1 - '1_PANEL_CONTROL'!$C$139))</f>
        <v>650948.54525992228</v>
      </c>
      <c r="AZ26" s="33">
        <f>'5_DETALLE_INGRESOS'!AZ37 + ('5_DETALLE_INGRESOS'!AZ16 * '1_PANEL_CONTROL'!$C$138 * '1_PANEL_CONTROL'!$C$15 * (1 - '1_PANEL_CONTROL'!$C$139) * 12) - ('5_DETALLE_INGRESOS'!AZ18 * '1_PANEL_CONTROL'!$C$138 * '1_PANEL_CONTROL'!$C$15 * (1 - '1_PANEL_CONTROL'!$C$139))</f>
        <v>702287.99201671593</v>
      </c>
      <c r="BA26" s="33">
        <f>'5_DETALLE_INGRESOS'!BA37 + ('5_DETALLE_INGRESOS'!BA16 * '1_PANEL_CONTROL'!$C$138 * '1_PANEL_CONTROL'!$C$15 * (1 - '1_PANEL_CONTROL'!$C$139) * 12) - ('5_DETALLE_INGRESOS'!BA18 * '1_PANEL_CONTROL'!$C$138 * '1_PANEL_CONTROL'!$C$15 * (1 - '1_PANEL_CONTROL'!$C$139))</f>
        <v>757831.2673940534</v>
      </c>
      <c r="BB26" s="33">
        <f>'5_DETALLE_INGRESOS'!BB37 + ('5_DETALLE_INGRESOS'!BB16 * '1_PANEL_CONTROL'!$C$138 * '1_PANEL_CONTROL'!$C$15 * (1 - '1_PANEL_CONTROL'!$C$139) * 12) - ('5_DETALLE_INGRESOS'!BB18 * '1_PANEL_CONTROL'!$C$138 * '1_PANEL_CONTROL'!$C$15 * (1 - '1_PANEL_CONTROL'!$C$139))</f>
        <v>817430.82164157752</v>
      </c>
      <c r="BC26" s="33">
        <f>'5_DETALLE_INGRESOS'!BC37 + ('5_DETALLE_INGRESOS'!BC16 * '1_PANEL_CONTROL'!$C$138 * '1_PANEL_CONTROL'!$C$15 * (1 - '1_PANEL_CONTROL'!$C$139) * 12) - ('5_DETALLE_INGRESOS'!BC18 * '1_PANEL_CONTROL'!$C$138 * '1_PANEL_CONTROL'!$C$15 * (1 - '1_PANEL_CONTROL'!$C$139))</f>
        <v>882216.12242890371</v>
      </c>
      <c r="BD26" s="33">
        <f>'5_DETALLE_INGRESOS'!BD37 + ('5_DETALLE_INGRESOS'!BD16 * '1_PANEL_CONTROL'!$C$138 * '1_PANEL_CONTROL'!$C$15 * (1 - '1_PANEL_CONTROL'!$C$139) * 12) - ('5_DETALLE_INGRESOS'!BD18 * '1_PANEL_CONTROL'!$C$138 * '1_PANEL_CONTROL'!$C$15 * (1 - '1_PANEL_CONTROL'!$C$139))</f>
        <v>951879.43635921623</v>
      </c>
      <c r="BE26" s="33">
        <f>'5_DETALLE_INGRESOS'!BE37 + ('5_DETALLE_INGRESOS'!BE16 * '1_PANEL_CONTROL'!$C$138 * '1_PANEL_CONTROL'!$C$15 * (1 - '1_PANEL_CONTROL'!$C$139) * 12) - ('5_DETALLE_INGRESOS'!BE18 * '1_PANEL_CONTROL'!$C$138 * '1_PANEL_CONTROL'!$C$15 * (1 - '1_PANEL_CONTROL'!$C$139))</f>
        <v>1027148.0470439534</v>
      </c>
      <c r="BF26" s="33">
        <f>'5_DETALLE_INGRESOS'!BF37 + ('5_DETALLE_INGRESOS'!BF16 * '1_PANEL_CONTROL'!$C$138 * '1_PANEL_CONTROL'!$C$15 * (1 - '1_PANEL_CONTROL'!$C$139) * 12) - ('5_DETALLE_INGRESOS'!BF18 * '1_PANEL_CONTROL'!$C$138 * '1_PANEL_CONTROL'!$C$15 * (1 - '1_PANEL_CONTROL'!$C$139))</f>
        <v>1108567.1070234696</v>
      </c>
      <c r="BG26" s="33">
        <f>'5_DETALLE_INGRESOS'!BG37 + ('5_DETALLE_INGRESOS'!BG16 * '1_PANEL_CONTROL'!$C$138 * '1_PANEL_CONTROL'!$C$15 * (1 - '1_PANEL_CONTROL'!$C$139) * 12) - ('5_DETALLE_INGRESOS'!BG18 * '1_PANEL_CONTROL'!$C$138 * '1_PANEL_CONTROL'!$C$15 * (1 - '1_PANEL_CONTROL'!$C$139))</f>
        <v>1196382.6758413468</v>
      </c>
      <c r="BH26" s="33">
        <f>'5_DETALLE_INGRESOS'!BH37 + ('5_DETALLE_INGRESOS'!BH16 * '1_PANEL_CONTROL'!$C$138 * '1_PANEL_CONTROL'!$C$15 * (1 - '1_PANEL_CONTROL'!$C$139) * 12) - ('5_DETALLE_INGRESOS'!BH18 * '1_PANEL_CONTROL'!$C$138 * '1_PANEL_CONTROL'!$C$15 * (1 - '1_PANEL_CONTROL'!$C$139))</f>
        <v>1291155.471604655</v>
      </c>
      <c r="BI26" s="33">
        <f>'5_DETALLE_INGRESOS'!BI37 + ('5_DETALLE_INGRESOS'!BI16 * '1_PANEL_CONTROL'!$C$138 * '1_PANEL_CONTROL'!$C$15 * (1 - '1_PANEL_CONTROL'!$C$139) * 12) - ('5_DETALLE_INGRESOS'!BI18 * '1_PANEL_CONTROL'!$C$138 * '1_PANEL_CONTROL'!$C$15 * (1 - '1_PANEL_CONTROL'!$C$139))</f>
        <v>1393740.1973890271</v>
      </c>
      <c r="BJ26" s="33">
        <f>'5_DETALLE_INGRESOS'!BJ37 + ('5_DETALLE_INGRESOS'!BJ16 * '1_PANEL_CONTROL'!$C$138 * '1_PANEL_CONTROL'!$C$15 * (1 - '1_PANEL_CONTROL'!$C$139) * 12) - ('5_DETALLE_INGRESOS'!BJ18 * '1_PANEL_CONTROL'!$C$138 * '1_PANEL_CONTROL'!$C$15 * (1 - '1_PANEL_CONTROL'!$C$139))</f>
        <v>1504226.7258761493</v>
      </c>
      <c r="BK26" s="33">
        <f>'5_DETALLE_INGRESOS'!BK37 + ('5_DETALLE_INGRESOS'!BK16 * '1_PANEL_CONTROL'!$C$138 * '1_PANEL_CONTROL'!$C$15 * (1 - '1_PANEL_CONTROL'!$C$139) * 12) - ('5_DETALLE_INGRESOS'!BK18 * '1_PANEL_CONTROL'!$C$138 * '1_PANEL_CONTROL'!$C$15 * (1 - '1_PANEL_CONTROL'!$C$139))</f>
        <v>1623811.1706422418</v>
      </c>
      <c r="BL26" s="33">
        <f>'5_DETALLE_INGRESOS'!BL37 + ('5_DETALLE_INGRESOS'!BL16 * '1_PANEL_CONTROL'!$C$138 * '1_PANEL_CONTROL'!$C$15 * (1 - '1_PANEL_CONTROL'!$C$139) * 12) - ('5_DETALLE_INGRESOS'!BL18 * '1_PANEL_CONTROL'!$C$138 * '1_PANEL_CONTROL'!$C$15 * (1 - '1_PANEL_CONTROL'!$C$139))</f>
        <v>1752806.3895496209</v>
      </c>
      <c r="BM26" s="33">
        <f>'5_DETALLE_INGRESOS'!BM37 + ('5_DETALLE_INGRESOS'!BM16 * '1_PANEL_CONTROL'!$C$138 * '1_PANEL_CONTROL'!$C$15 * (1 - '1_PANEL_CONTROL'!$C$139) * 12) - ('5_DETALLE_INGRESOS'!BM18 * '1_PANEL_CONTROL'!$C$138 * '1_PANEL_CONTROL'!$C$15 * (1 - '1_PANEL_CONTROL'!$C$139))</f>
        <v>1892093.6257295904</v>
      </c>
      <c r="BN26" s="33">
        <f>'5_DETALLE_INGRESOS'!BN37 + ('5_DETALLE_INGRESOS'!BN16 * '1_PANEL_CONTROL'!$C$138 * '1_PANEL_CONTROL'!$C$15 * (1 - '1_PANEL_CONTROL'!$C$139) * 12) - ('5_DETALLE_INGRESOS'!BN18 * '1_PANEL_CONTROL'!$C$138 * '1_PANEL_CONTROL'!$C$15 * (1 - '1_PANEL_CONTROL'!$C$139))</f>
        <v>2042674.6806839574</v>
      </c>
      <c r="BO26" s="33">
        <f>'5_DETALLE_INGRESOS'!BO37 + ('5_DETALLE_INGRESOS'!BO16 * '1_PANEL_CONTROL'!$C$138 * '1_PANEL_CONTROL'!$C$15 * (1 - '1_PANEL_CONTROL'!$C$139) * 12) - ('5_DETALLE_INGRESOS'!BO18 * '1_PANEL_CONTROL'!$C$138 * '1_PANEL_CONTROL'!$C$15 * (1 - '1_PANEL_CONTROL'!$C$139))</f>
        <v>2205174.157074674</v>
      </c>
      <c r="BP26" s="33">
        <f>'5_DETALLE_INGRESOS'!BP37 + ('5_DETALLE_INGRESOS'!BP16 * '1_PANEL_CONTROL'!$C$138 * '1_PANEL_CONTROL'!$C$15 * (1 - '1_PANEL_CONTROL'!$C$139) * 12) - ('5_DETALLE_INGRESOS'!BP18 * '1_PANEL_CONTROL'!$C$138 * '1_PANEL_CONTROL'!$C$15 * (1 - '1_PANEL_CONTROL'!$C$139))</f>
        <v>2380784.1048166486</v>
      </c>
      <c r="BQ26" s="33">
        <f>'5_DETALLE_INGRESOS'!BQ37 + ('5_DETALLE_INGRESOS'!BQ16 * '1_PANEL_CONTROL'!$C$138 * '1_PANEL_CONTROL'!$C$15 * (1 - '1_PANEL_CONTROL'!$C$139) * 12) - ('5_DETALLE_INGRESOS'!BQ18 * '1_PANEL_CONTROL'!$C$138 * '1_PANEL_CONTROL'!$C$15 * (1 - '1_PANEL_CONTROL'!$C$139))</f>
        <v>2570441.8671379806</v>
      </c>
      <c r="BR26" s="33">
        <f>'5_DETALLE_INGRESOS'!BR37 + ('5_DETALLE_INGRESOS'!BR16 * '1_PANEL_CONTROL'!$C$138 * '1_PANEL_CONTROL'!$C$15 * (1 - '1_PANEL_CONTROL'!$C$139) * 12) - ('5_DETALLE_INGRESOS'!BR18 * '1_PANEL_CONTROL'!$C$138 * '1_PANEL_CONTROL'!$C$15 * (1 - '1_PANEL_CONTROL'!$C$139))</f>
        <v>2775073.7203250183</v>
      </c>
      <c r="BS26" s="33">
        <f>'5_DETALLE_INGRESOS'!BS37 + ('5_DETALLE_INGRESOS'!BS16 * '1_PANEL_CONTROL'!$C$138 * '1_PANEL_CONTROL'!$C$15 * (1 - '1_PANEL_CONTROL'!$C$139) * 12) - ('5_DETALLE_INGRESOS'!BS18 * '1_PANEL_CONTROL'!$C$138 * '1_PANEL_CONTROL'!$C$15 * (1 - '1_PANEL_CONTROL'!$C$139))</f>
        <v>2996162.3649270204</v>
      </c>
      <c r="BT26" s="33">
        <f>'5_DETALLE_INGRESOS'!BT37 + ('5_DETALLE_INGRESOS'!BT16 * '1_PANEL_CONTROL'!$C$138 * '1_PANEL_CONTROL'!$C$15 * (1 - '1_PANEL_CONTROL'!$C$139) * 12) - ('5_DETALLE_INGRESOS'!BT18 * '1_PANEL_CONTROL'!$C$138 * '1_PANEL_CONTROL'!$C$15 * (1 - '1_PANEL_CONTROL'!$C$139))</f>
        <v>3235020.8872571811</v>
      </c>
      <c r="BU26" s="33">
        <f>'5_DETALLE_INGRESOS'!BU37 + ('5_DETALLE_INGRESOS'!BU16 * '1_PANEL_CONTROL'!$C$138 * '1_PANEL_CONTROL'!$C$15 * (1 - '1_PANEL_CONTROL'!$C$139) * 12) - ('5_DETALLE_INGRESOS'!BU18 * '1_PANEL_CONTROL'!$C$138 * '1_PANEL_CONTROL'!$C$15 * (1 - '1_PANEL_CONTROL'!$C$139))</f>
        <v>3492968.1810937561</v>
      </c>
      <c r="BV26" s="33">
        <f>'5_DETALLE_INGRESOS'!BV37 + ('5_DETALLE_INGRESOS'!BV16 * '1_PANEL_CONTROL'!$C$138 * '1_PANEL_CONTROL'!$C$15 * (1 - '1_PANEL_CONTROL'!$C$139) * 12) - ('5_DETALLE_INGRESOS'!BV18 * '1_PANEL_CONTROL'!$C$138 * '1_PANEL_CONTROL'!$C$15 * (1 - '1_PANEL_CONTROL'!$C$139))</f>
        <v>3771387.7095572567</v>
      </c>
      <c r="BW26" s="33">
        <f>'5_DETALLE_INGRESOS'!BW37 + ('5_DETALLE_INGRESOS'!BW16 * '1_PANEL_CONTROL'!$C$138 * '1_PANEL_CONTROL'!$C$15 * (1 - '1_PANEL_CONTROL'!$C$139) * 12) - ('5_DETALLE_INGRESOS'!BW18 * '1_PANEL_CONTROL'!$C$138 * '1_PANEL_CONTROL'!$C$15 * (1 - '1_PANEL_CONTROL'!$C$139))</f>
        <v>4072188.6312178369</v>
      </c>
      <c r="BX26" s="33">
        <f>'5_DETALLE_INGRESOS'!BX37 + ('5_DETALLE_INGRESOS'!BX16 * '1_PANEL_CONTROL'!$C$138 * '1_PANEL_CONTROL'!$C$15 * (1 - '1_PANEL_CONTROL'!$C$139) * 12) - ('5_DETALLE_INGRESOS'!BX18 * '1_PANEL_CONTROL'!$C$138 * '1_PANEL_CONTROL'!$C$15 * (1 - '1_PANEL_CONTROL'!$C$139))</f>
        <v>4397146.2325712647</v>
      </c>
      <c r="BY26" s="33">
        <f>'5_DETALLE_INGRESOS'!BY37 + ('5_DETALLE_INGRESOS'!BY16 * '1_PANEL_CONTROL'!$C$138 * '1_PANEL_CONTROL'!$C$15 * (1 - '1_PANEL_CONTROL'!$C$139) * 12) - ('5_DETALLE_INGRESOS'!BY18 * '1_PANEL_CONTROL'!$C$138 * '1_PANEL_CONTROL'!$C$15 * (1 - '1_PANEL_CONTROL'!$C$139))</f>
        <v>4748030.9931129646</v>
      </c>
      <c r="BZ26" s="33">
        <f>'5_DETALLE_INGRESOS'!BZ37 + ('5_DETALLE_INGRESOS'!BZ16 * '1_PANEL_CONTROL'!$C$138 * '1_PANEL_CONTROL'!$C$15 * (1 - '1_PANEL_CONTROL'!$C$139) * 12) - ('5_DETALLE_INGRESOS'!BZ18 * '1_PANEL_CONTROL'!$C$138 * '1_PANEL_CONTROL'!$C$15 * (1 - '1_PANEL_CONTROL'!$C$139))</f>
        <v>5126942.3363380022</v>
      </c>
      <c r="CA26" s="33">
        <f>'5_DETALLE_INGRESOS'!CA37 + ('5_DETALLE_INGRESOS'!CA16 * '1_PANEL_CONTROL'!$C$138 * '1_PANEL_CONTROL'!$C$15 * (1 - '1_PANEL_CONTROL'!$C$139) * 12) - ('5_DETALLE_INGRESOS'!CA18 * '1_PANEL_CONTROL'!$C$138 * '1_PANEL_CONTROL'!$C$15 * (1 - '1_PANEL_CONTROL'!$C$139))</f>
        <v>5536268.7251010416</v>
      </c>
      <c r="CB26" s="33">
        <f>'5_DETALLE_INGRESOS'!CB37 + ('5_DETALLE_INGRESOS'!CB16 * '1_PANEL_CONTROL'!$C$138 * '1_PANEL_CONTROL'!$C$15 * (1 - '1_PANEL_CONTROL'!$C$139) * 12) - ('5_DETALLE_INGRESOS'!CB18 * '1_PANEL_CONTROL'!$C$138 * '1_PANEL_CONTROL'!$C$15 * (1 - '1_PANEL_CONTROL'!$C$139))</f>
        <v>5978162.084885125</v>
      </c>
      <c r="CC26" s="33">
        <f>'5_DETALLE_INGRESOS'!CC37 + ('5_DETALLE_INGRESOS'!CC16 * '1_PANEL_CONTROL'!$C$138 * '1_PANEL_CONTROL'!$C$15 * (1 - '1_PANEL_CONTROL'!$C$139) * 12) - ('5_DETALLE_INGRESOS'!CC18 * '1_PANEL_CONTROL'!$C$138 * '1_PANEL_CONTROL'!$C$15 * (1 - '1_PANEL_CONTROL'!$C$139))</f>
        <v>6455486.2426519385</v>
      </c>
      <c r="CD26" s="33">
        <f>'5_DETALLE_INGRESOS'!CD37 + ('5_DETALLE_INGRESOS'!CD16 * '1_PANEL_CONTROL'!$C$138 * '1_PANEL_CONTROL'!$C$15 * (1 - '1_PANEL_CONTROL'!$C$139) * 12) - ('5_DETALLE_INGRESOS'!CD18 * '1_PANEL_CONTROL'!$C$138 * '1_PANEL_CONTROL'!$C$15 * (1 - '1_PANEL_CONTROL'!$C$139))</f>
        <v>6971191.2150800917</v>
      </c>
      <c r="CE26" s="33">
        <f>'5_DETALLE_INGRESOS'!CE37 + ('5_DETALLE_INGRESOS'!CE16 * '1_PANEL_CONTROL'!$C$138 * '1_PANEL_CONTROL'!$C$15 * (1 - '1_PANEL_CONTROL'!$C$139) * 12) - ('5_DETALLE_INGRESOS'!CE18 * '1_PANEL_CONTROL'!$C$138 * '1_PANEL_CONTROL'!$C$15 * (1 - '1_PANEL_CONTROL'!$C$139))</f>
        <v>7527983.9711424978</v>
      </c>
      <c r="CF26" s="33">
        <f>'5_DETALLE_INGRESOS'!CF37 + ('5_DETALLE_INGRESOS'!CF16 * '1_PANEL_CONTROL'!$C$138 * '1_PANEL_CONTROL'!$C$15 * (1 - '1_PANEL_CONTROL'!$C$139) * 12) - ('5_DETALLE_INGRESOS'!CF18 * '1_PANEL_CONTROL'!$C$138 * '1_PANEL_CONTROL'!$C$15 * (1 - '1_PANEL_CONTROL'!$C$139))</f>
        <v>8129261.6181298988</v>
      </c>
      <c r="CG26" s="33">
        <f>'5_DETALLE_INGRESOS'!CG37 + ('5_DETALLE_INGRESOS'!CG16 * '1_PANEL_CONTROL'!$C$138 * '1_PANEL_CONTROL'!$C$15 * (1 - '1_PANEL_CONTROL'!$C$139) * 12) - ('5_DETALLE_INGRESOS'!CG18 * '1_PANEL_CONTROL'!$C$138 * '1_PANEL_CONTROL'!$C$15 * (1 - '1_PANEL_CONTROL'!$C$139))</f>
        <v>8778769.7823962905</v>
      </c>
      <c r="CH26" s="33">
        <f>'5_DETALLE_INGRESOS'!CH37 + ('5_DETALLE_INGRESOS'!CH16 * '1_PANEL_CONTROL'!$C$138 * '1_PANEL_CONTROL'!$C$15 * (1 - '1_PANEL_CONTROL'!$C$139) * 12) - ('5_DETALLE_INGRESOS'!CH18 * '1_PANEL_CONTROL'!$C$138 * '1_PANEL_CONTROL'!$C$15 * (1 - '1_PANEL_CONTROL'!$C$139))</f>
        <v>9480181.8822839912</v>
      </c>
      <c r="CI26" s="33">
        <f>'5_DETALLE_INGRESOS'!CI37 + ('5_DETALLE_INGRESOS'!CI16 * '1_PANEL_CONTROL'!$C$138 * '1_PANEL_CONTROL'!$C$15 * (1 - '1_PANEL_CONTROL'!$C$139) * 12) - ('5_DETALLE_INGRESOS'!CI18 * '1_PANEL_CONTROL'!$C$138 * '1_PANEL_CONTROL'!$C$15 * (1 - '1_PANEL_CONTROL'!$C$139))</f>
        <v>10237619.220882714</v>
      </c>
    </row>
    <row r="27" spans="1:87" ht="16.5">
      <c r="A27" s="6" t="s">
        <v>707</v>
      </c>
      <c r="B27" s="30" t="s">
        <v>465</v>
      </c>
      <c r="C27" s="17" t="s">
        <v>708</v>
      </c>
      <c r="D27" s="33">
        <f>'8_COSTES_OPEX'!D10</f>
        <v>7794.76</v>
      </c>
      <c r="E27" s="33">
        <f>'8_COSTES_OPEX'!E10</f>
        <v>7794.76</v>
      </c>
      <c r="F27" s="33">
        <f>'8_COSTES_OPEX'!F10</f>
        <v>7794.76</v>
      </c>
      <c r="G27" s="33">
        <f>'8_COSTES_OPEX'!G10</f>
        <v>7794.76</v>
      </c>
      <c r="H27" s="33">
        <f>'8_COSTES_OPEX'!H10</f>
        <v>7794.76</v>
      </c>
      <c r="I27" s="33">
        <f>'8_COSTES_OPEX'!I10</f>
        <v>7794.76</v>
      </c>
      <c r="J27" s="33">
        <f>'8_COSTES_OPEX'!J10</f>
        <v>7794.76</v>
      </c>
      <c r="K27" s="33">
        <f>'8_COSTES_OPEX'!K10</f>
        <v>7794.76</v>
      </c>
      <c r="L27" s="33">
        <f>'8_COSTES_OPEX'!L10</f>
        <v>7794.76</v>
      </c>
      <c r="M27" s="33">
        <f>'8_COSTES_OPEX'!M10</f>
        <v>7794.76</v>
      </c>
      <c r="N27" s="33">
        <f>'8_COSTES_OPEX'!N10</f>
        <v>7794.76</v>
      </c>
      <c r="O27" s="33">
        <f>'8_COSTES_OPEX'!O10</f>
        <v>7794.76</v>
      </c>
      <c r="P27" s="33">
        <f>'8_COSTES_OPEX'!P10</f>
        <v>23193.010000000002</v>
      </c>
      <c r="Q27" s="33">
        <f>'8_COSTES_OPEX'!Q10</f>
        <v>23193.010000000002</v>
      </c>
      <c r="R27" s="33">
        <f>'8_COSTES_OPEX'!R10</f>
        <v>23193.010000000002</v>
      </c>
      <c r="S27" s="33">
        <f>'8_COSTES_OPEX'!S10</f>
        <v>23193.010000000002</v>
      </c>
      <c r="T27" s="33">
        <f>'8_COSTES_OPEX'!T10</f>
        <v>23193.010000000002</v>
      </c>
      <c r="U27" s="33">
        <f>'8_COSTES_OPEX'!U10</f>
        <v>23193.010000000002</v>
      </c>
      <c r="V27" s="33">
        <f>'8_COSTES_OPEX'!V10</f>
        <v>26275.343333333334</v>
      </c>
      <c r="W27" s="33">
        <f>'8_COSTES_OPEX'!W10</f>
        <v>26275.343333333334</v>
      </c>
      <c r="X27" s="33">
        <f>'8_COSTES_OPEX'!X10</f>
        <v>26275.343333333334</v>
      </c>
      <c r="Y27" s="33">
        <f>'8_COSTES_OPEX'!Y10</f>
        <v>26275.343333333334</v>
      </c>
      <c r="Z27" s="33">
        <f>'8_COSTES_OPEX'!Z10</f>
        <v>26275.343333333334</v>
      </c>
      <c r="AA27" s="33">
        <f>'8_COSTES_OPEX'!AA10</f>
        <v>26275.343333333334</v>
      </c>
      <c r="AB27" s="33">
        <f>'8_COSTES_OPEX'!AB10</f>
        <v>29775.343333333334</v>
      </c>
      <c r="AC27" s="33">
        <f>'8_COSTES_OPEX'!AC10</f>
        <v>29775.343333333334</v>
      </c>
      <c r="AD27" s="33">
        <f>'8_COSTES_OPEX'!AD10</f>
        <v>29775.343333333334</v>
      </c>
      <c r="AE27" s="33">
        <f>'8_COSTES_OPEX'!AE10</f>
        <v>29775.343333333334</v>
      </c>
      <c r="AF27" s="33">
        <f>'8_COSTES_OPEX'!AF10</f>
        <v>29775.343333333334</v>
      </c>
      <c r="AG27" s="33">
        <f>'8_COSTES_OPEX'!AG10</f>
        <v>29775.343333333334</v>
      </c>
      <c r="AH27" s="33">
        <f>'8_COSTES_OPEX'!AH10</f>
        <v>29775.343333333334</v>
      </c>
      <c r="AI27" s="33">
        <f>'8_COSTES_OPEX'!AI10</f>
        <v>29775.343333333334</v>
      </c>
      <c r="AJ27" s="33">
        <f>'8_COSTES_OPEX'!AJ10</f>
        <v>29775.343333333334</v>
      </c>
      <c r="AK27" s="33">
        <f>'8_COSTES_OPEX'!AK10</f>
        <v>29775.343333333334</v>
      </c>
      <c r="AL27" s="33">
        <f>'8_COSTES_OPEX'!AL10</f>
        <v>29775.343333333334</v>
      </c>
      <c r="AM27" s="33">
        <f>'8_COSTES_OPEX'!AM10</f>
        <v>29775.343333333334</v>
      </c>
      <c r="AN27" s="33">
        <f>'8_COSTES_OPEX'!AN10</f>
        <v>29775.343333333334</v>
      </c>
      <c r="AO27" s="33">
        <f>'8_COSTES_OPEX'!AO10</f>
        <v>29775.343333333334</v>
      </c>
      <c r="AP27" s="33">
        <f>'8_COSTES_OPEX'!AP10</f>
        <v>29775.343333333334</v>
      </c>
      <c r="AQ27" s="33">
        <f>'8_COSTES_OPEX'!AQ10</f>
        <v>29775.343333333334</v>
      </c>
      <c r="AR27" s="33">
        <f>'8_COSTES_OPEX'!AR10</f>
        <v>29775.343333333334</v>
      </c>
      <c r="AS27" s="33">
        <f>'8_COSTES_OPEX'!AS10</f>
        <v>29775.343333333334</v>
      </c>
      <c r="AT27" s="33">
        <f>'8_COSTES_OPEX'!AT10</f>
        <v>29775.343333333334</v>
      </c>
      <c r="AU27" s="33">
        <f>'8_COSTES_OPEX'!AU10</f>
        <v>29775.343333333334</v>
      </c>
      <c r="AV27" s="33">
        <f>'8_COSTES_OPEX'!AV10</f>
        <v>29775.343333333334</v>
      </c>
      <c r="AW27" s="33">
        <f>'8_COSTES_OPEX'!AW10</f>
        <v>29775.343333333334</v>
      </c>
      <c r="AX27" s="33">
        <f>'8_COSTES_OPEX'!AX10</f>
        <v>29775.343333333334</v>
      </c>
      <c r="AY27" s="33">
        <f>'8_COSTES_OPEX'!AY10</f>
        <v>29775.343333333334</v>
      </c>
      <c r="AZ27" s="33">
        <f>'8_COSTES_OPEX'!AZ10</f>
        <v>29775.343333333334</v>
      </c>
      <c r="BA27" s="33">
        <f>'8_COSTES_OPEX'!BA10</f>
        <v>29775.343333333334</v>
      </c>
      <c r="BB27" s="33">
        <f>'8_COSTES_OPEX'!BB10</f>
        <v>29775.343333333334</v>
      </c>
      <c r="BC27" s="33">
        <f>'8_COSTES_OPEX'!BC10</f>
        <v>29775.343333333334</v>
      </c>
      <c r="BD27" s="33">
        <f>'8_COSTES_OPEX'!BD10</f>
        <v>29775.343333333334</v>
      </c>
      <c r="BE27" s="33">
        <f>'8_COSTES_OPEX'!BE10</f>
        <v>29775.343333333334</v>
      </c>
      <c r="BF27" s="33">
        <f>'8_COSTES_OPEX'!BF10</f>
        <v>29775.343333333334</v>
      </c>
      <c r="BG27" s="33">
        <f>'8_COSTES_OPEX'!BG10</f>
        <v>29775.343333333334</v>
      </c>
      <c r="BH27" s="33">
        <f>'8_COSTES_OPEX'!BH10</f>
        <v>29775.343333333334</v>
      </c>
      <c r="BI27" s="33">
        <f>'8_COSTES_OPEX'!BI10</f>
        <v>29775.343333333334</v>
      </c>
      <c r="BJ27" s="33">
        <f>'8_COSTES_OPEX'!BJ10</f>
        <v>29775.343333333334</v>
      </c>
      <c r="BK27" s="33">
        <f>'8_COSTES_OPEX'!BK10</f>
        <v>29775.343333333334</v>
      </c>
      <c r="BL27" s="33">
        <f>'8_COSTES_OPEX'!BL10</f>
        <v>29775.343333333334</v>
      </c>
      <c r="BM27" s="33">
        <f>'8_COSTES_OPEX'!BM10</f>
        <v>29775.343333333334</v>
      </c>
      <c r="BN27" s="33">
        <f>'8_COSTES_OPEX'!BN10</f>
        <v>29775.343333333334</v>
      </c>
      <c r="BO27" s="33">
        <f>'8_COSTES_OPEX'!BO10</f>
        <v>29775.343333333334</v>
      </c>
      <c r="BP27" s="33">
        <f>'8_COSTES_OPEX'!BP10</f>
        <v>29775.343333333334</v>
      </c>
      <c r="BQ27" s="33">
        <f>'8_COSTES_OPEX'!BQ10</f>
        <v>29775.343333333334</v>
      </c>
      <c r="BR27" s="33">
        <f>'8_COSTES_OPEX'!BR10</f>
        <v>29775.343333333334</v>
      </c>
      <c r="BS27" s="33">
        <f>'8_COSTES_OPEX'!BS10</f>
        <v>29775.343333333334</v>
      </c>
      <c r="BT27" s="33">
        <f>'8_COSTES_OPEX'!BT10</f>
        <v>29775.343333333334</v>
      </c>
      <c r="BU27" s="33">
        <f>'8_COSTES_OPEX'!BU10</f>
        <v>29775.343333333334</v>
      </c>
      <c r="BV27" s="33">
        <f>'8_COSTES_OPEX'!BV10</f>
        <v>29775.343333333334</v>
      </c>
      <c r="BW27" s="33">
        <f>'8_COSTES_OPEX'!BW10</f>
        <v>29775.343333333334</v>
      </c>
      <c r="BX27" s="33">
        <f>'8_COSTES_OPEX'!BX10</f>
        <v>29775.343333333334</v>
      </c>
      <c r="BY27" s="33">
        <f>'8_COSTES_OPEX'!BY10</f>
        <v>29775.343333333334</v>
      </c>
      <c r="BZ27" s="33">
        <f>'8_COSTES_OPEX'!BZ10</f>
        <v>29775.343333333334</v>
      </c>
      <c r="CA27" s="33">
        <f>'8_COSTES_OPEX'!CA10</f>
        <v>29775.343333333334</v>
      </c>
      <c r="CB27" s="33">
        <f>'8_COSTES_OPEX'!CB10</f>
        <v>29775.343333333334</v>
      </c>
      <c r="CC27" s="33">
        <f>'8_COSTES_OPEX'!CC10</f>
        <v>29775.343333333334</v>
      </c>
      <c r="CD27" s="33">
        <f>'8_COSTES_OPEX'!CD10</f>
        <v>29775.343333333334</v>
      </c>
      <c r="CE27" s="33">
        <f>'8_COSTES_OPEX'!CE10</f>
        <v>29775.343333333334</v>
      </c>
      <c r="CF27" s="33">
        <f>'8_COSTES_OPEX'!CF10</f>
        <v>29775.343333333334</v>
      </c>
      <c r="CG27" s="33">
        <f>'8_COSTES_OPEX'!CG10</f>
        <v>29775.343333333334</v>
      </c>
      <c r="CH27" s="33">
        <f>'8_COSTES_OPEX'!CH10</f>
        <v>29775.343333333334</v>
      </c>
      <c r="CI27" s="33">
        <f>'8_COSTES_OPEX'!CI10</f>
        <v>29775.343333333334</v>
      </c>
    </row>
    <row r="28" spans="1:87" ht="16.5">
      <c r="A28" s="6" t="s">
        <v>709</v>
      </c>
      <c r="B28" s="30" t="s">
        <v>465</v>
      </c>
      <c r="C28" s="17" t="s">
        <v>710</v>
      </c>
      <c r="D28" s="33">
        <f>'8_COSTES_OPEX'!D47-'8_COSTES_OPEX'!D10</f>
        <v>14004.819999999994</v>
      </c>
      <c r="E28" s="33">
        <f>'8_COSTES_OPEX'!E47-'8_COSTES_OPEX'!E10</f>
        <v>18010.819999999992</v>
      </c>
      <c r="F28" s="33">
        <f>'8_COSTES_OPEX'!F47-'8_COSTES_OPEX'!F10</f>
        <v>17436.669999999991</v>
      </c>
      <c r="G28" s="33">
        <f>'8_COSTES_OPEX'!G47-'8_COSTES_OPEX'!G10</f>
        <v>14436.819999999994</v>
      </c>
      <c r="H28" s="33">
        <f>'8_COSTES_OPEX'!H47-'8_COSTES_OPEX'!H10</f>
        <v>14589.819999999994</v>
      </c>
      <c r="I28" s="33">
        <f>'8_COSTES_OPEX'!I47-'8_COSTES_OPEX'!I10</f>
        <v>14748.819999999994</v>
      </c>
      <c r="J28" s="33">
        <f>'8_COSTES_OPEX'!J47-'8_COSTES_OPEX'!J10</f>
        <v>14913.819999999994</v>
      </c>
      <c r="K28" s="33">
        <f>'8_COSTES_OPEX'!K47-'8_COSTES_OPEX'!K10</f>
        <v>15084.819999999994</v>
      </c>
      <c r="L28" s="33">
        <f>'8_COSTES_OPEX'!L47-'8_COSTES_OPEX'!L10</f>
        <v>15267.819999999994</v>
      </c>
      <c r="M28" s="33">
        <f>'8_COSTES_OPEX'!M47-'8_COSTES_OPEX'!M10</f>
        <v>17259.819999999992</v>
      </c>
      <c r="N28" s="33">
        <f>'8_COSTES_OPEX'!N47-'8_COSTES_OPEX'!N10</f>
        <v>15663.819999999994</v>
      </c>
      <c r="O28" s="33">
        <f>'8_COSTES_OPEX'!O47-'8_COSTES_OPEX'!O10</f>
        <v>15876.819999999994</v>
      </c>
      <c r="P28" s="33">
        <f>'8_COSTES_OPEX'!P47-'8_COSTES_OPEX'!P10</f>
        <v>16101.82</v>
      </c>
      <c r="Q28" s="33">
        <f>'8_COSTES_OPEX'!Q47-'8_COSTES_OPEX'!Q10</f>
        <v>16338.82</v>
      </c>
      <c r="R28" s="33">
        <f>'8_COSTES_OPEX'!R47-'8_COSTES_OPEX'!R10</f>
        <v>16590.82</v>
      </c>
      <c r="S28" s="33">
        <f>'8_COSTES_OPEX'!S47-'8_COSTES_OPEX'!S10</f>
        <v>16860.82</v>
      </c>
      <c r="T28" s="33">
        <f>'8_COSTES_OPEX'!T47-'8_COSTES_OPEX'!T10</f>
        <v>17148.82</v>
      </c>
      <c r="U28" s="33">
        <f>'8_COSTES_OPEX'!U47-'8_COSTES_OPEX'!U10</f>
        <v>17454.82</v>
      </c>
      <c r="V28" s="33">
        <f>'8_COSTES_OPEX'!V47-'8_COSTES_OPEX'!V10</f>
        <v>17784.820000000003</v>
      </c>
      <c r="W28" s="33">
        <f>'8_COSTES_OPEX'!W47-'8_COSTES_OPEX'!W10</f>
        <v>18135.820000000003</v>
      </c>
      <c r="X28" s="33">
        <f>'8_COSTES_OPEX'!X47-'8_COSTES_OPEX'!X10</f>
        <v>18513.820000000003</v>
      </c>
      <c r="Y28" s="33">
        <f>'8_COSTES_OPEX'!Y47-'8_COSTES_OPEX'!Y10</f>
        <v>18918.820000000003</v>
      </c>
      <c r="Z28" s="33">
        <f>'8_COSTES_OPEX'!Z47-'8_COSTES_OPEX'!Z10</f>
        <v>19350.820000000003</v>
      </c>
      <c r="AA28" s="33">
        <f>'8_COSTES_OPEX'!AA47-'8_COSTES_OPEX'!AA10</f>
        <v>19815.820000000003</v>
      </c>
      <c r="AB28" s="33">
        <f>'8_COSTES_OPEX'!AB47-'8_COSTES_OPEX'!AB10</f>
        <v>20316.820000000003</v>
      </c>
      <c r="AC28" s="33">
        <f>'8_COSTES_OPEX'!AC47-'8_COSTES_OPEX'!AC10</f>
        <v>20856.820000000003</v>
      </c>
      <c r="AD28" s="33">
        <f>'8_COSTES_OPEX'!AD47-'8_COSTES_OPEX'!AD10</f>
        <v>21435.820000000003</v>
      </c>
      <c r="AE28" s="33">
        <f>'8_COSTES_OPEX'!AE47-'8_COSTES_OPEX'!AE10</f>
        <v>22059.820000000003</v>
      </c>
      <c r="AF28" s="33">
        <f>'8_COSTES_OPEX'!AF47-'8_COSTES_OPEX'!AF10</f>
        <v>22731.820000000003</v>
      </c>
      <c r="AG28" s="33">
        <f>'8_COSTES_OPEX'!AG47-'8_COSTES_OPEX'!AG10</f>
        <v>23454.820000000003</v>
      </c>
      <c r="AH28" s="33">
        <f>'8_COSTES_OPEX'!AH47-'8_COSTES_OPEX'!AH10</f>
        <v>24234.820000000003</v>
      </c>
      <c r="AI28" s="33">
        <f>'8_COSTES_OPEX'!AI47-'8_COSTES_OPEX'!AI10</f>
        <v>25074.820000000003</v>
      </c>
      <c r="AJ28" s="33">
        <f>'8_COSTES_OPEX'!AJ47-'8_COSTES_OPEX'!AJ10</f>
        <v>25980.820000000003</v>
      </c>
      <c r="AK28" s="33">
        <f>'8_COSTES_OPEX'!AK47-'8_COSTES_OPEX'!AK10</f>
        <v>26955.820000000003</v>
      </c>
      <c r="AL28" s="33">
        <f>'8_COSTES_OPEX'!AL47-'8_COSTES_OPEX'!AL10</f>
        <v>28008.820000000003</v>
      </c>
      <c r="AM28" s="33">
        <f>'8_COSTES_OPEX'!AM47-'8_COSTES_OPEX'!AM10</f>
        <v>29142.820000000003</v>
      </c>
      <c r="AN28" s="33">
        <f>'8_COSTES_OPEX'!AN47-'8_COSTES_OPEX'!AN10</f>
        <v>30366.820000000003</v>
      </c>
      <c r="AO28" s="33">
        <f>'8_COSTES_OPEX'!AO47-'8_COSTES_OPEX'!AO10</f>
        <v>31686.820000000003</v>
      </c>
      <c r="AP28" s="33">
        <f>'8_COSTES_OPEX'!AP47-'8_COSTES_OPEX'!AP10</f>
        <v>33111.820000000007</v>
      </c>
      <c r="AQ28" s="33">
        <f>'8_COSTES_OPEX'!AQ47-'8_COSTES_OPEX'!AQ10</f>
        <v>34647.820000000007</v>
      </c>
      <c r="AR28" s="33">
        <f>'8_COSTES_OPEX'!AR47-'8_COSTES_OPEX'!AR10</f>
        <v>36309.819999999992</v>
      </c>
      <c r="AS28" s="33">
        <f>'8_COSTES_OPEX'!AS47-'8_COSTES_OPEX'!AS10</f>
        <v>38100.819999999992</v>
      </c>
      <c r="AT28" s="33">
        <f>'8_COSTES_OPEX'!AT47-'8_COSTES_OPEX'!AT10</f>
        <v>40032.819999999992</v>
      </c>
      <c r="AU28" s="33">
        <f>'8_COSTES_OPEX'!AU47-'8_COSTES_OPEX'!AU10</f>
        <v>42117.819999999992</v>
      </c>
      <c r="AV28" s="33">
        <f>'8_COSTES_OPEX'!AV47-'8_COSTES_OPEX'!AV10</f>
        <v>44370.819999999992</v>
      </c>
      <c r="AW28" s="33">
        <f>'8_COSTES_OPEX'!AW47-'8_COSTES_OPEX'!AW10</f>
        <v>46803.819999999992</v>
      </c>
      <c r="AX28" s="33">
        <f>'8_COSTES_OPEX'!AX47-'8_COSTES_OPEX'!AX10</f>
        <v>49431.819999999992</v>
      </c>
      <c r="AY28" s="33">
        <f>'8_COSTES_OPEX'!AY47-'8_COSTES_OPEX'!AY10</f>
        <v>52266.819999999992</v>
      </c>
      <c r="AZ28" s="33">
        <f>'8_COSTES_OPEX'!AZ47-'8_COSTES_OPEX'!AZ10</f>
        <v>55329.819999999992</v>
      </c>
      <c r="BA28" s="33">
        <f>'8_COSTES_OPEX'!BA47-'8_COSTES_OPEX'!BA10</f>
        <v>58638.819999999992</v>
      </c>
      <c r="BB28" s="33">
        <f>'8_COSTES_OPEX'!BB47-'8_COSTES_OPEX'!BB10</f>
        <v>62208.819999999992</v>
      </c>
      <c r="BC28" s="33">
        <f>'8_COSTES_OPEX'!BC47-'8_COSTES_OPEX'!BC10</f>
        <v>66066.819999999992</v>
      </c>
      <c r="BD28" s="33">
        <f>'8_COSTES_OPEX'!BD47-'8_COSTES_OPEX'!BD10</f>
        <v>70230.819999999992</v>
      </c>
      <c r="BE28" s="33">
        <f>'8_COSTES_OPEX'!BE47-'8_COSTES_OPEX'!BE10</f>
        <v>74724.819999999992</v>
      </c>
      <c r="BF28" s="33">
        <f>'8_COSTES_OPEX'!BF47-'8_COSTES_OPEX'!BF10</f>
        <v>79578.819999999992</v>
      </c>
      <c r="BG28" s="33">
        <f>'8_COSTES_OPEX'!BG47-'8_COSTES_OPEX'!BG10</f>
        <v>84822.819999999992</v>
      </c>
      <c r="BH28" s="33">
        <f>'8_COSTES_OPEX'!BH47-'8_COSTES_OPEX'!BH10</f>
        <v>90483.819999999992</v>
      </c>
      <c r="BI28" s="33">
        <f>'8_COSTES_OPEX'!BI47-'8_COSTES_OPEX'!BI10</f>
        <v>96597.819999999992</v>
      </c>
      <c r="BJ28" s="33">
        <f>'8_COSTES_OPEX'!BJ47-'8_COSTES_OPEX'!BJ10</f>
        <v>103197.81999999999</v>
      </c>
      <c r="BK28" s="33">
        <f>'8_COSTES_OPEX'!BK47-'8_COSTES_OPEX'!BK10</f>
        <v>110328.81999999999</v>
      </c>
      <c r="BL28" s="33">
        <f>'8_COSTES_OPEX'!BL47-'8_COSTES_OPEX'!BL10</f>
        <v>118029.81999999999</v>
      </c>
      <c r="BM28" s="33">
        <f>'8_COSTES_OPEX'!BM47-'8_COSTES_OPEX'!BM10</f>
        <v>126342.81999999999</v>
      </c>
      <c r="BN28" s="33">
        <f>'8_COSTES_OPEX'!BN47-'8_COSTES_OPEX'!BN10</f>
        <v>135321.82</v>
      </c>
      <c r="BO28" s="33">
        <f>'8_COSTES_OPEX'!BO47-'8_COSTES_OPEX'!BO10</f>
        <v>145020.82000000004</v>
      </c>
      <c r="BP28" s="33">
        <f>'8_COSTES_OPEX'!BP47-'8_COSTES_OPEX'!BP10</f>
        <v>155496.82000000004</v>
      </c>
      <c r="BQ28" s="33">
        <f>'8_COSTES_OPEX'!BQ47-'8_COSTES_OPEX'!BQ10</f>
        <v>166809.82000000004</v>
      </c>
      <c r="BR28" s="33">
        <f>'8_COSTES_OPEX'!BR47-'8_COSTES_OPEX'!BR10</f>
        <v>179025.82000000004</v>
      </c>
      <c r="BS28" s="33">
        <f>'8_COSTES_OPEX'!BS47-'8_COSTES_OPEX'!BS10</f>
        <v>192216.82000000004</v>
      </c>
      <c r="BT28" s="33">
        <f>'8_COSTES_OPEX'!BT47-'8_COSTES_OPEX'!BT10</f>
        <v>206463.82000000004</v>
      </c>
      <c r="BU28" s="33">
        <f>'8_COSTES_OPEX'!BU47-'8_COSTES_OPEX'!BU10</f>
        <v>221850.82000000004</v>
      </c>
      <c r="BV28" s="33">
        <f>'8_COSTES_OPEX'!BV47-'8_COSTES_OPEX'!BV10</f>
        <v>238467.82</v>
      </c>
      <c r="BW28" s="33">
        <f>'8_COSTES_OPEX'!BW47-'8_COSTES_OPEX'!BW10</f>
        <v>256413.82</v>
      </c>
      <c r="BX28" s="33">
        <f>'8_COSTES_OPEX'!BX47-'8_COSTES_OPEX'!BX10</f>
        <v>275796.82</v>
      </c>
      <c r="BY28" s="33">
        <f>'8_COSTES_OPEX'!BY47-'8_COSTES_OPEX'!BY10</f>
        <v>296730.82</v>
      </c>
      <c r="BZ28" s="33">
        <f>'8_COSTES_OPEX'!BZ47-'8_COSTES_OPEX'!BZ10</f>
        <v>319338.82</v>
      </c>
      <c r="CA28" s="33">
        <f>'8_COSTES_OPEX'!CA47-'8_COSTES_OPEX'!CA10</f>
        <v>343755.82</v>
      </c>
      <c r="CB28" s="33">
        <f>'8_COSTES_OPEX'!CB47-'8_COSTES_OPEX'!CB10</f>
        <v>370125.82</v>
      </c>
      <c r="CC28" s="33">
        <f>'8_COSTES_OPEX'!CC47-'8_COSTES_OPEX'!CC10</f>
        <v>398604.82</v>
      </c>
      <c r="CD28" s="33">
        <f>'8_COSTES_OPEX'!CD47-'8_COSTES_OPEX'!CD10</f>
        <v>429363.82</v>
      </c>
      <c r="CE28" s="33">
        <f>'8_COSTES_OPEX'!CE47-'8_COSTES_OPEX'!CE10</f>
        <v>462582.82</v>
      </c>
      <c r="CF28" s="33">
        <f>'8_COSTES_OPEX'!CF47-'8_COSTES_OPEX'!CF10</f>
        <v>498459.82</v>
      </c>
      <c r="CG28" s="33">
        <f>'8_COSTES_OPEX'!CG47-'8_COSTES_OPEX'!CG10</f>
        <v>537207.81999999995</v>
      </c>
      <c r="CH28" s="33">
        <f>'8_COSTES_OPEX'!CH47-'8_COSTES_OPEX'!CH10</f>
        <v>579054.81999999995</v>
      </c>
      <c r="CI28" s="33">
        <f>'8_COSTES_OPEX'!CI47-'8_COSTES_OPEX'!CI10</f>
        <v>624246.81999999995</v>
      </c>
    </row>
    <row r="29" spans="1:87" ht="16.5">
      <c r="A29" s="6" t="s">
        <v>711</v>
      </c>
      <c r="B29" s="30" t="s">
        <v>465</v>
      </c>
      <c r="C29" s="17" t="s">
        <v>712</v>
      </c>
      <c r="D29" s="33">
        <f>'6_COSTES_COGS'!D15</f>
        <v>2356.5379324999999</v>
      </c>
      <c r="E29" s="33">
        <f>'6_COSTES_COGS'!E15</f>
        <v>2577.9167275</v>
      </c>
      <c r="F29" s="33">
        <f>'6_COSTES_COGS'!F15</f>
        <v>2800.9485001000003</v>
      </c>
      <c r="G29" s="33">
        <f>'6_COSTES_COGS'!G15</f>
        <v>3071.7785455080002</v>
      </c>
      <c r="H29" s="33">
        <f>'6_COSTES_COGS'!H15</f>
        <v>3345.17813254864</v>
      </c>
      <c r="I29" s="33">
        <f>'6_COSTES_COGS'!I15</f>
        <v>3665.2000835525314</v>
      </c>
      <c r="J29" s="33">
        <f>'6_COSTES_COGS'!J15</f>
        <v>3946.7250316367335</v>
      </c>
      <c r="K29" s="33">
        <f>'6_COSTES_COGS'!K15</f>
        <v>4276.7903305676728</v>
      </c>
      <c r="L29" s="33">
        <f>'6_COSTES_COGS'!L15</f>
        <v>4656.7487924130864</v>
      </c>
      <c r="M29" s="33">
        <f>'6_COSTES_COGS'!M15</f>
        <v>5043.090853206133</v>
      </c>
      <c r="N29" s="33">
        <f>'6_COSTES_COGS'!N15</f>
        <v>5479.591491862624</v>
      </c>
      <c r="O29" s="33">
        <f>'6_COSTES_COGS'!O15</f>
        <v>5924.2736276116339</v>
      </c>
      <c r="P29" s="33">
        <f>'6_COSTES_COGS'!P15</f>
        <v>6376.0539462205643</v>
      </c>
      <c r="Q29" s="33">
        <f>'6_COSTES_COGS'!Q15</f>
        <v>6876.8961553182089</v>
      </c>
      <c r="R29" s="33">
        <f>'6_COSTES_COGS'!R15</f>
        <v>7432.4989941436661</v>
      </c>
      <c r="S29" s="33">
        <f>'6_COSTES_COGS'!S15</f>
        <v>8040.6875730751599</v>
      </c>
      <c r="T29" s="33">
        <f>'6_COSTES_COGS'!T15</f>
        <v>8659.5214683211725</v>
      </c>
      <c r="U29" s="33">
        <f>'6_COSTES_COGS'!U15</f>
        <v>9332.8425221868656</v>
      </c>
      <c r="V29" s="33">
        <f>'6_COSTES_COGS'!V15</f>
        <v>10064.260999361815</v>
      </c>
      <c r="W29" s="33">
        <f>'6_COSTES_COGS'!W15</f>
        <v>10852.104549710761</v>
      </c>
      <c r="X29" s="33">
        <f>'6_COSTES_COGS'!X15</f>
        <v>11701.673403087621</v>
      </c>
      <c r="Y29" s="33">
        <f>'6_COSTES_COGS'!Y15</f>
        <v>12611.079971734631</v>
      </c>
      <c r="Z29" s="33">
        <f>'6_COSTES_COGS'!Z15</f>
        <v>13580.4694108734</v>
      </c>
      <c r="AA29" s="33">
        <f>'6_COSTES_COGS'!AA15</f>
        <v>14659.193313143274</v>
      </c>
      <c r="AB29" s="33">
        <f>'6_COSTES_COGS'!AB15</f>
        <v>15804.885412594736</v>
      </c>
      <c r="AC29" s="33">
        <f>'6_COSTES_COGS'!AC15</f>
        <v>17061.556324002315</v>
      </c>
      <c r="AD29" s="33">
        <f>'6_COSTES_COGS'!AD15</f>
        <v>18387.155343322498</v>
      </c>
      <c r="AE29" s="33">
        <f>'6_COSTES_COGS'!AE15</f>
        <v>19827.073160188302</v>
      </c>
      <c r="AF29" s="33">
        <f>'6_COSTES_COGS'!AF15</f>
        <v>21385.342608403364</v>
      </c>
      <c r="AG29" s="33">
        <f>'6_COSTES_COGS'!AG15</f>
        <v>23063.342830475631</v>
      </c>
      <c r="AH29" s="33">
        <f>'6_COSTES_COGS'!AH15</f>
        <v>24864.831582313684</v>
      </c>
      <c r="AI29" s="33">
        <f>'6_COSTES_COGS'!AI15</f>
        <v>26833.61562929878</v>
      </c>
      <c r="AJ29" s="33">
        <f>'6_COSTES_COGS'!AJ15</f>
        <v>28933.00581004268</v>
      </c>
      <c r="AK29" s="33">
        <f>'6_COSTES_COGS'!AK15</f>
        <v>31205.096844246094</v>
      </c>
      <c r="AL29" s="33">
        <f>'6_COSTES_COGS'!AL15</f>
        <v>33658.723286185785</v>
      </c>
      <c r="AM29" s="33">
        <f>'6_COSTES_COGS'!AM15</f>
        <v>36294.003300480646</v>
      </c>
      <c r="AN29" s="33">
        <f>'6_COSTES_COGS'!AN15</f>
        <v>39161.951761919096</v>
      </c>
      <c r="AO29" s="33">
        <f>'6_COSTES_COGS'!AO15</f>
        <v>42262.415556272623</v>
      </c>
      <c r="AP29" s="33">
        <f>'6_COSTES_COGS'!AP15</f>
        <v>45606.372534174436</v>
      </c>
      <c r="AQ29" s="33">
        <f>'6_COSTES_COGS'!AQ15</f>
        <v>49193.398970308386</v>
      </c>
      <c r="AR29" s="33">
        <f>'6_COSTES_COGS'!AR15</f>
        <v>53122.360905333058</v>
      </c>
      <c r="AS29" s="33">
        <f>'6_COSTES_COGS'!AS15</f>
        <v>57307.127423159705</v>
      </c>
      <c r="AT29" s="33">
        <f>'6_COSTES_COGS'!AT15</f>
        <v>61840.733366412482</v>
      </c>
      <c r="AU29" s="33">
        <f>'6_COSTES_COGS'!AU15</f>
        <v>66735.814843125481</v>
      </c>
      <c r="AV29" s="33">
        <f>'6_COSTES_COGS'!AV15</f>
        <v>72041.595052975521</v>
      </c>
      <c r="AW29" s="33">
        <f>'6_COSTES_COGS'!AW15</f>
        <v>77765.101986613561</v>
      </c>
      <c r="AX29" s="33">
        <f>'6_COSTES_COGS'!AX15</f>
        <v>83960.920826942645</v>
      </c>
      <c r="AY29" s="33">
        <f>'6_COSTES_COGS'!AY15</f>
        <v>90594.083631498055</v>
      </c>
      <c r="AZ29" s="33">
        <f>'6_COSTES_COGS'!AZ15</f>
        <v>97807.011050417903</v>
      </c>
      <c r="BA29" s="33">
        <f>'6_COSTES_COGS'!BA15</f>
        <v>105612.30668485134</v>
      </c>
      <c r="BB29" s="33">
        <f>'6_COSTES_COGS'!BB15</f>
        <v>113972.88304103943</v>
      </c>
      <c r="BC29" s="33">
        <f>'6_COSTES_COGS'!BC15</f>
        <v>123084.2480607226</v>
      </c>
      <c r="BD29" s="33">
        <f>'6_COSTES_COGS'!BD15</f>
        <v>132867.26590898039</v>
      </c>
      <c r="BE29" s="33">
        <f>'6_COSTES_COGS'!BE15</f>
        <v>143427.81867609883</v>
      </c>
      <c r="BF29" s="33">
        <f>'6_COSTES_COGS'!BF15</f>
        <v>154869.55767558672</v>
      </c>
      <c r="BG29" s="33">
        <f>'6_COSTES_COGS'!BG15</f>
        <v>167210.24689603367</v>
      </c>
      <c r="BH29" s="33">
        <f>'6_COSTES_COGS'!BH15</f>
        <v>180513.56054011639</v>
      </c>
      <c r="BI29" s="33">
        <f>'6_COSTES_COGS'!BI15</f>
        <v>194932.41618472568</v>
      </c>
      <c r="BJ29" s="33">
        <f>'6_COSTES_COGS'!BJ15</f>
        <v>210442.62939690374</v>
      </c>
      <c r="BK29" s="33">
        <f>'6_COSTES_COGS'!BK15</f>
        <v>227248.34176605602</v>
      </c>
      <c r="BL29" s="33">
        <f>'6_COSTES_COGS'!BL15</f>
        <v>245372.4709887405</v>
      </c>
      <c r="BM29" s="33">
        <f>'6_COSTES_COGS'!BM15</f>
        <v>264931.71564323979</v>
      </c>
      <c r="BN29" s="33">
        <f>'6_COSTES_COGS'!BN15</f>
        <v>286089.63826709893</v>
      </c>
      <c r="BO29" s="33">
        <f>'6_COSTES_COGS'!BO15</f>
        <v>308921.96142686688</v>
      </c>
      <c r="BP29" s="33">
        <f>'6_COSTES_COGS'!BP15</f>
        <v>333598.1651204162</v>
      </c>
      <c r="BQ29" s="33">
        <f>'6_COSTES_COGS'!BQ15</f>
        <v>360243.31792844948</v>
      </c>
      <c r="BR29" s="33">
        <f>'6_COSTES_COGS'!BR15</f>
        <v>388984.53425812547</v>
      </c>
      <c r="BS29" s="33">
        <f>'6_COSTES_COGS'!BS15</f>
        <v>420043.57162317552</v>
      </c>
      <c r="BT29" s="33">
        <f>'6_COSTES_COGS'!BT15</f>
        <v>453602.22593142954</v>
      </c>
      <c r="BU29" s="33">
        <f>'6_COSTES_COGS'!BU15</f>
        <v>489843.59952734387</v>
      </c>
      <c r="BV29" s="33">
        <f>'6_COSTES_COGS'!BV15</f>
        <v>528954.73148893146</v>
      </c>
      <c r="BW29" s="33">
        <f>'6_COSTES_COGS'!BW15</f>
        <v>571217.69703044591</v>
      </c>
      <c r="BX29" s="33">
        <f>'6_COSTES_COGS'!BX15</f>
        <v>616875.50331428158</v>
      </c>
      <c r="BY29" s="33">
        <f>'6_COSTES_COGS'!BY15</f>
        <v>666173.35982782417</v>
      </c>
      <c r="BZ29" s="33">
        <f>'6_COSTES_COGS'!BZ15</f>
        <v>719407.38840845006</v>
      </c>
      <c r="CA29" s="33">
        <f>'6_COSTES_COGS'!CA15</f>
        <v>776924.78687752609</v>
      </c>
      <c r="CB29" s="33">
        <f>'6_COSTES_COGS'!CB15</f>
        <v>838991.91337212815</v>
      </c>
      <c r="CC29" s="33">
        <f>'6_COSTES_COGS'!CC15</f>
        <v>906054.38856629841</v>
      </c>
      <c r="CD29" s="33">
        <f>'6_COSTES_COGS'!CD15</f>
        <v>978526.58912700228</v>
      </c>
      <c r="CE29" s="33">
        <f>'6_COSTES_COGS'!CE15</f>
        <v>1056741.8892785625</v>
      </c>
      <c r="CF29" s="33">
        <f>'6_COSTES_COGS'!CF15</f>
        <v>1141214.7042032476</v>
      </c>
      <c r="CG29" s="33">
        <f>'6_COSTES_COGS'!CG15</f>
        <v>1232473.9683099072</v>
      </c>
      <c r="CH29" s="33">
        <f>'6_COSTES_COGS'!CH15</f>
        <v>1331013.4120570999</v>
      </c>
      <c r="CI29" s="33">
        <f>'6_COSTES_COGS'!CI15</f>
        <v>1437423.3405220679</v>
      </c>
    </row>
    <row r="30" spans="1:87" ht="16.5">
      <c r="A30" s="6" t="s">
        <v>713</v>
      </c>
      <c r="B30" s="30" t="s">
        <v>465</v>
      </c>
      <c r="C30" s="17" t="s">
        <v>714</v>
      </c>
      <c r="D30" s="33">
        <f t="shared" ref="D30:AI30" si="9">D16</f>
        <v>43846</v>
      </c>
      <c r="E30" s="33">
        <f t="shared" si="9"/>
        <v>0</v>
      </c>
      <c r="F30" s="33">
        <f t="shared" si="9"/>
        <v>0</v>
      </c>
      <c r="G30" s="33">
        <f t="shared" si="9"/>
        <v>0</v>
      </c>
      <c r="H30" s="33">
        <f t="shared" si="9"/>
        <v>0</v>
      </c>
      <c r="I30" s="33">
        <f t="shared" si="9"/>
        <v>0</v>
      </c>
      <c r="J30" s="33">
        <f t="shared" si="9"/>
        <v>0</v>
      </c>
      <c r="K30" s="33">
        <f t="shared" si="9"/>
        <v>0</v>
      </c>
      <c r="L30" s="33">
        <f t="shared" si="9"/>
        <v>0</v>
      </c>
      <c r="M30" s="33">
        <f t="shared" si="9"/>
        <v>0</v>
      </c>
      <c r="N30" s="33">
        <f t="shared" si="9"/>
        <v>0</v>
      </c>
      <c r="O30" s="33">
        <f t="shared" si="9"/>
        <v>0</v>
      </c>
      <c r="P30" s="33">
        <f t="shared" si="9"/>
        <v>0</v>
      </c>
      <c r="Q30" s="33">
        <f t="shared" si="9"/>
        <v>0</v>
      </c>
      <c r="R30" s="33">
        <f t="shared" si="9"/>
        <v>0</v>
      </c>
      <c r="S30" s="33">
        <f t="shared" si="9"/>
        <v>0</v>
      </c>
      <c r="T30" s="33">
        <f t="shared" si="9"/>
        <v>0</v>
      </c>
      <c r="U30" s="33">
        <f t="shared" si="9"/>
        <v>0</v>
      </c>
      <c r="V30" s="33">
        <f t="shared" si="9"/>
        <v>0</v>
      </c>
      <c r="W30" s="33">
        <f t="shared" si="9"/>
        <v>0</v>
      </c>
      <c r="X30" s="33">
        <f t="shared" si="9"/>
        <v>0</v>
      </c>
      <c r="Y30" s="33">
        <f t="shared" si="9"/>
        <v>0</v>
      </c>
      <c r="Z30" s="33">
        <f t="shared" si="9"/>
        <v>0</v>
      </c>
      <c r="AA30" s="33">
        <f t="shared" si="9"/>
        <v>0</v>
      </c>
      <c r="AB30" s="33">
        <f t="shared" si="9"/>
        <v>0</v>
      </c>
      <c r="AC30" s="33">
        <f t="shared" si="9"/>
        <v>0</v>
      </c>
      <c r="AD30" s="33">
        <f t="shared" si="9"/>
        <v>0</v>
      </c>
      <c r="AE30" s="33">
        <f t="shared" si="9"/>
        <v>0</v>
      </c>
      <c r="AF30" s="33">
        <f t="shared" si="9"/>
        <v>0</v>
      </c>
      <c r="AG30" s="33">
        <f t="shared" si="9"/>
        <v>0</v>
      </c>
      <c r="AH30" s="33">
        <f t="shared" si="9"/>
        <v>0</v>
      </c>
      <c r="AI30" s="33">
        <f t="shared" si="9"/>
        <v>0</v>
      </c>
      <c r="AJ30" s="33">
        <f t="shared" ref="AJ30:BO30" si="10">AJ16</f>
        <v>0</v>
      </c>
      <c r="AK30" s="33">
        <f t="shared" si="10"/>
        <v>0</v>
      </c>
      <c r="AL30" s="33">
        <f t="shared" si="10"/>
        <v>0</v>
      </c>
      <c r="AM30" s="33">
        <f t="shared" si="10"/>
        <v>0</v>
      </c>
      <c r="AN30" s="33">
        <f t="shared" si="10"/>
        <v>0</v>
      </c>
      <c r="AO30" s="33">
        <f t="shared" si="10"/>
        <v>0</v>
      </c>
      <c r="AP30" s="33">
        <f t="shared" si="10"/>
        <v>0</v>
      </c>
      <c r="AQ30" s="33">
        <f t="shared" si="10"/>
        <v>0</v>
      </c>
      <c r="AR30" s="33">
        <f t="shared" si="10"/>
        <v>0</v>
      </c>
      <c r="AS30" s="33">
        <f t="shared" si="10"/>
        <v>0</v>
      </c>
      <c r="AT30" s="33">
        <f t="shared" si="10"/>
        <v>0</v>
      </c>
      <c r="AU30" s="33">
        <f t="shared" si="10"/>
        <v>0</v>
      </c>
      <c r="AV30" s="33">
        <f t="shared" si="10"/>
        <v>0</v>
      </c>
      <c r="AW30" s="33">
        <f t="shared" si="10"/>
        <v>0</v>
      </c>
      <c r="AX30" s="33">
        <f t="shared" si="10"/>
        <v>0</v>
      </c>
      <c r="AY30" s="33">
        <f t="shared" si="10"/>
        <v>0</v>
      </c>
      <c r="AZ30" s="33">
        <f t="shared" si="10"/>
        <v>0</v>
      </c>
      <c r="BA30" s="33">
        <f t="shared" si="10"/>
        <v>0</v>
      </c>
      <c r="BB30" s="33">
        <f t="shared" si="10"/>
        <v>0</v>
      </c>
      <c r="BC30" s="33">
        <f t="shared" si="10"/>
        <v>0</v>
      </c>
      <c r="BD30" s="33">
        <f t="shared" si="10"/>
        <v>0</v>
      </c>
      <c r="BE30" s="33">
        <f t="shared" si="10"/>
        <v>0</v>
      </c>
      <c r="BF30" s="33">
        <f t="shared" si="10"/>
        <v>0</v>
      </c>
      <c r="BG30" s="33">
        <f t="shared" si="10"/>
        <v>0</v>
      </c>
      <c r="BH30" s="33">
        <f t="shared" si="10"/>
        <v>0</v>
      </c>
      <c r="BI30" s="33">
        <f t="shared" si="10"/>
        <v>0</v>
      </c>
      <c r="BJ30" s="33">
        <f t="shared" si="10"/>
        <v>0</v>
      </c>
      <c r="BK30" s="33">
        <f t="shared" si="10"/>
        <v>0</v>
      </c>
      <c r="BL30" s="33">
        <f t="shared" si="10"/>
        <v>0</v>
      </c>
      <c r="BM30" s="33">
        <f t="shared" si="10"/>
        <v>0</v>
      </c>
      <c r="BN30" s="33">
        <f t="shared" si="10"/>
        <v>0</v>
      </c>
      <c r="BO30" s="33">
        <f t="shared" si="10"/>
        <v>0</v>
      </c>
      <c r="BP30" s="33">
        <f t="shared" ref="BP30:CI30" si="11">BP16</f>
        <v>0</v>
      </c>
      <c r="BQ30" s="33">
        <f t="shared" si="11"/>
        <v>0</v>
      </c>
      <c r="BR30" s="33">
        <f t="shared" si="11"/>
        <v>0</v>
      </c>
      <c r="BS30" s="33">
        <f t="shared" si="11"/>
        <v>0</v>
      </c>
      <c r="BT30" s="33">
        <f t="shared" si="11"/>
        <v>0</v>
      </c>
      <c r="BU30" s="33">
        <f t="shared" si="11"/>
        <v>0</v>
      </c>
      <c r="BV30" s="33">
        <f t="shared" si="11"/>
        <v>0</v>
      </c>
      <c r="BW30" s="33">
        <f t="shared" si="11"/>
        <v>0</v>
      </c>
      <c r="BX30" s="33">
        <f t="shared" si="11"/>
        <v>0</v>
      </c>
      <c r="BY30" s="33">
        <f t="shared" si="11"/>
        <v>0</v>
      </c>
      <c r="BZ30" s="33">
        <f t="shared" si="11"/>
        <v>0</v>
      </c>
      <c r="CA30" s="33">
        <f t="shared" si="11"/>
        <v>0</v>
      </c>
      <c r="CB30" s="33">
        <f t="shared" si="11"/>
        <v>0</v>
      </c>
      <c r="CC30" s="33">
        <f t="shared" si="11"/>
        <v>0</v>
      </c>
      <c r="CD30" s="33">
        <f t="shared" si="11"/>
        <v>0</v>
      </c>
      <c r="CE30" s="33">
        <f t="shared" si="11"/>
        <v>0</v>
      </c>
      <c r="CF30" s="33">
        <f t="shared" si="11"/>
        <v>0</v>
      </c>
      <c r="CG30" s="33">
        <f t="shared" si="11"/>
        <v>0</v>
      </c>
      <c r="CH30" s="33">
        <f t="shared" si="11"/>
        <v>0</v>
      </c>
      <c r="CI30" s="33">
        <f t="shared" si="11"/>
        <v>0</v>
      </c>
    </row>
    <row r="31" spans="1:87" ht="16.5">
      <c r="A31" s="6" t="s">
        <v>715</v>
      </c>
      <c r="B31" s="30" t="s">
        <v>465</v>
      </c>
      <c r="C31" s="17" t="s">
        <v>716</v>
      </c>
      <c r="D31" s="33">
        <f>IF('7_EQUIPO_RRHH'!D$8=1, '1_PANEL_CONTROL'!$C$49, 0)</f>
        <v>2160</v>
      </c>
      <c r="E31" s="33">
        <f>IF('7_EQUIPO_RRHH'!E$8=1, '1_PANEL_CONTROL'!$C$49, 0)</f>
        <v>0</v>
      </c>
      <c r="F31" s="33">
        <f>IF('7_EQUIPO_RRHH'!F$8=1, '1_PANEL_CONTROL'!$C$49, 0)</f>
        <v>0</v>
      </c>
      <c r="G31" s="33">
        <f>IF('7_EQUIPO_RRHH'!G$8=1, '1_PANEL_CONTROL'!$C$49, 0)</f>
        <v>0</v>
      </c>
      <c r="H31" s="33">
        <f>IF('7_EQUIPO_RRHH'!H$8=1, '1_PANEL_CONTROL'!$C$49, 0)</f>
        <v>0</v>
      </c>
      <c r="I31" s="33">
        <f>IF('7_EQUIPO_RRHH'!I$8=1, '1_PANEL_CONTROL'!$C$49, 0)</f>
        <v>0</v>
      </c>
      <c r="J31" s="33">
        <f>IF('7_EQUIPO_RRHH'!J$8=1, '1_PANEL_CONTROL'!$C$49, 0)</f>
        <v>0</v>
      </c>
      <c r="K31" s="33">
        <f>IF('7_EQUIPO_RRHH'!K$8=1, '1_PANEL_CONTROL'!$C$49, 0)</f>
        <v>0</v>
      </c>
      <c r="L31" s="33">
        <f>IF('7_EQUIPO_RRHH'!L$8=1, '1_PANEL_CONTROL'!$C$49, 0)</f>
        <v>0</v>
      </c>
      <c r="M31" s="33">
        <f>IF('7_EQUIPO_RRHH'!M$8=1, '1_PANEL_CONTROL'!$C$49, 0)</f>
        <v>0</v>
      </c>
      <c r="N31" s="33">
        <f>IF('7_EQUIPO_RRHH'!N$8=1, '1_PANEL_CONTROL'!$C$49, 0)</f>
        <v>0</v>
      </c>
      <c r="O31" s="33">
        <f>IF('7_EQUIPO_RRHH'!O$8=1, '1_PANEL_CONTROL'!$C$49, 0)</f>
        <v>0</v>
      </c>
      <c r="P31" s="33">
        <f>IF('7_EQUIPO_RRHH'!P$8=1, '1_PANEL_CONTROL'!$C$49, 0)</f>
        <v>0</v>
      </c>
      <c r="Q31" s="33">
        <f>IF('7_EQUIPO_RRHH'!Q$8=1, '1_PANEL_CONTROL'!$C$49, 0)</f>
        <v>0</v>
      </c>
      <c r="R31" s="33">
        <f>IF('7_EQUIPO_RRHH'!R$8=1, '1_PANEL_CONTROL'!$C$49, 0)</f>
        <v>0</v>
      </c>
      <c r="S31" s="33">
        <f>IF('7_EQUIPO_RRHH'!S$8=1, '1_PANEL_CONTROL'!$C$49, 0)</f>
        <v>0</v>
      </c>
      <c r="T31" s="33">
        <f>IF('7_EQUIPO_RRHH'!T$8=1, '1_PANEL_CONTROL'!$C$49, 0)</f>
        <v>0</v>
      </c>
      <c r="U31" s="33">
        <f>IF('7_EQUIPO_RRHH'!U$8=1, '1_PANEL_CONTROL'!$C$49, 0)</f>
        <v>0</v>
      </c>
      <c r="V31" s="33">
        <f>IF('7_EQUIPO_RRHH'!V$8=1, '1_PANEL_CONTROL'!$C$49, 0)</f>
        <v>0</v>
      </c>
      <c r="W31" s="33">
        <f>IF('7_EQUIPO_RRHH'!W$8=1, '1_PANEL_CONTROL'!$C$49, 0)</f>
        <v>0</v>
      </c>
      <c r="X31" s="33">
        <f>IF('7_EQUIPO_RRHH'!X$8=1, '1_PANEL_CONTROL'!$C$49, 0)</f>
        <v>0</v>
      </c>
      <c r="Y31" s="33">
        <f>IF('7_EQUIPO_RRHH'!Y$8=1, '1_PANEL_CONTROL'!$C$49, 0)</f>
        <v>0</v>
      </c>
      <c r="Z31" s="33">
        <f>IF('7_EQUIPO_RRHH'!Z$8=1, '1_PANEL_CONTROL'!$C$49, 0)</f>
        <v>0</v>
      </c>
      <c r="AA31" s="33">
        <f>IF('7_EQUIPO_RRHH'!AA$8=1, '1_PANEL_CONTROL'!$C$49, 0)</f>
        <v>0</v>
      </c>
      <c r="AB31" s="33">
        <f>IF('7_EQUIPO_RRHH'!AB$8=1, '1_PANEL_CONTROL'!$C$49, 0)</f>
        <v>0</v>
      </c>
      <c r="AC31" s="33">
        <f>IF('7_EQUIPO_RRHH'!AC$8=1, '1_PANEL_CONTROL'!$C$49, 0)</f>
        <v>0</v>
      </c>
      <c r="AD31" s="33">
        <f>IF('7_EQUIPO_RRHH'!AD$8=1, '1_PANEL_CONTROL'!$C$49, 0)</f>
        <v>0</v>
      </c>
      <c r="AE31" s="33">
        <f>IF('7_EQUIPO_RRHH'!AE$8=1, '1_PANEL_CONTROL'!$C$49, 0)</f>
        <v>0</v>
      </c>
      <c r="AF31" s="33">
        <f>IF('7_EQUIPO_RRHH'!AF$8=1, '1_PANEL_CONTROL'!$C$49, 0)</f>
        <v>0</v>
      </c>
      <c r="AG31" s="33">
        <f>IF('7_EQUIPO_RRHH'!AG$8=1, '1_PANEL_CONTROL'!$C$49, 0)</f>
        <v>0</v>
      </c>
      <c r="AH31" s="33">
        <f>IF('7_EQUIPO_RRHH'!AH$8=1, '1_PANEL_CONTROL'!$C$49, 0)</f>
        <v>0</v>
      </c>
      <c r="AI31" s="33">
        <f>IF('7_EQUIPO_RRHH'!AI$8=1, '1_PANEL_CONTROL'!$C$49, 0)</f>
        <v>0</v>
      </c>
      <c r="AJ31" s="33">
        <f>IF('7_EQUIPO_RRHH'!AJ$8=1, '1_PANEL_CONTROL'!$C$49, 0)</f>
        <v>0</v>
      </c>
      <c r="AK31" s="33">
        <f>IF('7_EQUIPO_RRHH'!AK$8=1, '1_PANEL_CONTROL'!$C$49, 0)</f>
        <v>0</v>
      </c>
      <c r="AL31" s="33">
        <f>IF('7_EQUIPO_RRHH'!AL$8=1, '1_PANEL_CONTROL'!$C$49, 0)</f>
        <v>0</v>
      </c>
      <c r="AM31" s="33">
        <f>IF('7_EQUIPO_RRHH'!AM$8=1, '1_PANEL_CONTROL'!$C$49, 0)</f>
        <v>0</v>
      </c>
      <c r="AN31" s="33">
        <f>IF('7_EQUIPO_RRHH'!AN$8=1, '1_PANEL_CONTROL'!$C$49, 0)</f>
        <v>0</v>
      </c>
      <c r="AO31" s="33">
        <f>IF('7_EQUIPO_RRHH'!AO$8=1, '1_PANEL_CONTROL'!$C$49, 0)</f>
        <v>0</v>
      </c>
      <c r="AP31" s="33">
        <f>IF('7_EQUIPO_RRHH'!AP$8=1, '1_PANEL_CONTROL'!$C$49, 0)</f>
        <v>0</v>
      </c>
      <c r="AQ31" s="33">
        <f>IF('7_EQUIPO_RRHH'!AQ$8=1, '1_PANEL_CONTROL'!$C$49, 0)</f>
        <v>0</v>
      </c>
      <c r="AR31" s="33">
        <f>IF('7_EQUIPO_RRHH'!AR$8=1, '1_PANEL_CONTROL'!$C$49, 0)</f>
        <v>0</v>
      </c>
      <c r="AS31" s="33">
        <f>IF('7_EQUIPO_RRHH'!AS$8=1, '1_PANEL_CONTROL'!$C$49, 0)</f>
        <v>0</v>
      </c>
      <c r="AT31" s="33">
        <f>IF('7_EQUIPO_RRHH'!AT$8=1, '1_PANEL_CONTROL'!$C$49, 0)</f>
        <v>0</v>
      </c>
      <c r="AU31" s="33">
        <f>IF('7_EQUIPO_RRHH'!AU$8=1, '1_PANEL_CONTROL'!$C$49, 0)</f>
        <v>0</v>
      </c>
      <c r="AV31" s="33">
        <f>IF('7_EQUIPO_RRHH'!AV$8=1, '1_PANEL_CONTROL'!$C$49, 0)</f>
        <v>0</v>
      </c>
      <c r="AW31" s="33">
        <f>IF('7_EQUIPO_RRHH'!AW$8=1, '1_PANEL_CONTROL'!$C$49, 0)</f>
        <v>0</v>
      </c>
      <c r="AX31" s="33">
        <f>IF('7_EQUIPO_RRHH'!AX$8=1, '1_PANEL_CONTROL'!$C$49, 0)</f>
        <v>0</v>
      </c>
      <c r="AY31" s="33">
        <f>IF('7_EQUIPO_RRHH'!AY$8=1, '1_PANEL_CONTROL'!$C$49, 0)</f>
        <v>0</v>
      </c>
      <c r="AZ31" s="33">
        <f>IF('7_EQUIPO_RRHH'!AZ$8=1, '1_PANEL_CONTROL'!$C$49, 0)</f>
        <v>0</v>
      </c>
      <c r="BA31" s="33">
        <f>IF('7_EQUIPO_RRHH'!BA$8=1, '1_PANEL_CONTROL'!$C$49, 0)</f>
        <v>0</v>
      </c>
      <c r="BB31" s="33">
        <f>IF('7_EQUIPO_RRHH'!BB$8=1, '1_PANEL_CONTROL'!$C$49, 0)</f>
        <v>0</v>
      </c>
      <c r="BC31" s="33">
        <f>IF('7_EQUIPO_RRHH'!BC$8=1, '1_PANEL_CONTROL'!$C$49, 0)</f>
        <v>0</v>
      </c>
      <c r="BD31" s="33">
        <f>IF('7_EQUIPO_RRHH'!BD$8=1, '1_PANEL_CONTROL'!$C$49, 0)</f>
        <v>0</v>
      </c>
      <c r="BE31" s="33">
        <f>IF('7_EQUIPO_RRHH'!BE$8=1, '1_PANEL_CONTROL'!$C$49, 0)</f>
        <v>0</v>
      </c>
      <c r="BF31" s="33">
        <f>IF('7_EQUIPO_RRHH'!BF$8=1, '1_PANEL_CONTROL'!$C$49, 0)</f>
        <v>0</v>
      </c>
      <c r="BG31" s="33">
        <f>IF('7_EQUIPO_RRHH'!BG$8=1, '1_PANEL_CONTROL'!$C$49, 0)</f>
        <v>0</v>
      </c>
      <c r="BH31" s="33">
        <f>IF('7_EQUIPO_RRHH'!BH$8=1, '1_PANEL_CONTROL'!$C$49, 0)</f>
        <v>0</v>
      </c>
      <c r="BI31" s="33">
        <f>IF('7_EQUIPO_RRHH'!BI$8=1, '1_PANEL_CONTROL'!$C$49, 0)</f>
        <v>0</v>
      </c>
      <c r="BJ31" s="33">
        <f>IF('7_EQUIPO_RRHH'!BJ$8=1, '1_PANEL_CONTROL'!$C$49, 0)</f>
        <v>0</v>
      </c>
      <c r="BK31" s="33">
        <f>IF('7_EQUIPO_RRHH'!BK$8=1, '1_PANEL_CONTROL'!$C$49, 0)</f>
        <v>0</v>
      </c>
      <c r="BL31" s="33">
        <f>IF('7_EQUIPO_RRHH'!BL$8=1, '1_PANEL_CONTROL'!$C$49, 0)</f>
        <v>0</v>
      </c>
      <c r="BM31" s="33">
        <f>IF('7_EQUIPO_RRHH'!BM$8=1, '1_PANEL_CONTROL'!$C$49, 0)</f>
        <v>0</v>
      </c>
      <c r="BN31" s="33">
        <f>IF('7_EQUIPO_RRHH'!BN$8=1, '1_PANEL_CONTROL'!$C$49, 0)</f>
        <v>0</v>
      </c>
      <c r="BO31" s="33">
        <f>IF('7_EQUIPO_RRHH'!BO$8=1, '1_PANEL_CONTROL'!$C$49, 0)</f>
        <v>0</v>
      </c>
      <c r="BP31" s="33">
        <f>IF('7_EQUIPO_RRHH'!BP$8=1, '1_PANEL_CONTROL'!$C$49, 0)</f>
        <v>0</v>
      </c>
      <c r="BQ31" s="33">
        <f>IF('7_EQUIPO_RRHH'!BQ$8=1, '1_PANEL_CONTROL'!$C$49, 0)</f>
        <v>0</v>
      </c>
      <c r="BR31" s="33">
        <f>IF('7_EQUIPO_RRHH'!BR$8=1, '1_PANEL_CONTROL'!$C$49, 0)</f>
        <v>0</v>
      </c>
      <c r="BS31" s="33">
        <f>IF('7_EQUIPO_RRHH'!BS$8=1, '1_PANEL_CONTROL'!$C$49, 0)</f>
        <v>0</v>
      </c>
      <c r="BT31" s="33">
        <f>IF('7_EQUIPO_RRHH'!BT$8=1, '1_PANEL_CONTROL'!$C$49, 0)</f>
        <v>0</v>
      </c>
      <c r="BU31" s="33">
        <f>IF('7_EQUIPO_RRHH'!BU$8=1, '1_PANEL_CONTROL'!$C$49, 0)</f>
        <v>0</v>
      </c>
      <c r="BV31" s="33">
        <f>IF('7_EQUIPO_RRHH'!BV$8=1, '1_PANEL_CONTROL'!$C$49, 0)</f>
        <v>0</v>
      </c>
      <c r="BW31" s="33">
        <f>IF('7_EQUIPO_RRHH'!BW$8=1, '1_PANEL_CONTROL'!$C$49, 0)</f>
        <v>0</v>
      </c>
      <c r="BX31" s="33">
        <f>IF('7_EQUIPO_RRHH'!BX$8=1, '1_PANEL_CONTROL'!$C$49, 0)</f>
        <v>0</v>
      </c>
      <c r="BY31" s="33">
        <f>IF('7_EQUIPO_RRHH'!BY$8=1, '1_PANEL_CONTROL'!$C$49, 0)</f>
        <v>0</v>
      </c>
      <c r="BZ31" s="33">
        <f>IF('7_EQUIPO_RRHH'!BZ$8=1, '1_PANEL_CONTROL'!$C$49, 0)</f>
        <v>0</v>
      </c>
      <c r="CA31" s="33">
        <f>IF('7_EQUIPO_RRHH'!CA$8=1, '1_PANEL_CONTROL'!$C$49, 0)</f>
        <v>0</v>
      </c>
      <c r="CB31" s="33">
        <f>IF('7_EQUIPO_RRHH'!CB$8=1, '1_PANEL_CONTROL'!$C$49, 0)</f>
        <v>0</v>
      </c>
      <c r="CC31" s="33">
        <f>IF('7_EQUIPO_RRHH'!CC$8=1, '1_PANEL_CONTROL'!$C$49, 0)</f>
        <v>0</v>
      </c>
      <c r="CD31" s="33">
        <f>IF('7_EQUIPO_RRHH'!CD$8=1, '1_PANEL_CONTROL'!$C$49, 0)</f>
        <v>0</v>
      </c>
      <c r="CE31" s="33">
        <f>IF('7_EQUIPO_RRHH'!CE$8=1, '1_PANEL_CONTROL'!$C$49, 0)</f>
        <v>0</v>
      </c>
      <c r="CF31" s="33">
        <f>IF('7_EQUIPO_RRHH'!CF$8=1, '1_PANEL_CONTROL'!$C$49, 0)</f>
        <v>0</v>
      </c>
      <c r="CG31" s="33">
        <f>IF('7_EQUIPO_RRHH'!CG$8=1, '1_PANEL_CONTROL'!$C$49, 0)</f>
        <v>0</v>
      </c>
      <c r="CH31" s="33">
        <f>IF('7_EQUIPO_RRHH'!CH$8=1, '1_PANEL_CONTROL'!$C$49, 0)</f>
        <v>0</v>
      </c>
      <c r="CI31" s="33">
        <f>IF('7_EQUIPO_RRHH'!CI$8=1, '1_PANEL_CONTROL'!$C$49, 0)</f>
        <v>0</v>
      </c>
    </row>
    <row r="32" spans="1:87" ht="16.5">
      <c r="A32" s="6" t="s">
        <v>717</v>
      </c>
      <c r="B32" s="30" t="s">
        <v>465</v>
      </c>
      <c r="C32" s="17" t="s">
        <v>718</v>
      </c>
      <c r="D32" s="33">
        <f>IF('7_EQUIPO_RRHH'!D$8=1, '13_CAP_TABLE_FINANCIACION'!$C$16, 0)</f>
        <v>140000</v>
      </c>
      <c r="E32" s="33">
        <f>IF('7_EQUIPO_RRHH'!E$8=1, '13_CAP_TABLE_FINANCIACION'!$C$16, 0)</f>
        <v>0</v>
      </c>
      <c r="F32" s="33">
        <f>IF('7_EQUIPO_RRHH'!F$8=1, '13_CAP_TABLE_FINANCIACION'!$C$16, 0)</f>
        <v>0</v>
      </c>
      <c r="G32" s="33">
        <f>IF('7_EQUIPO_RRHH'!G$8=1, '13_CAP_TABLE_FINANCIACION'!$C$16, 0)</f>
        <v>0</v>
      </c>
      <c r="H32" s="33">
        <f>IF('7_EQUIPO_RRHH'!H$8=1, '13_CAP_TABLE_FINANCIACION'!$C$16, 0)</f>
        <v>0</v>
      </c>
      <c r="I32" s="33">
        <f>IF('7_EQUIPO_RRHH'!I$8=1, '13_CAP_TABLE_FINANCIACION'!$C$16, 0)</f>
        <v>0</v>
      </c>
      <c r="J32" s="33">
        <f>IF('7_EQUIPO_RRHH'!J$8=1, '13_CAP_TABLE_FINANCIACION'!$C$16, 0)</f>
        <v>0</v>
      </c>
      <c r="K32" s="33">
        <f>IF('7_EQUIPO_RRHH'!K$8=1, '13_CAP_TABLE_FINANCIACION'!$C$16, 0)</f>
        <v>0</v>
      </c>
      <c r="L32" s="33">
        <f>IF('7_EQUIPO_RRHH'!L$8=1, '13_CAP_TABLE_FINANCIACION'!$C$16, 0)</f>
        <v>0</v>
      </c>
      <c r="M32" s="33">
        <f>IF('7_EQUIPO_RRHH'!M$8=1, '13_CAP_TABLE_FINANCIACION'!$C$16, 0)</f>
        <v>0</v>
      </c>
      <c r="N32" s="33">
        <f>IF('7_EQUIPO_RRHH'!N$8=1, '13_CAP_TABLE_FINANCIACION'!$C$16, 0)</f>
        <v>0</v>
      </c>
      <c r="O32" s="33">
        <f>IF('7_EQUIPO_RRHH'!O$8=1, '13_CAP_TABLE_FINANCIACION'!$C$16, 0)</f>
        <v>0</v>
      </c>
      <c r="P32" s="33">
        <f>IF('7_EQUIPO_RRHH'!P$8=1, '13_CAP_TABLE_FINANCIACION'!$C$16, 0)</f>
        <v>0</v>
      </c>
      <c r="Q32" s="33">
        <f>IF('7_EQUIPO_RRHH'!Q$8=1, '13_CAP_TABLE_FINANCIACION'!$C$16, 0)</f>
        <v>0</v>
      </c>
      <c r="R32" s="33">
        <f>IF('7_EQUIPO_RRHH'!R$8=1, '13_CAP_TABLE_FINANCIACION'!$C$16, 0)</f>
        <v>0</v>
      </c>
      <c r="S32" s="33">
        <f>IF('7_EQUIPO_RRHH'!S$8=1, '13_CAP_TABLE_FINANCIACION'!$C$16, 0)</f>
        <v>0</v>
      </c>
      <c r="T32" s="33">
        <f>IF('7_EQUIPO_RRHH'!T$8=1, '13_CAP_TABLE_FINANCIACION'!$C$16, 0)</f>
        <v>0</v>
      </c>
      <c r="U32" s="33">
        <f>IF('7_EQUIPO_RRHH'!U$8=1, '13_CAP_TABLE_FINANCIACION'!$C$16, 0)</f>
        <v>0</v>
      </c>
      <c r="V32" s="33">
        <f>IF('7_EQUIPO_RRHH'!V$8=1, '13_CAP_TABLE_FINANCIACION'!$C$16, 0)</f>
        <v>0</v>
      </c>
      <c r="W32" s="33">
        <f>IF('7_EQUIPO_RRHH'!W$8=1, '13_CAP_TABLE_FINANCIACION'!$C$16, 0)</f>
        <v>0</v>
      </c>
      <c r="X32" s="33">
        <f>IF('7_EQUIPO_RRHH'!X$8=1, '13_CAP_TABLE_FINANCIACION'!$C$16, 0)</f>
        <v>0</v>
      </c>
      <c r="Y32" s="33">
        <f>IF('7_EQUIPO_RRHH'!Y$8=1, '13_CAP_TABLE_FINANCIACION'!$C$16, 0)</f>
        <v>0</v>
      </c>
      <c r="Z32" s="33">
        <f>IF('7_EQUIPO_RRHH'!Z$8=1, '13_CAP_TABLE_FINANCIACION'!$C$16, 0)</f>
        <v>0</v>
      </c>
      <c r="AA32" s="33">
        <f>IF('7_EQUIPO_RRHH'!AA$8=1, '13_CAP_TABLE_FINANCIACION'!$C$16, 0)</f>
        <v>0</v>
      </c>
      <c r="AB32" s="33">
        <f>IF('7_EQUIPO_RRHH'!AB$8=1, '13_CAP_TABLE_FINANCIACION'!$C$16, 0)</f>
        <v>0</v>
      </c>
      <c r="AC32" s="33">
        <f>IF('7_EQUIPO_RRHH'!AC$8=1, '13_CAP_TABLE_FINANCIACION'!$C$16, 0)</f>
        <v>0</v>
      </c>
      <c r="AD32" s="33">
        <f>IF('7_EQUIPO_RRHH'!AD$8=1, '13_CAP_TABLE_FINANCIACION'!$C$16, 0)</f>
        <v>0</v>
      </c>
      <c r="AE32" s="33">
        <f>IF('7_EQUIPO_RRHH'!AE$8=1, '13_CAP_TABLE_FINANCIACION'!$C$16, 0)</f>
        <v>0</v>
      </c>
      <c r="AF32" s="33">
        <f>IF('7_EQUIPO_RRHH'!AF$8=1, '13_CAP_TABLE_FINANCIACION'!$C$16, 0)</f>
        <v>0</v>
      </c>
      <c r="AG32" s="33">
        <f>IF('7_EQUIPO_RRHH'!AG$8=1, '13_CAP_TABLE_FINANCIACION'!$C$16, 0)</f>
        <v>0</v>
      </c>
      <c r="AH32" s="33">
        <f>IF('7_EQUIPO_RRHH'!AH$8=1, '13_CAP_TABLE_FINANCIACION'!$C$16, 0)</f>
        <v>0</v>
      </c>
      <c r="AI32" s="33">
        <f>IF('7_EQUIPO_RRHH'!AI$8=1, '13_CAP_TABLE_FINANCIACION'!$C$16, 0)</f>
        <v>0</v>
      </c>
      <c r="AJ32" s="33">
        <f>IF('7_EQUIPO_RRHH'!AJ$8=1, '13_CAP_TABLE_FINANCIACION'!$C$16, 0)</f>
        <v>0</v>
      </c>
      <c r="AK32" s="33">
        <f>IF('7_EQUIPO_RRHH'!AK$8=1, '13_CAP_TABLE_FINANCIACION'!$C$16, 0)</f>
        <v>0</v>
      </c>
      <c r="AL32" s="33">
        <f>IF('7_EQUIPO_RRHH'!AL$8=1, '13_CAP_TABLE_FINANCIACION'!$C$16, 0)</f>
        <v>0</v>
      </c>
      <c r="AM32" s="33">
        <f>IF('7_EQUIPO_RRHH'!AM$8=1, '13_CAP_TABLE_FINANCIACION'!$C$16, 0)</f>
        <v>0</v>
      </c>
      <c r="AN32" s="33">
        <f>IF('7_EQUIPO_RRHH'!AN$8=1, '13_CAP_TABLE_FINANCIACION'!$C$16, 0)</f>
        <v>0</v>
      </c>
      <c r="AO32" s="33">
        <f>IF('7_EQUIPO_RRHH'!AO$8=1, '13_CAP_TABLE_FINANCIACION'!$C$16, 0)</f>
        <v>0</v>
      </c>
      <c r="AP32" s="33">
        <f>IF('7_EQUIPO_RRHH'!AP$8=1, '13_CAP_TABLE_FINANCIACION'!$C$16, 0)</f>
        <v>0</v>
      </c>
      <c r="AQ32" s="33">
        <f>IF('7_EQUIPO_RRHH'!AQ$8=1, '13_CAP_TABLE_FINANCIACION'!$C$16, 0)</f>
        <v>0</v>
      </c>
      <c r="AR32" s="33">
        <f>IF('7_EQUIPO_RRHH'!AR$8=1, '13_CAP_TABLE_FINANCIACION'!$C$16, 0)</f>
        <v>0</v>
      </c>
      <c r="AS32" s="33">
        <f>IF('7_EQUIPO_RRHH'!AS$8=1, '13_CAP_TABLE_FINANCIACION'!$C$16, 0)</f>
        <v>0</v>
      </c>
      <c r="AT32" s="33">
        <f>IF('7_EQUIPO_RRHH'!AT$8=1, '13_CAP_TABLE_FINANCIACION'!$C$16, 0)</f>
        <v>0</v>
      </c>
      <c r="AU32" s="33">
        <f>IF('7_EQUIPO_RRHH'!AU$8=1, '13_CAP_TABLE_FINANCIACION'!$C$16, 0)</f>
        <v>0</v>
      </c>
      <c r="AV32" s="33">
        <f>IF('7_EQUIPO_RRHH'!AV$8=1, '13_CAP_TABLE_FINANCIACION'!$C$16, 0)</f>
        <v>0</v>
      </c>
      <c r="AW32" s="33">
        <f>IF('7_EQUIPO_RRHH'!AW$8=1, '13_CAP_TABLE_FINANCIACION'!$C$16, 0)</f>
        <v>0</v>
      </c>
      <c r="AX32" s="33">
        <f>IF('7_EQUIPO_RRHH'!AX$8=1, '13_CAP_TABLE_FINANCIACION'!$C$16, 0)</f>
        <v>0</v>
      </c>
      <c r="AY32" s="33">
        <f>IF('7_EQUIPO_RRHH'!AY$8=1, '13_CAP_TABLE_FINANCIACION'!$C$16, 0)</f>
        <v>0</v>
      </c>
      <c r="AZ32" s="33">
        <f>IF('7_EQUIPO_RRHH'!AZ$8=1, '13_CAP_TABLE_FINANCIACION'!$C$16, 0)</f>
        <v>0</v>
      </c>
      <c r="BA32" s="33">
        <f>IF('7_EQUIPO_RRHH'!BA$8=1, '13_CAP_TABLE_FINANCIACION'!$C$16, 0)</f>
        <v>0</v>
      </c>
      <c r="BB32" s="33">
        <f>IF('7_EQUIPO_RRHH'!BB$8=1, '13_CAP_TABLE_FINANCIACION'!$C$16, 0)</f>
        <v>0</v>
      </c>
      <c r="BC32" s="33">
        <f>IF('7_EQUIPO_RRHH'!BC$8=1, '13_CAP_TABLE_FINANCIACION'!$C$16, 0)</f>
        <v>0</v>
      </c>
      <c r="BD32" s="33">
        <f>IF('7_EQUIPO_RRHH'!BD$8=1, '13_CAP_TABLE_FINANCIACION'!$C$16, 0)</f>
        <v>0</v>
      </c>
      <c r="BE32" s="33">
        <f>IF('7_EQUIPO_RRHH'!BE$8=1, '13_CAP_TABLE_FINANCIACION'!$C$16, 0)</f>
        <v>0</v>
      </c>
      <c r="BF32" s="33">
        <f>IF('7_EQUIPO_RRHH'!BF$8=1, '13_CAP_TABLE_FINANCIACION'!$C$16, 0)</f>
        <v>0</v>
      </c>
      <c r="BG32" s="33">
        <f>IF('7_EQUIPO_RRHH'!BG$8=1, '13_CAP_TABLE_FINANCIACION'!$C$16, 0)</f>
        <v>0</v>
      </c>
      <c r="BH32" s="33">
        <f>IF('7_EQUIPO_RRHH'!BH$8=1, '13_CAP_TABLE_FINANCIACION'!$C$16, 0)</f>
        <v>0</v>
      </c>
      <c r="BI32" s="33">
        <f>IF('7_EQUIPO_RRHH'!BI$8=1, '13_CAP_TABLE_FINANCIACION'!$C$16, 0)</f>
        <v>0</v>
      </c>
      <c r="BJ32" s="33">
        <f>IF('7_EQUIPO_RRHH'!BJ$8=1, '13_CAP_TABLE_FINANCIACION'!$C$16, 0)</f>
        <v>0</v>
      </c>
      <c r="BK32" s="33">
        <f>IF('7_EQUIPO_RRHH'!BK$8=1, '13_CAP_TABLE_FINANCIACION'!$C$16, 0)</f>
        <v>0</v>
      </c>
      <c r="BL32" s="33">
        <f>IF('7_EQUIPO_RRHH'!BL$8=1, '13_CAP_TABLE_FINANCIACION'!$C$16, 0)</f>
        <v>0</v>
      </c>
      <c r="BM32" s="33">
        <f>IF('7_EQUIPO_RRHH'!BM$8=1, '13_CAP_TABLE_FINANCIACION'!$C$16, 0)</f>
        <v>0</v>
      </c>
      <c r="BN32" s="33">
        <f>IF('7_EQUIPO_RRHH'!BN$8=1, '13_CAP_TABLE_FINANCIACION'!$C$16, 0)</f>
        <v>0</v>
      </c>
      <c r="BO32" s="33">
        <f>IF('7_EQUIPO_RRHH'!BO$8=1, '13_CAP_TABLE_FINANCIACION'!$C$16, 0)</f>
        <v>0</v>
      </c>
      <c r="BP32" s="33">
        <f>IF('7_EQUIPO_RRHH'!BP$8=1, '13_CAP_TABLE_FINANCIACION'!$C$16, 0)</f>
        <v>0</v>
      </c>
      <c r="BQ32" s="33">
        <f>IF('7_EQUIPO_RRHH'!BQ$8=1, '13_CAP_TABLE_FINANCIACION'!$C$16, 0)</f>
        <v>0</v>
      </c>
      <c r="BR32" s="33">
        <f>IF('7_EQUIPO_RRHH'!BR$8=1, '13_CAP_TABLE_FINANCIACION'!$C$16, 0)</f>
        <v>0</v>
      </c>
      <c r="BS32" s="33">
        <f>IF('7_EQUIPO_RRHH'!BS$8=1, '13_CAP_TABLE_FINANCIACION'!$C$16, 0)</f>
        <v>0</v>
      </c>
      <c r="BT32" s="33">
        <f>IF('7_EQUIPO_RRHH'!BT$8=1, '13_CAP_TABLE_FINANCIACION'!$C$16, 0)</f>
        <v>0</v>
      </c>
      <c r="BU32" s="33">
        <f>IF('7_EQUIPO_RRHH'!BU$8=1, '13_CAP_TABLE_FINANCIACION'!$C$16, 0)</f>
        <v>0</v>
      </c>
      <c r="BV32" s="33">
        <f>IF('7_EQUIPO_RRHH'!BV$8=1, '13_CAP_TABLE_FINANCIACION'!$C$16, 0)</f>
        <v>0</v>
      </c>
      <c r="BW32" s="33">
        <f>IF('7_EQUIPO_RRHH'!BW$8=1, '13_CAP_TABLE_FINANCIACION'!$C$16, 0)</f>
        <v>0</v>
      </c>
      <c r="BX32" s="33">
        <f>IF('7_EQUIPO_RRHH'!BX$8=1, '13_CAP_TABLE_FINANCIACION'!$C$16, 0)</f>
        <v>0</v>
      </c>
      <c r="BY32" s="33">
        <f>IF('7_EQUIPO_RRHH'!BY$8=1, '13_CAP_TABLE_FINANCIACION'!$C$16, 0)</f>
        <v>0</v>
      </c>
      <c r="BZ32" s="33">
        <f>IF('7_EQUIPO_RRHH'!BZ$8=1, '13_CAP_TABLE_FINANCIACION'!$C$16, 0)</f>
        <v>0</v>
      </c>
      <c r="CA32" s="33">
        <f>IF('7_EQUIPO_RRHH'!CA$8=1, '13_CAP_TABLE_FINANCIACION'!$C$16, 0)</f>
        <v>0</v>
      </c>
      <c r="CB32" s="33">
        <f>IF('7_EQUIPO_RRHH'!CB$8=1, '13_CAP_TABLE_FINANCIACION'!$C$16, 0)</f>
        <v>0</v>
      </c>
      <c r="CC32" s="33">
        <f>IF('7_EQUIPO_RRHH'!CC$8=1, '13_CAP_TABLE_FINANCIACION'!$C$16, 0)</f>
        <v>0</v>
      </c>
      <c r="CD32" s="33">
        <f>IF('7_EQUIPO_RRHH'!CD$8=1, '13_CAP_TABLE_FINANCIACION'!$C$16, 0)</f>
        <v>0</v>
      </c>
      <c r="CE32" s="33">
        <f>IF('7_EQUIPO_RRHH'!CE$8=1, '13_CAP_TABLE_FINANCIACION'!$C$16, 0)</f>
        <v>0</v>
      </c>
      <c r="CF32" s="33">
        <f>IF('7_EQUIPO_RRHH'!CF$8=1, '13_CAP_TABLE_FINANCIACION'!$C$16, 0)</f>
        <v>0</v>
      </c>
      <c r="CG32" s="33">
        <f>IF('7_EQUIPO_RRHH'!CG$8=1, '13_CAP_TABLE_FINANCIACION'!$C$16, 0)</f>
        <v>0</v>
      </c>
      <c r="CH32" s="33">
        <f>IF('7_EQUIPO_RRHH'!CH$8=1, '13_CAP_TABLE_FINANCIACION'!$C$16, 0)</f>
        <v>0</v>
      </c>
      <c r="CI32" s="33">
        <f>IF('7_EQUIPO_RRHH'!CI$8=1, '13_CAP_TABLE_FINANCIACION'!$C$16, 0)</f>
        <v>0</v>
      </c>
    </row>
    <row r="33" spans="1:87" ht="16.5">
      <c r="A33" s="6" t="s">
        <v>719</v>
      </c>
      <c r="B33" s="30" t="s">
        <v>465</v>
      </c>
      <c r="C33" s="17" t="s">
        <v>720</v>
      </c>
      <c r="D33" s="33">
        <f>IF('7_EQUIPO_RRHH'!D$8=1, '13_CAP_TABLE_FINANCIACION'!$C$17, 0)</f>
        <v>75000</v>
      </c>
      <c r="E33" s="33">
        <f>IF('7_EQUIPO_RRHH'!E$8=1, '13_CAP_TABLE_FINANCIACION'!$C$17, 0)</f>
        <v>0</v>
      </c>
      <c r="F33" s="33">
        <f>IF('7_EQUIPO_RRHH'!F$8=1, '13_CAP_TABLE_FINANCIACION'!$C$17, 0)</f>
        <v>0</v>
      </c>
      <c r="G33" s="33">
        <f>IF('7_EQUIPO_RRHH'!G$8=1, '13_CAP_TABLE_FINANCIACION'!$C$17, 0)</f>
        <v>0</v>
      </c>
      <c r="H33" s="33">
        <f>IF('7_EQUIPO_RRHH'!H$8=1, '13_CAP_TABLE_FINANCIACION'!$C$17, 0)</f>
        <v>0</v>
      </c>
      <c r="I33" s="33">
        <f>IF('7_EQUIPO_RRHH'!I$8=1, '13_CAP_TABLE_FINANCIACION'!$C$17, 0)</f>
        <v>0</v>
      </c>
      <c r="J33" s="33">
        <f>IF('7_EQUIPO_RRHH'!J$8=1, '13_CAP_TABLE_FINANCIACION'!$C$17, 0)</f>
        <v>0</v>
      </c>
      <c r="K33" s="33">
        <f>IF('7_EQUIPO_RRHH'!K$8=1, '13_CAP_TABLE_FINANCIACION'!$C$17, 0)</f>
        <v>0</v>
      </c>
      <c r="L33" s="33">
        <f>IF('7_EQUIPO_RRHH'!L$8=1, '13_CAP_TABLE_FINANCIACION'!$C$17, 0)</f>
        <v>0</v>
      </c>
      <c r="M33" s="33">
        <f>IF('7_EQUIPO_RRHH'!M$8=1, '13_CAP_TABLE_FINANCIACION'!$C$17, 0)</f>
        <v>0</v>
      </c>
      <c r="N33" s="33">
        <f>IF('7_EQUIPO_RRHH'!N$8=1, '13_CAP_TABLE_FINANCIACION'!$C$17, 0)</f>
        <v>0</v>
      </c>
      <c r="O33" s="33">
        <f>IF('7_EQUIPO_RRHH'!O$8=1, '13_CAP_TABLE_FINANCIACION'!$C$17, 0)</f>
        <v>0</v>
      </c>
      <c r="P33" s="33">
        <f>IF('7_EQUIPO_RRHH'!P$8=1, '13_CAP_TABLE_FINANCIACION'!$C$17, 0)</f>
        <v>0</v>
      </c>
      <c r="Q33" s="33">
        <f>IF('7_EQUIPO_RRHH'!Q$8=1, '13_CAP_TABLE_FINANCIACION'!$C$17, 0)</f>
        <v>0</v>
      </c>
      <c r="R33" s="33">
        <f>IF('7_EQUIPO_RRHH'!R$8=1, '13_CAP_TABLE_FINANCIACION'!$C$17, 0)</f>
        <v>0</v>
      </c>
      <c r="S33" s="33">
        <f>IF('7_EQUIPO_RRHH'!S$8=1, '13_CAP_TABLE_FINANCIACION'!$C$17, 0)</f>
        <v>0</v>
      </c>
      <c r="T33" s="33">
        <f>IF('7_EQUIPO_RRHH'!T$8=1, '13_CAP_TABLE_FINANCIACION'!$C$17, 0)</f>
        <v>0</v>
      </c>
      <c r="U33" s="33">
        <f>IF('7_EQUIPO_RRHH'!U$8=1, '13_CAP_TABLE_FINANCIACION'!$C$17, 0)</f>
        <v>0</v>
      </c>
      <c r="V33" s="33">
        <f>IF('7_EQUIPO_RRHH'!V$8=1, '13_CAP_TABLE_FINANCIACION'!$C$17, 0)</f>
        <v>0</v>
      </c>
      <c r="W33" s="33">
        <f>IF('7_EQUIPO_RRHH'!W$8=1, '13_CAP_TABLE_FINANCIACION'!$C$17, 0)</f>
        <v>0</v>
      </c>
      <c r="X33" s="33">
        <f>IF('7_EQUIPO_RRHH'!X$8=1, '13_CAP_TABLE_FINANCIACION'!$C$17, 0)</f>
        <v>0</v>
      </c>
      <c r="Y33" s="33">
        <f>IF('7_EQUIPO_RRHH'!Y$8=1, '13_CAP_TABLE_FINANCIACION'!$C$17, 0)</f>
        <v>0</v>
      </c>
      <c r="Z33" s="33">
        <f>IF('7_EQUIPO_RRHH'!Z$8=1, '13_CAP_TABLE_FINANCIACION'!$C$17, 0)</f>
        <v>0</v>
      </c>
      <c r="AA33" s="33">
        <f>IF('7_EQUIPO_RRHH'!AA$8=1, '13_CAP_TABLE_FINANCIACION'!$C$17, 0)</f>
        <v>0</v>
      </c>
      <c r="AB33" s="33">
        <f>IF('7_EQUIPO_RRHH'!AB$8=1, '13_CAP_TABLE_FINANCIACION'!$C$17, 0)</f>
        <v>0</v>
      </c>
      <c r="AC33" s="33">
        <f>IF('7_EQUIPO_RRHH'!AC$8=1, '13_CAP_TABLE_FINANCIACION'!$C$17, 0)</f>
        <v>0</v>
      </c>
      <c r="AD33" s="33">
        <f>IF('7_EQUIPO_RRHH'!AD$8=1, '13_CAP_TABLE_FINANCIACION'!$C$17, 0)</f>
        <v>0</v>
      </c>
      <c r="AE33" s="33">
        <f>IF('7_EQUIPO_RRHH'!AE$8=1, '13_CAP_TABLE_FINANCIACION'!$C$17, 0)</f>
        <v>0</v>
      </c>
      <c r="AF33" s="33">
        <f>IF('7_EQUIPO_RRHH'!AF$8=1, '13_CAP_TABLE_FINANCIACION'!$C$17, 0)</f>
        <v>0</v>
      </c>
      <c r="AG33" s="33">
        <f>IF('7_EQUIPO_RRHH'!AG$8=1, '13_CAP_TABLE_FINANCIACION'!$C$17, 0)</f>
        <v>0</v>
      </c>
      <c r="AH33" s="33">
        <f>IF('7_EQUIPO_RRHH'!AH$8=1, '13_CAP_TABLE_FINANCIACION'!$C$17, 0)</f>
        <v>0</v>
      </c>
      <c r="AI33" s="33">
        <f>IF('7_EQUIPO_RRHH'!AI$8=1, '13_CAP_TABLE_FINANCIACION'!$C$17, 0)</f>
        <v>0</v>
      </c>
      <c r="AJ33" s="33">
        <f>IF('7_EQUIPO_RRHH'!AJ$8=1, '13_CAP_TABLE_FINANCIACION'!$C$17, 0)</f>
        <v>0</v>
      </c>
      <c r="AK33" s="33">
        <f>IF('7_EQUIPO_RRHH'!AK$8=1, '13_CAP_TABLE_FINANCIACION'!$C$17, 0)</f>
        <v>0</v>
      </c>
      <c r="AL33" s="33">
        <f>IF('7_EQUIPO_RRHH'!AL$8=1, '13_CAP_TABLE_FINANCIACION'!$C$17, 0)</f>
        <v>0</v>
      </c>
      <c r="AM33" s="33">
        <f>IF('7_EQUIPO_RRHH'!AM$8=1, '13_CAP_TABLE_FINANCIACION'!$C$17, 0)</f>
        <v>0</v>
      </c>
      <c r="AN33" s="33">
        <f>IF('7_EQUIPO_RRHH'!AN$8=1, '13_CAP_TABLE_FINANCIACION'!$C$17, 0)</f>
        <v>0</v>
      </c>
      <c r="AO33" s="33">
        <f>IF('7_EQUIPO_RRHH'!AO$8=1, '13_CAP_TABLE_FINANCIACION'!$C$17, 0)</f>
        <v>0</v>
      </c>
      <c r="AP33" s="33">
        <f>IF('7_EQUIPO_RRHH'!AP$8=1, '13_CAP_TABLE_FINANCIACION'!$C$17, 0)</f>
        <v>0</v>
      </c>
      <c r="AQ33" s="33">
        <f>IF('7_EQUIPO_RRHH'!AQ$8=1, '13_CAP_TABLE_FINANCIACION'!$C$17, 0)</f>
        <v>0</v>
      </c>
      <c r="AR33" s="33">
        <f>IF('7_EQUIPO_RRHH'!AR$8=1, '13_CAP_TABLE_FINANCIACION'!$C$17, 0)</f>
        <v>0</v>
      </c>
      <c r="AS33" s="33">
        <f>IF('7_EQUIPO_RRHH'!AS$8=1, '13_CAP_TABLE_FINANCIACION'!$C$17, 0)</f>
        <v>0</v>
      </c>
      <c r="AT33" s="33">
        <f>IF('7_EQUIPO_RRHH'!AT$8=1, '13_CAP_TABLE_FINANCIACION'!$C$17, 0)</f>
        <v>0</v>
      </c>
      <c r="AU33" s="33">
        <f>IF('7_EQUIPO_RRHH'!AU$8=1, '13_CAP_TABLE_FINANCIACION'!$C$17, 0)</f>
        <v>0</v>
      </c>
      <c r="AV33" s="33">
        <f>IF('7_EQUIPO_RRHH'!AV$8=1, '13_CAP_TABLE_FINANCIACION'!$C$17, 0)</f>
        <v>0</v>
      </c>
      <c r="AW33" s="33">
        <f>IF('7_EQUIPO_RRHH'!AW$8=1, '13_CAP_TABLE_FINANCIACION'!$C$17, 0)</f>
        <v>0</v>
      </c>
      <c r="AX33" s="33">
        <f>IF('7_EQUIPO_RRHH'!AX$8=1, '13_CAP_TABLE_FINANCIACION'!$C$17, 0)</f>
        <v>0</v>
      </c>
      <c r="AY33" s="33">
        <f>IF('7_EQUIPO_RRHH'!AY$8=1, '13_CAP_TABLE_FINANCIACION'!$C$17, 0)</f>
        <v>0</v>
      </c>
      <c r="AZ33" s="33">
        <f>IF('7_EQUIPO_RRHH'!AZ$8=1, '13_CAP_TABLE_FINANCIACION'!$C$17, 0)</f>
        <v>0</v>
      </c>
      <c r="BA33" s="33">
        <f>IF('7_EQUIPO_RRHH'!BA$8=1, '13_CAP_TABLE_FINANCIACION'!$C$17, 0)</f>
        <v>0</v>
      </c>
      <c r="BB33" s="33">
        <f>IF('7_EQUIPO_RRHH'!BB$8=1, '13_CAP_TABLE_FINANCIACION'!$C$17, 0)</f>
        <v>0</v>
      </c>
      <c r="BC33" s="33">
        <f>IF('7_EQUIPO_RRHH'!BC$8=1, '13_CAP_TABLE_FINANCIACION'!$C$17, 0)</f>
        <v>0</v>
      </c>
      <c r="BD33" s="33">
        <f>IF('7_EQUIPO_RRHH'!BD$8=1, '13_CAP_TABLE_FINANCIACION'!$C$17, 0)</f>
        <v>0</v>
      </c>
      <c r="BE33" s="33">
        <f>IF('7_EQUIPO_RRHH'!BE$8=1, '13_CAP_TABLE_FINANCIACION'!$C$17, 0)</f>
        <v>0</v>
      </c>
      <c r="BF33" s="33">
        <f>IF('7_EQUIPO_RRHH'!BF$8=1, '13_CAP_TABLE_FINANCIACION'!$C$17, 0)</f>
        <v>0</v>
      </c>
      <c r="BG33" s="33">
        <f>IF('7_EQUIPO_RRHH'!BG$8=1, '13_CAP_TABLE_FINANCIACION'!$C$17, 0)</f>
        <v>0</v>
      </c>
      <c r="BH33" s="33">
        <f>IF('7_EQUIPO_RRHH'!BH$8=1, '13_CAP_TABLE_FINANCIACION'!$C$17, 0)</f>
        <v>0</v>
      </c>
      <c r="BI33" s="33">
        <f>IF('7_EQUIPO_RRHH'!BI$8=1, '13_CAP_TABLE_FINANCIACION'!$C$17, 0)</f>
        <v>0</v>
      </c>
      <c r="BJ33" s="33">
        <f>IF('7_EQUIPO_RRHH'!BJ$8=1, '13_CAP_TABLE_FINANCIACION'!$C$17, 0)</f>
        <v>0</v>
      </c>
      <c r="BK33" s="33">
        <f>IF('7_EQUIPO_RRHH'!BK$8=1, '13_CAP_TABLE_FINANCIACION'!$C$17, 0)</f>
        <v>0</v>
      </c>
      <c r="BL33" s="33">
        <f>IF('7_EQUIPO_RRHH'!BL$8=1, '13_CAP_TABLE_FINANCIACION'!$C$17, 0)</f>
        <v>0</v>
      </c>
      <c r="BM33" s="33">
        <f>IF('7_EQUIPO_RRHH'!BM$8=1, '13_CAP_TABLE_FINANCIACION'!$C$17, 0)</f>
        <v>0</v>
      </c>
      <c r="BN33" s="33">
        <f>IF('7_EQUIPO_RRHH'!BN$8=1, '13_CAP_TABLE_FINANCIACION'!$C$17, 0)</f>
        <v>0</v>
      </c>
      <c r="BO33" s="33">
        <f>IF('7_EQUIPO_RRHH'!BO$8=1, '13_CAP_TABLE_FINANCIACION'!$C$17, 0)</f>
        <v>0</v>
      </c>
      <c r="BP33" s="33">
        <f>IF('7_EQUIPO_RRHH'!BP$8=1, '13_CAP_TABLE_FINANCIACION'!$C$17, 0)</f>
        <v>0</v>
      </c>
      <c r="BQ33" s="33">
        <f>IF('7_EQUIPO_RRHH'!BQ$8=1, '13_CAP_TABLE_FINANCIACION'!$C$17, 0)</f>
        <v>0</v>
      </c>
      <c r="BR33" s="33">
        <f>IF('7_EQUIPO_RRHH'!BR$8=1, '13_CAP_TABLE_FINANCIACION'!$C$17, 0)</f>
        <v>0</v>
      </c>
      <c r="BS33" s="33">
        <f>IF('7_EQUIPO_RRHH'!BS$8=1, '13_CAP_TABLE_FINANCIACION'!$C$17, 0)</f>
        <v>0</v>
      </c>
      <c r="BT33" s="33">
        <f>IF('7_EQUIPO_RRHH'!BT$8=1, '13_CAP_TABLE_FINANCIACION'!$C$17, 0)</f>
        <v>0</v>
      </c>
      <c r="BU33" s="33">
        <f>IF('7_EQUIPO_RRHH'!BU$8=1, '13_CAP_TABLE_FINANCIACION'!$C$17, 0)</f>
        <v>0</v>
      </c>
      <c r="BV33" s="33">
        <f>IF('7_EQUIPO_RRHH'!BV$8=1, '13_CAP_TABLE_FINANCIACION'!$C$17, 0)</f>
        <v>0</v>
      </c>
      <c r="BW33" s="33">
        <f>IF('7_EQUIPO_RRHH'!BW$8=1, '13_CAP_TABLE_FINANCIACION'!$C$17, 0)</f>
        <v>0</v>
      </c>
      <c r="BX33" s="33">
        <f>IF('7_EQUIPO_RRHH'!BX$8=1, '13_CAP_TABLE_FINANCIACION'!$C$17, 0)</f>
        <v>0</v>
      </c>
      <c r="BY33" s="33">
        <f>IF('7_EQUIPO_RRHH'!BY$8=1, '13_CAP_TABLE_FINANCIACION'!$C$17, 0)</f>
        <v>0</v>
      </c>
      <c r="BZ33" s="33">
        <f>IF('7_EQUIPO_RRHH'!BZ$8=1, '13_CAP_TABLE_FINANCIACION'!$C$17, 0)</f>
        <v>0</v>
      </c>
      <c r="CA33" s="33">
        <f>IF('7_EQUIPO_RRHH'!CA$8=1, '13_CAP_TABLE_FINANCIACION'!$C$17, 0)</f>
        <v>0</v>
      </c>
      <c r="CB33" s="33">
        <f>IF('7_EQUIPO_RRHH'!CB$8=1, '13_CAP_TABLE_FINANCIACION'!$C$17, 0)</f>
        <v>0</v>
      </c>
      <c r="CC33" s="33">
        <f>IF('7_EQUIPO_RRHH'!CC$8=1, '13_CAP_TABLE_FINANCIACION'!$C$17, 0)</f>
        <v>0</v>
      </c>
      <c r="CD33" s="33">
        <f>IF('7_EQUIPO_RRHH'!CD$8=1, '13_CAP_TABLE_FINANCIACION'!$C$17, 0)</f>
        <v>0</v>
      </c>
      <c r="CE33" s="33">
        <f>IF('7_EQUIPO_RRHH'!CE$8=1, '13_CAP_TABLE_FINANCIACION'!$C$17, 0)</f>
        <v>0</v>
      </c>
      <c r="CF33" s="33">
        <f>IF('7_EQUIPO_RRHH'!CF$8=1, '13_CAP_TABLE_FINANCIACION'!$C$17, 0)</f>
        <v>0</v>
      </c>
      <c r="CG33" s="33">
        <f>IF('7_EQUIPO_RRHH'!CG$8=1, '13_CAP_TABLE_FINANCIACION'!$C$17, 0)</f>
        <v>0</v>
      </c>
      <c r="CH33" s="33">
        <f>IF('7_EQUIPO_RRHH'!CH$8=1, '13_CAP_TABLE_FINANCIACION'!$C$17, 0)</f>
        <v>0</v>
      </c>
      <c r="CI33" s="33">
        <f>IF('7_EQUIPO_RRHH'!CI$8=1, '13_CAP_TABLE_FINANCIACION'!$C$17, 0)</f>
        <v>0</v>
      </c>
    </row>
    <row r="34" spans="1:87" ht="16.5">
      <c r="A34" s="6" t="s">
        <v>721</v>
      </c>
      <c r="B34" s="30" t="s">
        <v>465</v>
      </c>
      <c r="C34" s="17" t="s">
        <v>722</v>
      </c>
      <c r="D34" s="33">
        <f>'13_CAP_TABLE_FINANCIACION'!D37</f>
        <v>375</v>
      </c>
      <c r="E34" s="33">
        <f>'13_CAP_TABLE_FINANCIACION'!E37</f>
        <v>375</v>
      </c>
      <c r="F34" s="33">
        <f>'13_CAP_TABLE_FINANCIACION'!F37</f>
        <v>375</v>
      </c>
      <c r="G34" s="33">
        <f>'13_CAP_TABLE_FINANCIACION'!G37</f>
        <v>375</v>
      </c>
      <c r="H34" s="33">
        <f>'13_CAP_TABLE_FINANCIACION'!H37</f>
        <v>375</v>
      </c>
      <c r="I34" s="33">
        <f>'13_CAP_TABLE_FINANCIACION'!I37</f>
        <v>375</v>
      </c>
      <c r="J34" s="33">
        <f>'13_CAP_TABLE_FINANCIACION'!J37</f>
        <v>375</v>
      </c>
      <c r="K34" s="33">
        <f>'13_CAP_TABLE_FINANCIACION'!K37</f>
        <v>375</v>
      </c>
      <c r="L34" s="33">
        <f>'13_CAP_TABLE_FINANCIACION'!L37</f>
        <v>375</v>
      </c>
      <c r="M34" s="33">
        <f>'13_CAP_TABLE_FINANCIACION'!M37</f>
        <v>375</v>
      </c>
      <c r="N34" s="33">
        <f>'13_CAP_TABLE_FINANCIACION'!N37</f>
        <v>375</v>
      </c>
      <c r="O34" s="33">
        <f>'13_CAP_TABLE_FINANCIACION'!O37</f>
        <v>375</v>
      </c>
      <c r="P34" s="33">
        <f>'13_CAP_TABLE_FINANCIACION'!P37</f>
        <v>375</v>
      </c>
      <c r="Q34" s="33">
        <f>'13_CAP_TABLE_FINANCIACION'!Q37</f>
        <v>367.1875</v>
      </c>
      <c r="R34" s="33">
        <f>'13_CAP_TABLE_FINANCIACION'!R37</f>
        <v>359.375</v>
      </c>
      <c r="S34" s="33">
        <f>'13_CAP_TABLE_FINANCIACION'!S37</f>
        <v>351.5625</v>
      </c>
      <c r="T34" s="33">
        <f>'13_CAP_TABLE_FINANCIACION'!T37</f>
        <v>343.75</v>
      </c>
      <c r="U34" s="33">
        <f>'13_CAP_TABLE_FINANCIACION'!U37</f>
        <v>335.9375</v>
      </c>
      <c r="V34" s="33">
        <f>'13_CAP_TABLE_FINANCIACION'!V37</f>
        <v>328.125</v>
      </c>
      <c r="W34" s="33">
        <f>'13_CAP_TABLE_FINANCIACION'!W37</f>
        <v>320.3125</v>
      </c>
      <c r="X34" s="33">
        <f>'13_CAP_TABLE_FINANCIACION'!X37</f>
        <v>312.5</v>
      </c>
      <c r="Y34" s="33">
        <f>'13_CAP_TABLE_FINANCIACION'!Y37</f>
        <v>304.6875</v>
      </c>
      <c r="Z34" s="33">
        <f>'13_CAP_TABLE_FINANCIACION'!Z37</f>
        <v>296.875</v>
      </c>
      <c r="AA34" s="33">
        <f>'13_CAP_TABLE_FINANCIACION'!AA37</f>
        <v>289.0625</v>
      </c>
      <c r="AB34" s="33">
        <f>'13_CAP_TABLE_FINANCIACION'!AB37</f>
        <v>281.25</v>
      </c>
      <c r="AC34" s="33">
        <f>'13_CAP_TABLE_FINANCIACION'!AC37</f>
        <v>273.4375</v>
      </c>
      <c r="AD34" s="33">
        <f>'13_CAP_TABLE_FINANCIACION'!AD37</f>
        <v>265.625</v>
      </c>
      <c r="AE34" s="33">
        <f>'13_CAP_TABLE_FINANCIACION'!AE37</f>
        <v>257.8125</v>
      </c>
      <c r="AF34" s="33">
        <f>'13_CAP_TABLE_FINANCIACION'!AF37</f>
        <v>250</v>
      </c>
      <c r="AG34" s="33">
        <f>'13_CAP_TABLE_FINANCIACION'!AG37</f>
        <v>242.1875</v>
      </c>
      <c r="AH34" s="33">
        <f>'13_CAP_TABLE_FINANCIACION'!AH37</f>
        <v>234.375</v>
      </c>
      <c r="AI34" s="33">
        <f>'13_CAP_TABLE_FINANCIACION'!AI37</f>
        <v>226.5625</v>
      </c>
      <c r="AJ34" s="33">
        <f>'13_CAP_TABLE_FINANCIACION'!AJ37</f>
        <v>218.75</v>
      </c>
      <c r="AK34" s="33">
        <f>'13_CAP_TABLE_FINANCIACION'!AK37</f>
        <v>210.9375</v>
      </c>
      <c r="AL34" s="33">
        <f>'13_CAP_TABLE_FINANCIACION'!AL37</f>
        <v>203.125</v>
      </c>
      <c r="AM34" s="33">
        <f>'13_CAP_TABLE_FINANCIACION'!AM37</f>
        <v>195.3125</v>
      </c>
      <c r="AN34" s="33">
        <f>'13_CAP_TABLE_FINANCIACION'!AN37</f>
        <v>187.5</v>
      </c>
      <c r="AO34" s="33">
        <f>'13_CAP_TABLE_FINANCIACION'!AO37</f>
        <v>179.6875</v>
      </c>
      <c r="AP34" s="33">
        <f>'13_CAP_TABLE_FINANCIACION'!AP37</f>
        <v>171.875</v>
      </c>
      <c r="AQ34" s="33">
        <f>'13_CAP_TABLE_FINANCIACION'!AQ37</f>
        <v>164.0625</v>
      </c>
      <c r="AR34" s="33">
        <f>'13_CAP_TABLE_FINANCIACION'!AR37</f>
        <v>156.25</v>
      </c>
      <c r="AS34" s="33">
        <f>'13_CAP_TABLE_FINANCIACION'!AS37</f>
        <v>148.4375</v>
      </c>
      <c r="AT34" s="33">
        <f>'13_CAP_TABLE_FINANCIACION'!AT37</f>
        <v>140.625</v>
      </c>
      <c r="AU34" s="33">
        <f>'13_CAP_TABLE_FINANCIACION'!AU37</f>
        <v>132.8125</v>
      </c>
      <c r="AV34" s="33">
        <f>'13_CAP_TABLE_FINANCIACION'!AV37</f>
        <v>125</v>
      </c>
      <c r="AW34" s="33">
        <f>'13_CAP_TABLE_FINANCIACION'!AW37</f>
        <v>117.1875</v>
      </c>
      <c r="AX34" s="33">
        <f>'13_CAP_TABLE_FINANCIACION'!AX37</f>
        <v>109.375</v>
      </c>
      <c r="AY34" s="33">
        <f>'13_CAP_TABLE_FINANCIACION'!AY37</f>
        <v>101.5625</v>
      </c>
      <c r="AZ34" s="33">
        <f>'13_CAP_TABLE_FINANCIACION'!AZ37</f>
        <v>93.75</v>
      </c>
      <c r="BA34" s="33">
        <f>'13_CAP_TABLE_FINANCIACION'!BA37</f>
        <v>85.9375</v>
      </c>
      <c r="BB34" s="33">
        <f>'13_CAP_TABLE_FINANCIACION'!BB37</f>
        <v>78.125</v>
      </c>
      <c r="BC34" s="33">
        <f>'13_CAP_TABLE_FINANCIACION'!BC37</f>
        <v>70.3125</v>
      </c>
      <c r="BD34" s="33">
        <f>'13_CAP_TABLE_FINANCIACION'!BD37</f>
        <v>62.5</v>
      </c>
      <c r="BE34" s="33">
        <f>'13_CAP_TABLE_FINANCIACION'!BE37</f>
        <v>54.6875</v>
      </c>
      <c r="BF34" s="33">
        <f>'13_CAP_TABLE_FINANCIACION'!BF37</f>
        <v>46.875</v>
      </c>
      <c r="BG34" s="33">
        <f>'13_CAP_TABLE_FINANCIACION'!BG37</f>
        <v>39.0625</v>
      </c>
      <c r="BH34" s="33">
        <f>'13_CAP_TABLE_FINANCIACION'!BH37</f>
        <v>31.25</v>
      </c>
      <c r="BI34" s="33">
        <f>'13_CAP_TABLE_FINANCIACION'!BI37</f>
        <v>23.4375</v>
      </c>
      <c r="BJ34" s="33">
        <f>'13_CAP_TABLE_FINANCIACION'!BJ37</f>
        <v>15.625</v>
      </c>
      <c r="BK34" s="33">
        <f>'13_CAP_TABLE_FINANCIACION'!BK37</f>
        <v>7.8125</v>
      </c>
      <c r="BL34" s="33">
        <f>'13_CAP_TABLE_FINANCIACION'!BL37</f>
        <v>0</v>
      </c>
      <c r="BM34" s="33">
        <f>'13_CAP_TABLE_FINANCIACION'!BM37</f>
        <v>0</v>
      </c>
      <c r="BN34" s="33">
        <f>'13_CAP_TABLE_FINANCIACION'!BN37</f>
        <v>0</v>
      </c>
      <c r="BO34" s="33">
        <f>'13_CAP_TABLE_FINANCIACION'!BO37</f>
        <v>0</v>
      </c>
      <c r="BP34" s="33">
        <f>'13_CAP_TABLE_FINANCIACION'!BP37</f>
        <v>0</v>
      </c>
      <c r="BQ34" s="33">
        <f>'13_CAP_TABLE_FINANCIACION'!BQ37</f>
        <v>0</v>
      </c>
      <c r="BR34" s="33">
        <f>'13_CAP_TABLE_FINANCIACION'!BR37</f>
        <v>0</v>
      </c>
      <c r="BS34" s="33">
        <f>'13_CAP_TABLE_FINANCIACION'!BS37</f>
        <v>0</v>
      </c>
      <c r="BT34" s="33">
        <f>'13_CAP_TABLE_FINANCIACION'!BT37</f>
        <v>0</v>
      </c>
      <c r="BU34" s="33">
        <f>'13_CAP_TABLE_FINANCIACION'!BU37</f>
        <v>0</v>
      </c>
      <c r="BV34" s="33">
        <f>'13_CAP_TABLE_FINANCIACION'!BV37</f>
        <v>0</v>
      </c>
      <c r="BW34" s="33">
        <f>'13_CAP_TABLE_FINANCIACION'!BW37</f>
        <v>0</v>
      </c>
      <c r="BX34" s="33">
        <f>'13_CAP_TABLE_FINANCIACION'!BX37</f>
        <v>0</v>
      </c>
      <c r="BY34" s="33">
        <f>'13_CAP_TABLE_FINANCIACION'!BY37</f>
        <v>0</v>
      </c>
      <c r="BZ34" s="33">
        <f>'13_CAP_TABLE_FINANCIACION'!BZ37</f>
        <v>0</v>
      </c>
      <c r="CA34" s="33">
        <f>'13_CAP_TABLE_FINANCIACION'!CA37</f>
        <v>0</v>
      </c>
      <c r="CB34" s="33">
        <f>'13_CAP_TABLE_FINANCIACION'!CB37</f>
        <v>0</v>
      </c>
      <c r="CC34" s="33">
        <f>'13_CAP_TABLE_FINANCIACION'!CC37</f>
        <v>0</v>
      </c>
      <c r="CD34" s="33">
        <f>'13_CAP_TABLE_FINANCIACION'!CD37</f>
        <v>0</v>
      </c>
      <c r="CE34" s="33">
        <f>'13_CAP_TABLE_FINANCIACION'!CE37</f>
        <v>0</v>
      </c>
      <c r="CF34" s="33">
        <f>'13_CAP_TABLE_FINANCIACION'!CF37</f>
        <v>0</v>
      </c>
      <c r="CG34" s="33">
        <f>'13_CAP_TABLE_FINANCIACION'!CG37</f>
        <v>0</v>
      </c>
      <c r="CH34" s="33">
        <f>'13_CAP_TABLE_FINANCIACION'!CH37</f>
        <v>0</v>
      </c>
      <c r="CI34" s="33">
        <f>'13_CAP_TABLE_FINANCIACION'!CI37</f>
        <v>0</v>
      </c>
    </row>
    <row r="35" spans="1:87" ht="16.5">
      <c r="A35" s="6" t="s">
        <v>723</v>
      </c>
      <c r="B35" s="30" t="s">
        <v>465</v>
      </c>
      <c r="C35" s="17" t="s">
        <v>722</v>
      </c>
      <c r="D35" s="33">
        <f>'13_CAP_TABLE_FINANCIACION'!D38</f>
        <v>0</v>
      </c>
      <c r="E35" s="33">
        <f>'13_CAP_TABLE_FINANCIACION'!E38</f>
        <v>0</v>
      </c>
      <c r="F35" s="33">
        <f>'13_CAP_TABLE_FINANCIACION'!F38</f>
        <v>0</v>
      </c>
      <c r="G35" s="33">
        <f>'13_CAP_TABLE_FINANCIACION'!G38</f>
        <v>0</v>
      </c>
      <c r="H35" s="33">
        <f>'13_CAP_TABLE_FINANCIACION'!H38</f>
        <v>0</v>
      </c>
      <c r="I35" s="33">
        <f>'13_CAP_TABLE_FINANCIACION'!I38</f>
        <v>0</v>
      </c>
      <c r="J35" s="33">
        <f>'13_CAP_TABLE_FINANCIACION'!J38</f>
        <v>0</v>
      </c>
      <c r="K35" s="33">
        <f>'13_CAP_TABLE_FINANCIACION'!K38</f>
        <v>0</v>
      </c>
      <c r="L35" s="33">
        <f>'13_CAP_TABLE_FINANCIACION'!L38</f>
        <v>0</v>
      </c>
      <c r="M35" s="33">
        <f>'13_CAP_TABLE_FINANCIACION'!M38</f>
        <v>0</v>
      </c>
      <c r="N35" s="33">
        <f>'13_CAP_TABLE_FINANCIACION'!N38</f>
        <v>0</v>
      </c>
      <c r="O35" s="33">
        <f>'13_CAP_TABLE_FINANCIACION'!O38</f>
        <v>0</v>
      </c>
      <c r="P35" s="33">
        <f>'13_CAP_TABLE_FINANCIACION'!P38</f>
        <v>1562.5</v>
      </c>
      <c r="Q35" s="33">
        <f>'13_CAP_TABLE_FINANCIACION'!Q38</f>
        <v>1562.5</v>
      </c>
      <c r="R35" s="33">
        <f>'13_CAP_TABLE_FINANCIACION'!R38</f>
        <v>1562.5</v>
      </c>
      <c r="S35" s="33">
        <f>'13_CAP_TABLE_FINANCIACION'!S38</f>
        <v>1562.5</v>
      </c>
      <c r="T35" s="33">
        <f>'13_CAP_TABLE_FINANCIACION'!T38</f>
        <v>1562.5</v>
      </c>
      <c r="U35" s="33">
        <f>'13_CAP_TABLE_FINANCIACION'!U38</f>
        <v>1562.5</v>
      </c>
      <c r="V35" s="33">
        <f>'13_CAP_TABLE_FINANCIACION'!V38</f>
        <v>1562.5</v>
      </c>
      <c r="W35" s="33">
        <f>'13_CAP_TABLE_FINANCIACION'!W38</f>
        <v>1562.5</v>
      </c>
      <c r="X35" s="33">
        <f>'13_CAP_TABLE_FINANCIACION'!X38</f>
        <v>1562.5</v>
      </c>
      <c r="Y35" s="33">
        <f>'13_CAP_TABLE_FINANCIACION'!Y38</f>
        <v>1562.5</v>
      </c>
      <c r="Z35" s="33">
        <f>'13_CAP_TABLE_FINANCIACION'!Z38</f>
        <v>1562.5</v>
      </c>
      <c r="AA35" s="33">
        <f>'13_CAP_TABLE_FINANCIACION'!AA38</f>
        <v>1562.5</v>
      </c>
      <c r="AB35" s="33">
        <f>'13_CAP_TABLE_FINANCIACION'!AB38</f>
        <v>1562.5</v>
      </c>
      <c r="AC35" s="33">
        <f>'13_CAP_TABLE_FINANCIACION'!AC38</f>
        <v>1562.5</v>
      </c>
      <c r="AD35" s="33">
        <f>'13_CAP_TABLE_FINANCIACION'!AD38</f>
        <v>1562.5</v>
      </c>
      <c r="AE35" s="33">
        <f>'13_CAP_TABLE_FINANCIACION'!AE38</f>
        <v>1562.5</v>
      </c>
      <c r="AF35" s="33">
        <f>'13_CAP_TABLE_FINANCIACION'!AF38</f>
        <v>1562.5</v>
      </c>
      <c r="AG35" s="33">
        <f>'13_CAP_TABLE_FINANCIACION'!AG38</f>
        <v>1562.5</v>
      </c>
      <c r="AH35" s="33">
        <f>'13_CAP_TABLE_FINANCIACION'!AH38</f>
        <v>1562.5</v>
      </c>
      <c r="AI35" s="33">
        <f>'13_CAP_TABLE_FINANCIACION'!AI38</f>
        <v>1562.5</v>
      </c>
      <c r="AJ35" s="33">
        <f>'13_CAP_TABLE_FINANCIACION'!AJ38</f>
        <v>1562.5</v>
      </c>
      <c r="AK35" s="33">
        <f>'13_CAP_TABLE_FINANCIACION'!AK38</f>
        <v>1562.5</v>
      </c>
      <c r="AL35" s="33">
        <f>'13_CAP_TABLE_FINANCIACION'!AL38</f>
        <v>1562.5</v>
      </c>
      <c r="AM35" s="33">
        <f>'13_CAP_TABLE_FINANCIACION'!AM38</f>
        <v>1562.5</v>
      </c>
      <c r="AN35" s="33">
        <f>'13_CAP_TABLE_FINANCIACION'!AN38</f>
        <v>1562.5</v>
      </c>
      <c r="AO35" s="33">
        <f>'13_CAP_TABLE_FINANCIACION'!AO38</f>
        <v>1562.5</v>
      </c>
      <c r="AP35" s="33">
        <f>'13_CAP_TABLE_FINANCIACION'!AP38</f>
        <v>1562.5</v>
      </c>
      <c r="AQ35" s="33">
        <f>'13_CAP_TABLE_FINANCIACION'!AQ38</f>
        <v>1562.5</v>
      </c>
      <c r="AR35" s="33">
        <f>'13_CAP_TABLE_FINANCIACION'!AR38</f>
        <v>1562.5</v>
      </c>
      <c r="AS35" s="33">
        <f>'13_CAP_TABLE_FINANCIACION'!AS38</f>
        <v>1562.5</v>
      </c>
      <c r="AT35" s="33">
        <f>'13_CAP_TABLE_FINANCIACION'!AT38</f>
        <v>1562.5</v>
      </c>
      <c r="AU35" s="33">
        <f>'13_CAP_TABLE_FINANCIACION'!AU38</f>
        <v>1562.5</v>
      </c>
      <c r="AV35" s="33">
        <f>'13_CAP_TABLE_FINANCIACION'!AV38</f>
        <v>1562.5</v>
      </c>
      <c r="AW35" s="33">
        <f>'13_CAP_TABLE_FINANCIACION'!AW38</f>
        <v>1562.5</v>
      </c>
      <c r="AX35" s="33">
        <f>'13_CAP_TABLE_FINANCIACION'!AX38</f>
        <v>1562.5</v>
      </c>
      <c r="AY35" s="33">
        <f>'13_CAP_TABLE_FINANCIACION'!AY38</f>
        <v>1562.5</v>
      </c>
      <c r="AZ35" s="33">
        <f>'13_CAP_TABLE_FINANCIACION'!AZ38</f>
        <v>1562.5</v>
      </c>
      <c r="BA35" s="33">
        <f>'13_CAP_TABLE_FINANCIACION'!BA38</f>
        <v>1562.5</v>
      </c>
      <c r="BB35" s="33">
        <f>'13_CAP_TABLE_FINANCIACION'!BB38</f>
        <v>1562.5</v>
      </c>
      <c r="BC35" s="33">
        <f>'13_CAP_TABLE_FINANCIACION'!BC38</f>
        <v>1562.5</v>
      </c>
      <c r="BD35" s="33">
        <f>'13_CAP_TABLE_FINANCIACION'!BD38</f>
        <v>1562.5</v>
      </c>
      <c r="BE35" s="33">
        <f>'13_CAP_TABLE_FINANCIACION'!BE38</f>
        <v>1562.5</v>
      </c>
      <c r="BF35" s="33">
        <f>'13_CAP_TABLE_FINANCIACION'!BF38</f>
        <v>1562.5</v>
      </c>
      <c r="BG35" s="33">
        <f>'13_CAP_TABLE_FINANCIACION'!BG38</f>
        <v>1562.5</v>
      </c>
      <c r="BH35" s="33">
        <f>'13_CAP_TABLE_FINANCIACION'!BH38</f>
        <v>1562.5</v>
      </c>
      <c r="BI35" s="33">
        <f>'13_CAP_TABLE_FINANCIACION'!BI38</f>
        <v>1562.5</v>
      </c>
      <c r="BJ35" s="33">
        <f>'13_CAP_TABLE_FINANCIACION'!BJ38</f>
        <v>1562.5</v>
      </c>
      <c r="BK35" s="33">
        <f>'13_CAP_TABLE_FINANCIACION'!BK38</f>
        <v>1562.5</v>
      </c>
      <c r="BL35" s="33">
        <f>'13_CAP_TABLE_FINANCIACION'!BL38</f>
        <v>0</v>
      </c>
      <c r="BM35" s="33">
        <f>'13_CAP_TABLE_FINANCIACION'!BM38</f>
        <v>0</v>
      </c>
      <c r="BN35" s="33">
        <f>'13_CAP_TABLE_FINANCIACION'!BN38</f>
        <v>0</v>
      </c>
      <c r="BO35" s="33">
        <f>'13_CAP_TABLE_FINANCIACION'!BO38</f>
        <v>0</v>
      </c>
      <c r="BP35" s="33">
        <f>'13_CAP_TABLE_FINANCIACION'!BP38</f>
        <v>0</v>
      </c>
      <c r="BQ35" s="33">
        <f>'13_CAP_TABLE_FINANCIACION'!BQ38</f>
        <v>0</v>
      </c>
      <c r="BR35" s="33">
        <f>'13_CAP_TABLE_FINANCIACION'!BR38</f>
        <v>0</v>
      </c>
      <c r="BS35" s="33">
        <f>'13_CAP_TABLE_FINANCIACION'!BS38</f>
        <v>0</v>
      </c>
      <c r="BT35" s="33">
        <f>'13_CAP_TABLE_FINANCIACION'!BT38</f>
        <v>0</v>
      </c>
      <c r="BU35" s="33">
        <f>'13_CAP_TABLE_FINANCIACION'!BU38</f>
        <v>0</v>
      </c>
      <c r="BV35" s="33">
        <f>'13_CAP_TABLE_FINANCIACION'!BV38</f>
        <v>0</v>
      </c>
      <c r="BW35" s="33">
        <f>'13_CAP_TABLE_FINANCIACION'!BW38</f>
        <v>0</v>
      </c>
      <c r="BX35" s="33">
        <f>'13_CAP_TABLE_FINANCIACION'!BX38</f>
        <v>0</v>
      </c>
      <c r="BY35" s="33">
        <f>'13_CAP_TABLE_FINANCIACION'!BY38</f>
        <v>0</v>
      </c>
      <c r="BZ35" s="33">
        <f>'13_CAP_TABLE_FINANCIACION'!BZ38</f>
        <v>0</v>
      </c>
      <c r="CA35" s="33">
        <f>'13_CAP_TABLE_FINANCIACION'!CA38</f>
        <v>0</v>
      </c>
      <c r="CB35" s="33">
        <f>'13_CAP_TABLE_FINANCIACION'!CB38</f>
        <v>0</v>
      </c>
      <c r="CC35" s="33">
        <f>'13_CAP_TABLE_FINANCIACION'!CC38</f>
        <v>0</v>
      </c>
      <c r="CD35" s="33">
        <f>'13_CAP_TABLE_FINANCIACION'!CD38</f>
        <v>0</v>
      </c>
      <c r="CE35" s="33">
        <f>'13_CAP_TABLE_FINANCIACION'!CE38</f>
        <v>0</v>
      </c>
      <c r="CF35" s="33">
        <f>'13_CAP_TABLE_FINANCIACION'!CF38</f>
        <v>0</v>
      </c>
      <c r="CG35" s="33">
        <f>'13_CAP_TABLE_FINANCIACION'!CG38</f>
        <v>0</v>
      </c>
      <c r="CH35" s="33">
        <f>'13_CAP_TABLE_FINANCIACION'!CH38</f>
        <v>0</v>
      </c>
      <c r="CI35" s="33">
        <f>'13_CAP_TABLE_FINANCIACION'!CI38</f>
        <v>0</v>
      </c>
    </row>
    <row r="36" spans="1:87" ht="16.5">
      <c r="A36" s="5" t="s">
        <v>724</v>
      </c>
      <c r="B36" s="30" t="s">
        <v>465</v>
      </c>
      <c r="C36" s="17" t="s">
        <v>725</v>
      </c>
      <c r="D36" s="36">
        <f t="shared" ref="D36:AI36" si="12">D26-D27-D28-D29-D30-D31+D32+D33-D34-D35</f>
        <v>160450.49936750002</v>
      </c>
      <c r="E36" s="36">
        <f t="shared" si="12"/>
        <v>-10803.477627499991</v>
      </c>
      <c r="F36" s="36">
        <f t="shared" si="12"/>
        <v>-8465.2884960999945</v>
      </c>
      <c r="G36" s="36">
        <f t="shared" si="12"/>
        <v>-3451.9167251879944</v>
      </c>
      <c r="H36" s="36">
        <f t="shared" si="12"/>
        <v>-1584.0828306030353</v>
      </c>
      <c r="I36" s="36">
        <f t="shared" si="12"/>
        <v>434.92325854872524</v>
      </c>
      <c r="J36" s="36">
        <f t="shared" si="12"/>
        <v>2421.8462338326208</v>
      </c>
      <c r="K36" s="36">
        <f t="shared" si="12"/>
        <v>4634.7428921392266</v>
      </c>
      <c r="L36" s="36">
        <f t="shared" si="12"/>
        <v>7027.4729041103592</v>
      </c>
      <c r="M36" s="36">
        <f t="shared" si="12"/>
        <v>7720.8132750391924</v>
      </c>
      <c r="N36" s="36">
        <f t="shared" si="12"/>
        <v>12204.338182642334</v>
      </c>
      <c r="O36" s="36">
        <f t="shared" si="12"/>
        <v>15058.591476853719</v>
      </c>
      <c r="P36" s="36">
        <f t="shared" si="12"/>
        <v>1031.1239026020039</v>
      </c>
      <c r="Q36" s="36">
        <f t="shared" si="12"/>
        <v>4119.6325574101647</v>
      </c>
      <c r="R36" s="36">
        <f t="shared" si="12"/>
        <v>7528.3557716029754</v>
      </c>
      <c r="S36" s="36">
        <f t="shared" si="12"/>
        <v>11123.022849931225</v>
      </c>
      <c r="T36" s="36">
        <f t="shared" si="12"/>
        <v>14836.157264525704</v>
      </c>
      <c r="U36" s="36">
        <f t="shared" si="12"/>
        <v>18809.390865287773</v>
      </c>
      <c r="V36" s="36">
        <f t="shared" si="12"/>
        <v>20002.290641777465</v>
      </c>
      <c r="W36" s="36">
        <f t="shared" si="12"/>
        <v>24563.751605386315</v>
      </c>
      <c r="X36" s="36">
        <f t="shared" si="12"/>
        <v>29519.249387083884</v>
      </c>
      <c r="Y36" s="36">
        <f t="shared" si="12"/>
        <v>34795.168064317266</v>
      </c>
      <c r="Z36" s="36">
        <f t="shared" si="12"/>
        <v>40397.168690729333</v>
      </c>
      <c r="AA36" s="36">
        <f t="shared" si="12"/>
        <v>46582.863379254326</v>
      </c>
      <c r="AB36" s="36">
        <f t="shared" si="12"/>
        <v>49718.717757861348</v>
      </c>
      <c r="AC36" s="36">
        <f t="shared" si="12"/>
        <v>56903.495802756923</v>
      </c>
      <c r="AD36" s="36">
        <f t="shared" si="12"/>
        <v>64565.420056244126</v>
      </c>
      <c r="AE36" s="36">
        <f t="shared" si="12"/>
        <v>72807.627414010334</v>
      </c>
      <c r="AF36" s="36">
        <f t="shared" si="12"/>
        <v>81737.948394397827</v>
      </c>
      <c r="AG36" s="36">
        <f t="shared" si="12"/>
        <v>91360.719555216347</v>
      </c>
      <c r="AH36" s="36">
        <f t="shared" si="12"/>
        <v>101723.59337690032</v>
      </c>
      <c r="AI36" s="36">
        <f t="shared" si="12"/>
        <v>112917.38370931899</v>
      </c>
      <c r="AJ36" s="36">
        <f t="shared" ref="AJ36:BO36" si="13">AJ26-AJ27-AJ28-AJ29-AJ30-AJ31+AJ32+AJ33-AJ34-AJ35</f>
        <v>124980.51325833121</v>
      </c>
      <c r="AK36" s="36">
        <f t="shared" si="13"/>
        <v>137937.02609226436</v>
      </c>
      <c r="AL36" s="36">
        <f t="shared" si="13"/>
        <v>151983.11982791213</v>
      </c>
      <c r="AM36" s="36">
        <f t="shared" si="13"/>
        <v>167073.9528854118</v>
      </c>
      <c r="AN36" s="36">
        <f t="shared" si="13"/>
        <v>183482.55538151143</v>
      </c>
      <c r="AO36" s="36">
        <f t="shared" si="13"/>
        <v>201104.05586129904</v>
      </c>
      <c r="AP36" s="36">
        <f t="shared" si="13"/>
        <v>220218.2404994696</v>
      </c>
      <c r="AQ36" s="36">
        <f t="shared" si="13"/>
        <v>240709.68400869382</v>
      </c>
      <c r="AR36" s="36">
        <f t="shared" si="13"/>
        <v>263050.51197465602</v>
      </c>
      <c r="AS36" s="36">
        <f t="shared" si="13"/>
        <v>286968.56866989506</v>
      </c>
      <c r="AT36" s="36">
        <f t="shared" si="13"/>
        <v>312758.01295675343</v>
      </c>
      <c r="AU36" s="36">
        <f t="shared" si="13"/>
        <v>340713.85304856044</v>
      </c>
      <c r="AV36" s="36">
        <f t="shared" si="13"/>
        <v>370940.34373271186</v>
      </c>
      <c r="AW36" s="36">
        <f t="shared" si="13"/>
        <v>403513.77664459555</v>
      </c>
      <c r="AX36" s="36">
        <f t="shared" si="13"/>
        <v>438747.52391742985</v>
      </c>
      <c r="AY36" s="36">
        <f t="shared" si="13"/>
        <v>476648.23579509091</v>
      </c>
      <c r="AZ36" s="36">
        <f t="shared" si="13"/>
        <v>517719.5676329647</v>
      </c>
      <c r="BA36" s="36">
        <f t="shared" si="13"/>
        <v>562156.35987586877</v>
      </c>
      <c r="BB36" s="36">
        <f t="shared" si="13"/>
        <v>609833.15026720474</v>
      </c>
      <c r="BC36" s="36">
        <f t="shared" si="13"/>
        <v>661656.89853484777</v>
      </c>
      <c r="BD36" s="36">
        <f t="shared" si="13"/>
        <v>717381.0071169025</v>
      </c>
      <c r="BE36" s="36">
        <f t="shared" si="13"/>
        <v>777602.87753452128</v>
      </c>
      <c r="BF36" s="36">
        <f t="shared" si="13"/>
        <v>842734.01101454976</v>
      </c>
      <c r="BG36" s="36">
        <f t="shared" si="13"/>
        <v>912972.70311197988</v>
      </c>
      <c r="BH36" s="36">
        <f t="shared" si="13"/>
        <v>988788.99773120531</v>
      </c>
      <c r="BI36" s="36">
        <f t="shared" si="13"/>
        <v>1070848.6803709681</v>
      </c>
      <c r="BJ36" s="36">
        <f t="shared" si="13"/>
        <v>1159232.8081459121</v>
      </c>
      <c r="BK36" s="36">
        <f t="shared" si="13"/>
        <v>1254888.3530428526</v>
      </c>
      <c r="BL36" s="36">
        <f t="shared" si="13"/>
        <v>1359628.7552275471</v>
      </c>
      <c r="BM36" s="36">
        <f t="shared" si="13"/>
        <v>1471043.7467530174</v>
      </c>
      <c r="BN36" s="36">
        <f t="shared" si="13"/>
        <v>1591487.8790835252</v>
      </c>
      <c r="BO36" s="36">
        <f t="shared" si="13"/>
        <v>1721456.0323144738</v>
      </c>
      <c r="BP36" s="36">
        <f t="shared" ref="BP36:CU36" si="14">BP26-BP27-BP28-BP29-BP30-BP31+BP32+BP33-BP34-BP35</f>
        <v>1861913.7763628992</v>
      </c>
      <c r="BQ36" s="36">
        <f t="shared" si="14"/>
        <v>2013613.3858761981</v>
      </c>
      <c r="BR36" s="36">
        <f t="shared" si="14"/>
        <v>2177288.0227335598</v>
      </c>
      <c r="BS36" s="36">
        <f t="shared" si="14"/>
        <v>2354126.6299705119</v>
      </c>
      <c r="BT36" s="36">
        <f t="shared" si="14"/>
        <v>2545179.4979924187</v>
      </c>
      <c r="BU36" s="36">
        <f t="shared" si="14"/>
        <v>2751498.4182330789</v>
      </c>
      <c r="BV36" s="36">
        <f t="shared" si="14"/>
        <v>2974189.8147349921</v>
      </c>
      <c r="BW36" s="36">
        <f t="shared" si="14"/>
        <v>3214781.7708540577</v>
      </c>
      <c r="BX36" s="36">
        <f t="shared" si="14"/>
        <v>3474698.5659236498</v>
      </c>
      <c r="BY36" s="36">
        <f t="shared" si="14"/>
        <v>3755351.4699518066</v>
      </c>
      <c r="BZ36" s="36">
        <f t="shared" si="14"/>
        <v>4058420.7845962183</v>
      </c>
      <c r="CA36" s="36">
        <f t="shared" si="14"/>
        <v>4385812.7748901816</v>
      </c>
      <c r="CB36" s="36">
        <f t="shared" si="14"/>
        <v>4739269.0081796627</v>
      </c>
      <c r="CC36" s="36">
        <f t="shared" si="14"/>
        <v>5121051.690752306</v>
      </c>
      <c r="CD36" s="36">
        <f t="shared" si="14"/>
        <v>5533525.4626197554</v>
      </c>
      <c r="CE36" s="36">
        <f t="shared" si="14"/>
        <v>5978883.9185306011</v>
      </c>
      <c r="CF36" s="36">
        <f t="shared" si="14"/>
        <v>6459811.7505933177</v>
      </c>
      <c r="CG36" s="36">
        <f t="shared" si="14"/>
        <v>6979312.6507530492</v>
      </c>
      <c r="CH36" s="36">
        <f t="shared" si="14"/>
        <v>7540338.3068935573</v>
      </c>
      <c r="CI36" s="36">
        <f t="shared" si="14"/>
        <v>8146173.7170273121</v>
      </c>
    </row>
    <row r="37" spans="1:87" ht="16.5">
      <c r="A37" s="5" t="s">
        <v>726</v>
      </c>
      <c r="B37" s="30" t="s">
        <v>465</v>
      </c>
      <c r="C37" s="17" t="s">
        <v>727</v>
      </c>
      <c r="D37" s="46">
        <f t="shared" ref="D37:AI37" si="15">D25+D36</f>
        <v>160450.49936750002</v>
      </c>
      <c r="E37" s="46">
        <f t="shared" si="15"/>
        <v>149647.02174000003</v>
      </c>
      <c r="F37" s="46">
        <f t="shared" si="15"/>
        <v>141181.73324390003</v>
      </c>
      <c r="G37" s="46">
        <f t="shared" si="15"/>
        <v>137729.81651871203</v>
      </c>
      <c r="H37" s="46">
        <f t="shared" si="15"/>
        <v>136145.733688109</v>
      </c>
      <c r="I37" s="46">
        <f t="shared" si="15"/>
        <v>136580.65694665772</v>
      </c>
      <c r="J37" s="46">
        <f t="shared" si="15"/>
        <v>139002.50318049034</v>
      </c>
      <c r="K37" s="46">
        <f t="shared" si="15"/>
        <v>143637.24607262955</v>
      </c>
      <c r="L37" s="46">
        <f t="shared" si="15"/>
        <v>150664.71897673991</v>
      </c>
      <c r="M37" s="46">
        <f t="shared" si="15"/>
        <v>158385.53225177911</v>
      </c>
      <c r="N37" s="46">
        <f t="shared" si="15"/>
        <v>170589.87043442143</v>
      </c>
      <c r="O37" s="46">
        <f t="shared" si="15"/>
        <v>185648.46191127517</v>
      </c>
      <c r="P37" s="46">
        <f t="shared" si="15"/>
        <v>186679.58581387717</v>
      </c>
      <c r="Q37" s="46">
        <f t="shared" si="15"/>
        <v>190799.21837128734</v>
      </c>
      <c r="R37" s="46">
        <f t="shared" si="15"/>
        <v>198327.57414289031</v>
      </c>
      <c r="S37" s="46">
        <f t="shared" si="15"/>
        <v>209450.59699282155</v>
      </c>
      <c r="T37" s="46">
        <f t="shared" si="15"/>
        <v>224286.75425734726</v>
      </c>
      <c r="U37" s="46">
        <f t="shared" si="15"/>
        <v>243096.14512263503</v>
      </c>
      <c r="V37" s="46">
        <f t="shared" si="15"/>
        <v>263098.43576441251</v>
      </c>
      <c r="W37" s="46">
        <f t="shared" si="15"/>
        <v>287662.18736979883</v>
      </c>
      <c r="X37" s="46">
        <f t="shared" si="15"/>
        <v>317181.4367568827</v>
      </c>
      <c r="Y37" s="46">
        <f t="shared" si="15"/>
        <v>351976.60482119996</v>
      </c>
      <c r="Z37" s="46">
        <f t="shared" si="15"/>
        <v>392373.77351192932</v>
      </c>
      <c r="AA37" s="46">
        <f t="shared" si="15"/>
        <v>438956.63689118368</v>
      </c>
      <c r="AB37" s="46">
        <f t="shared" si="15"/>
        <v>488675.35464904504</v>
      </c>
      <c r="AC37" s="46">
        <f t="shared" si="15"/>
        <v>545578.8504518019</v>
      </c>
      <c r="AD37" s="46">
        <f t="shared" si="15"/>
        <v>610144.27050804603</v>
      </c>
      <c r="AE37" s="46">
        <f t="shared" si="15"/>
        <v>682951.89792205638</v>
      </c>
      <c r="AF37" s="46">
        <f t="shared" si="15"/>
        <v>764689.84631645423</v>
      </c>
      <c r="AG37" s="46">
        <f t="shared" si="15"/>
        <v>856050.56587167061</v>
      </c>
      <c r="AH37" s="46">
        <f t="shared" si="15"/>
        <v>957774.15924857091</v>
      </c>
      <c r="AI37" s="46">
        <f t="shared" si="15"/>
        <v>1070691.5429578898</v>
      </c>
      <c r="AJ37" s="46">
        <f t="shared" ref="AJ37:BO37" si="16">AJ25+AJ36</f>
        <v>1195672.0562162211</v>
      </c>
      <c r="AK37" s="46">
        <f t="shared" si="16"/>
        <v>1333609.0823084854</v>
      </c>
      <c r="AL37" s="46">
        <f t="shared" si="16"/>
        <v>1485592.2021363976</v>
      </c>
      <c r="AM37" s="46">
        <f t="shared" si="16"/>
        <v>1652666.1550218095</v>
      </c>
      <c r="AN37" s="46">
        <f t="shared" si="16"/>
        <v>1836148.7104033208</v>
      </c>
      <c r="AO37" s="46">
        <f t="shared" si="16"/>
        <v>2037252.7662646198</v>
      </c>
      <c r="AP37" s="46">
        <f t="shared" si="16"/>
        <v>2257471.0067640892</v>
      </c>
      <c r="AQ37" s="46">
        <f t="shared" si="16"/>
        <v>2498180.690772783</v>
      </c>
      <c r="AR37" s="46">
        <f t="shared" si="16"/>
        <v>2761231.202747439</v>
      </c>
      <c r="AS37" s="46">
        <f t="shared" si="16"/>
        <v>3048199.7714173342</v>
      </c>
      <c r="AT37" s="46">
        <f t="shared" si="16"/>
        <v>3360957.7843740876</v>
      </c>
      <c r="AU37" s="46">
        <f t="shared" si="16"/>
        <v>3701671.6374226483</v>
      </c>
      <c r="AV37" s="46">
        <f t="shared" si="16"/>
        <v>4072611.9811553601</v>
      </c>
      <c r="AW37" s="46">
        <f t="shared" si="16"/>
        <v>4476125.757799956</v>
      </c>
      <c r="AX37" s="46">
        <f t="shared" si="16"/>
        <v>4914873.2817173861</v>
      </c>
      <c r="AY37" s="46">
        <f t="shared" si="16"/>
        <v>5391521.517512477</v>
      </c>
      <c r="AZ37" s="46">
        <f t="shared" si="16"/>
        <v>5909241.0851454418</v>
      </c>
      <c r="BA37" s="46">
        <f t="shared" si="16"/>
        <v>6471397.4450213108</v>
      </c>
      <c r="BB37" s="46">
        <f t="shared" si="16"/>
        <v>7081230.5952885151</v>
      </c>
      <c r="BC37" s="46">
        <f t="shared" si="16"/>
        <v>7742887.4938233625</v>
      </c>
      <c r="BD37" s="46">
        <f t="shared" si="16"/>
        <v>8460268.5009402651</v>
      </c>
      <c r="BE37" s="46">
        <f t="shared" si="16"/>
        <v>9237871.3784747869</v>
      </c>
      <c r="BF37" s="46">
        <f t="shared" si="16"/>
        <v>10080605.389489336</v>
      </c>
      <c r="BG37" s="46">
        <f t="shared" si="16"/>
        <v>10993578.092601316</v>
      </c>
      <c r="BH37" s="46">
        <f t="shared" si="16"/>
        <v>11982367.090332521</v>
      </c>
      <c r="BI37" s="46">
        <f t="shared" si="16"/>
        <v>13053215.770703489</v>
      </c>
      <c r="BJ37" s="46">
        <f t="shared" si="16"/>
        <v>14212448.578849401</v>
      </c>
      <c r="BK37" s="46">
        <f t="shared" si="16"/>
        <v>15467336.931892253</v>
      </c>
      <c r="BL37" s="46">
        <f t="shared" si="16"/>
        <v>16826965.687119801</v>
      </c>
      <c r="BM37" s="46">
        <f t="shared" si="16"/>
        <v>18298009.433872819</v>
      </c>
      <c r="BN37" s="46">
        <f t="shared" si="16"/>
        <v>19889497.312956344</v>
      </c>
      <c r="BO37" s="46">
        <f t="shared" si="16"/>
        <v>21610953.34527082</v>
      </c>
      <c r="BP37" s="46">
        <f t="shared" ref="BP37:CU37" si="17">BP25+BP36</f>
        <v>23472867.12163372</v>
      </c>
      <c r="BQ37" s="46">
        <f t="shared" si="17"/>
        <v>25486480.507509917</v>
      </c>
      <c r="BR37" s="46">
        <f t="shared" si="17"/>
        <v>27663768.530243479</v>
      </c>
      <c r="BS37" s="46">
        <f t="shared" si="17"/>
        <v>30017895.160213992</v>
      </c>
      <c r="BT37" s="46">
        <f t="shared" si="17"/>
        <v>32563074.658206411</v>
      </c>
      <c r="BU37" s="46">
        <f t="shared" si="17"/>
        <v>35314573.076439492</v>
      </c>
      <c r="BV37" s="46">
        <f t="shared" si="17"/>
        <v>38288762.891174488</v>
      </c>
      <c r="BW37" s="46">
        <f t="shared" si="17"/>
        <v>41503544.662028544</v>
      </c>
      <c r="BX37" s="46">
        <f t="shared" si="17"/>
        <v>44978243.227952197</v>
      </c>
      <c r="BY37" s="46">
        <f t="shared" si="17"/>
        <v>48733594.697904006</v>
      </c>
      <c r="BZ37" s="46">
        <f t="shared" si="17"/>
        <v>52792015.482500225</v>
      </c>
      <c r="CA37" s="46">
        <f t="shared" si="17"/>
        <v>57177828.25739041</v>
      </c>
      <c r="CB37" s="46">
        <f t="shared" si="17"/>
        <v>61917097.265570074</v>
      </c>
      <c r="CC37" s="46">
        <f t="shared" si="17"/>
        <v>67038148.956322379</v>
      </c>
      <c r="CD37" s="46">
        <f t="shared" si="17"/>
        <v>72571674.418942139</v>
      </c>
      <c r="CE37" s="46">
        <f t="shared" si="17"/>
        <v>78550558.337472737</v>
      </c>
      <c r="CF37" s="46">
        <f t="shared" si="17"/>
        <v>85010370.088066056</v>
      </c>
      <c r="CG37" s="46">
        <f t="shared" si="17"/>
        <v>91989682.738819107</v>
      </c>
      <c r="CH37" s="46">
        <f t="shared" si="17"/>
        <v>99530021.045712665</v>
      </c>
      <c r="CI37" s="46">
        <f t="shared" si="17"/>
        <v>107676194.76273997</v>
      </c>
    </row>
    <row r="39" spans="1:87" ht="24" customHeight="1">
      <c r="B39" s="109" t="s">
        <v>728</v>
      </c>
      <c r="C39" s="110"/>
      <c r="D39" s="110"/>
      <c r="E39" s="110"/>
      <c r="F39" s="110"/>
      <c r="G39" s="110"/>
      <c r="H39" s="110"/>
    </row>
    <row r="40" spans="1:87" ht="19" customHeight="1">
      <c r="B40" s="102" t="s">
        <v>729</v>
      </c>
      <c r="C40" s="103"/>
      <c r="D40" s="103"/>
      <c r="E40" s="103"/>
      <c r="F40" s="103"/>
      <c r="G40" s="103"/>
      <c r="H40" s="104"/>
    </row>
    <row r="41" spans="1:87" ht="19" customHeight="1">
      <c r="B41" s="105"/>
      <c r="C41" s="103"/>
      <c r="D41" s="103"/>
      <c r="E41" s="103"/>
      <c r="F41" s="103"/>
      <c r="G41" s="103"/>
      <c r="H41" s="104"/>
    </row>
    <row r="42" spans="1:87" ht="19" customHeight="1">
      <c r="B42" s="105"/>
      <c r="C42" s="103"/>
      <c r="D42" s="103"/>
      <c r="E42" s="103"/>
      <c r="F42" s="103"/>
      <c r="G42" s="103"/>
      <c r="H42" s="104"/>
    </row>
    <row r="43" spans="1:87" ht="19" customHeight="1">
      <c r="B43" s="105"/>
      <c r="C43" s="103"/>
      <c r="D43" s="103"/>
      <c r="E43" s="103"/>
      <c r="F43" s="103"/>
      <c r="G43" s="103"/>
      <c r="H43" s="104"/>
    </row>
    <row r="44" spans="1:87" ht="19" customHeight="1">
      <c r="B44" s="105"/>
      <c r="C44" s="103"/>
      <c r="D44" s="103"/>
      <c r="E44" s="103"/>
      <c r="F44" s="103"/>
      <c r="G44" s="103"/>
      <c r="H44" s="104"/>
    </row>
    <row r="45" spans="1:87" ht="19" customHeight="1">
      <c r="B45" s="105"/>
      <c r="C45" s="103"/>
      <c r="D45" s="103"/>
      <c r="E45" s="103"/>
      <c r="F45" s="103"/>
      <c r="G45" s="103"/>
      <c r="H45" s="104"/>
    </row>
    <row r="46" spans="1:87" ht="19" customHeight="1">
      <c r="B46" s="105"/>
      <c r="C46" s="103"/>
      <c r="D46" s="103"/>
      <c r="E46" s="103"/>
      <c r="F46" s="103"/>
      <c r="G46" s="103"/>
      <c r="H46" s="104"/>
    </row>
    <row r="47" spans="1:87" ht="19" customHeight="1">
      <c r="B47" s="106"/>
      <c r="C47" s="107"/>
      <c r="D47" s="107"/>
      <c r="E47" s="107"/>
      <c r="F47" s="107"/>
      <c r="G47" s="107"/>
      <c r="H47" s="108"/>
    </row>
  </sheetData>
  <mergeCells count="5">
    <mergeCell ref="B40:H47"/>
    <mergeCell ref="B5:C5"/>
    <mergeCell ref="D5:O5"/>
    <mergeCell ref="B39:H39"/>
    <mergeCell ref="A24:C2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46E5"/>
  </sheetPr>
  <dimension ref="A4:CI54"/>
  <sheetViews>
    <sheetView workbookViewId="0">
      <pane xSplit="3" ySplit="7" topLeftCell="D8" activePane="bottomRight" state="frozen"/>
      <selection pane="topRight"/>
      <selection pane="bottomLeft"/>
      <selection pane="bottomRight"/>
    </sheetView>
  </sheetViews>
  <sheetFormatPr baseColWidth="10" defaultColWidth="8.7265625" defaultRowHeight="14.5"/>
  <cols>
    <col min="1" max="1" width="38" customWidth="1"/>
    <col min="2" max="2" width="12" customWidth="1"/>
    <col min="3" max="3" width="38" customWidth="1"/>
    <col min="4" max="87" width="12" customWidth="1"/>
  </cols>
  <sheetData>
    <row r="4" spans="1:87" ht="21">
      <c r="A4" s="28" t="s">
        <v>730</v>
      </c>
    </row>
    <row r="5" spans="1:87" ht="50" customHeight="1">
      <c r="A5" s="38" t="s">
        <v>296</v>
      </c>
      <c r="B5" s="130" t="str">
        <f>CHOOSE('1_PANEL_CONTROL'!$C$4, "🔴 1: NEGATIVO", "🟡 2: EQUILIBRIO", "🟢 3: POSITIVO")</f>
        <v>🟡 2: EQUILIBRIO</v>
      </c>
      <c r="C5" s="113"/>
      <c r="D5" s="116" t="str">
        <f>CHOOSE('1_PANEL_CONTROL'!$C$4, "[NEGATIVO] P&amp;L CUENTA DE RESULTADOS. EBITDA de Año 1 de " &amp; TEXT(SUM('10_PL_PERDIDAS_GANANCIAS'!$D$38:$O$38), "#.##0 €") &amp; " y Beneficio Neto acumulado de " &amp; TEXT(SUM('10_PL_PERDIDAS_GANANCIAS'!$D$45:$O$45), "#.##0 €") &amp; ".", "[EQUILIBRIO] P&amp;L CUENTA DE RESULTADOS. Break-even comercial: EBITDA de " &amp; TEXT('10_PL_PERDIDAS_GANANCIAS'!O38, "#.##0 €") &amp; " en el mes 12, con un margen bruto del " &amp; TEXT('10_PL_PERDIDAS_GANANCIAS'!O25, "0,0%") &amp; ".", "[POSITIVO] P&amp;L CUENTA DE RESULTADOS. Resultados sobresalientes por escalabilidad, cerrando el mes 12 con un EBITDA de " &amp; TEXT('10_PL_PERDIDAS_GANANCIAS'!O38, "#.##0 €") &amp; " y un acumulado neto en Año 1 de " &amp; TEXT(SUM('10_PL_PERDIDAS_GANANCIAS'!$D$45:$O$45), "#.##0 €") &amp; ".")</f>
        <v>[EQUILIBRIO] P&amp;L CUENTA DE RESULTADOS. Break-even comercial: EBITDA de 0 € en el mes 12, con un margen bruto del 2367158,0%.</v>
      </c>
      <c r="E5" s="112"/>
      <c r="F5" s="112"/>
      <c r="G5" s="112"/>
      <c r="H5" s="112"/>
      <c r="I5" s="112"/>
      <c r="J5" s="112"/>
      <c r="K5" s="112"/>
      <c r="L5" s="112"/>
      <c r="M5" s="112"/>
      <c r="N5" s="112"/>
      <c r="O5" s="113"/>
    </row>
    <row r="7" spans="1:87" ht="16">
      <c r="A7" t="s">
        <v>731</v>
      </c>
      <c r="B7" t="s">
        <v>367</v>
      </c>
      <c r="C7" t="s">
        <v>610</v>
      </c>
      <c r="D7" s="29" t="s">
        <v>369</v>
      </c>
      <c r="E7" s="29" t="s">
        <v>370</v>
      </c>
      <c r="F7" s="29" t="s">
        <v>371</v>
      </c>
      <c r="G7" s="29" t="s">
        <v>372</v>
      </c>
      <c r="H7" s="29" t="s">
        <v>373</v>
      </c>
      <c r="I7" s="29" t="s">
        <v>374</v>
      </c>
      <c r="J7" s="29" t="s">
        <v>375</v>
      </c>
      <c r="K7" s="29" t="s">
        <v>376</v>
      </c>
      <c r="L7" s="29" t="s">
        <v>377</v>
      </c>
      <c r="M7" s="29" t="s">
        <v>378</v>
      </c>
      <c r="N7" s="29" t="s">
        <v>379</v>
      </c>
      <c r="O7" s="29" t="s">
        <v>380</v>
      </c>
      <c r="P7" s="29" t="s">
        <v>381</v>
      </c>
      <c r="Q7" s="29" t="s">
        <v>382</v>
      </c>
      <c r="R7" s="29" t="s">
        <v>383</v>
      </c>
      <c r="S7" s="29" t="s">
        <v>384</v>
      </c>
      <c r="T7" s="29" t="s">
        <v>385</v>
      </c>
      <c r="U7" s="29" t="s">
        <v>386</v>
      </c>
      <c r="V7" s="29" t="s">
        <v>387</v>
      </c>
      <c r="W7" s="29" t="s">
        <v>388</v>
      </c>
      <c r="X7" s="29" t="s">
        <v>389</v>
      </c>
      <c r="Y7" s="29" t="s">
        <v>390</v>
      </c>
      <c r="Z7" s="29" t="s">
        <v>391</v>
      </c>
      <c r="AA7" s="29" t="s">
        <v>392</v>
      </c>
      <c r="AB7" s="29" t="s">
        <v>393</v>
      </c>
      <c r="AC7" s="29" t="s">
        <v>394</v>
      </c>
      <c r="AD7" s="29" t="s">
        <v>395</v>
      </c>
      <c r="AE7" s="29" t="s">
        <v>396</v>
      </c>
      <c r="AF7" s="29" t="s">
        <v>397</v>
      </c>
      <c r="AG7" s="29" t="s">
        <v>398</v>
      </c>
      <c r="AH7" s="29" t="s">
        <v>399</v>
      </c>
      <c r="AI7" s="29" t="s">
        <v>400</v>
      </c>
      <c r="AJ7" s="29" t="s">
        <v>401</v>
      </c>
      <c r="AK7" s="29" t="s">
        <v>402</v>
      </c>
      <c r="AL7" s="29" t="s">
        <v>403</v>
      </c>
      <c r="AM7" s="29" t="s">
        <v>404</v>
      </c>
      <c r="AN7" s="29" t="s">
        <v>405</v>
      </c>
      <c r="AO7" s="29" t="s">
        <v>406</v>
      </c>
      <c r="AP7" s="29" t="s">
        <v>407</v>
      </c>
      <c r="AQ7" s="29" t="s">
        <v>408</v>
      </c>
      <c r="AR7" s="29" t="s">
        <v>409</v>
      </c>
      <c r="AS7" s="29" t="s">
        <v>410</v>
      </c>
      <c r="AT7" s="29" t="s">
        <v>411</v>
      </c>
      <c r="AU7" s="29" t="s">
        <v>412</v>
      </c>
      <c r="AV7" s="29" t="s">
        <v>413</v>
      </c>
      <c r="AW7" s="29" t="s">
        <v>414</v>
      </c>
      <c r="AX7" s="29" t="s">
        <v>415</v>
      </c>
      <c r="AY7" s="29" t="s">
        <v>416</v>
      </c>
      <c r="AZ7" s="29" t="s">
        <v>417</v>
      </c>
      <c r="BA7" s="29" t="s">
        <v>418</v>
      </c>
      <c r="BB7" s="29" t="s">
        <v>419</v>
      </c>
      <c r="BC7" s="29" t="s">
        <v>420</v>
      </c>
      <c r="BD7" s="29" t="s">
        <v>421</v>
      </c>
      <c r="BE7" s="29" t="s">
        <v>422</v>
      </c>
      <c r="BF7" s="29" t="s">
        <v>423</v>
      </c>
      <c r="BG7" s="29" t="s">
        <v>424</v>
      </c>
      <c r="BH7" s="29" t="s">
        <v>425</v>
      </c>
      <c r="BI7" s="29" t="s">
        <v>426</v>
      </c>
      <c r="BJ7" s="29" t="s">
        <v>427</v>
      </c>
      <c r="BK7" s="29" t="s">
        <v>428</v>
      </c>
      <c r="BL7" s="29" t="s">
        <v>429</v>
      </c>
      <c r="BM7" s="29" t="s">
        <v>430</v>
      </c>
      <c r="BN7" s="29" t="s">
        <v>431</v>
      </c>
      <c r="BO7" s="29" t="s">
        <v>432</v>
      </c>
      <c r="BP7" s="29" t="s">
        <v>433</v>
      </c>
      <c r="BQ7" s="29" t="s">
        <v>434</v>
      </c>
      <c r="BR7" s="29" t="s">
        <v>435</v>
      </c>
      <c r="BS7" s="29" t="s">
        <v>436</v>
      </c>
      <c r="BT7" s="29" t="s">
        <v>437</v>
      </c>
      <c r="BU7" s="29" t="s">
        <v>438</v>
      </c>
      <c r="BV7" s="29" t="s">
        <v>439</v>
      </c>
      <c r="BW7" s="29" t="s">
        <v>440</v>
      </c>
      <c r="BX7" s="29" t="s">
        <v>441</v>
      </c>
      <c r="BY7" s="29" t="s">
        <v>442</v>
      </c>
      <c r="BZ7" s="29" t="s">
        <v>443</v>
      </c>
      <c r="CA7" s="29" t="s">
        <v>444</v>
      </c>
      <c r="CB7" s="29" t="s">
        <v>445</v>
      </c>
      <c r="CC7" s="29" t="s">
        <v>446</v>
      </c>
      <c r="CD7" s="29" t="s">
        <v>447</v>
      </c>
      <c r="CE7" s="29" t="s">
        <v>448</v>
      </c>
      <c r="CF7" s="29" t="s">
        <v>449</v>
      </c>
      <c r="CG7" s="29" t="s">
        <v>450</v>
      </c>
      <c r="CH7" s="29" t="s">
        <v>451</v>
      </c>
      <c r="CI7" s="29" t="s">
        <v>452</v>
      </c>
    </row>
    <row r="10" spans="1:87" ht="16.5">
      <c r="A10" s="5" t="s">
        <v>732</v>
      </c>
      <c r="B10" s="30" t="s">
        <v>465</v>
      </c>
      <c r="C10" s="17" t="s">
        <v>706</v>
      </c>
      <c r="D10" s="36">
        <f>'5_DETALLE_INGRESOS'!D37</f>
        <v>12116.7173</v>
      </c>
      <c r="E10" s="36">
        <f>'5_DETALLE_INGRESOS'!E37</f>
        <v>14168.269100000001</v>
      </c>
      <c r="F10" s="36">
        <f>'5_DETALLE_INGRESOS'!F37</f>
        <v>16247.140004000001</v>
      </c>
      <c r="G10" s="36">
        <f>'5_DETALLE_INGRESOS'!G37</f>
        <v>18539.141820320001</v>
      </c>
      <c r="H10" s="36">
        <f>'5_DETALLE_INGRESOS'!H37</f>
        <v>20856.325301945602</v>
      </c>
      <c r="I10" s="36">
        <f>'5_DETALLE_INGRESOS'!I37</f>
        <v>23300.803342101248</v>
      </c>
      <c r="J10" s="36">
        <f>'5_DETALLE_INGRESOS'!J37</f>
        <v>25787.801265469345</v>
      </c>
      <c r="K10" s="36">
        <f>'5_DETALLE_INGRESOS'!K37</f>
        <v>28478.8132227069</v>
      </c>
      <c r="L10" s="36">
        <f>'5_DETALLE_INGRESOS'!L37</f>
        <v>31350.351696523445</v>
      </c>
      <c r="M10" s="36">
        <f>'5_DETALLE_INGRESOS'!M37</f>
        <v>34360.834128245326</v>
      </c>
      <c r="N10" s="36">
        <f>'5_DETALLE_INGRESOS'!N37</f>
        <v>37562.459674504949</v>
      </c>
      <c r="O10" s="36">
        <f>'5_DETALLE_INGRESOS'!O37</f>
        <v>40974.945104465347</v>
      </c>
      <c r="P10" s="36">
        <f>'5_DETALLE_INGRESOS'!P37</f>
        <v>44516.157848822571</v>
      </c>
      <c r="Q10" s="36">
        <f>'5_DETALLE_INGRESOS'!Q37</f>
        <v>48204.646212728374</v>
      </c>
      <c r="R10" s="36">
        <f>'5_DETALLE_INGRESOS'!R37</f>
        <v>52229.559765746642</v>
      </c>
      <c r="S10" s="36">
        <f>'5_DETALLE_INGRESOS'!S37</f>
        <v>56465.10292300638</v>
      </c>
      <c r="T10" s="36">
        <f>'5_DETALLE_INGRESOS'!T37</f>
        <v>60893.658732846889</v>
      </c>
      <c r="U10" s="36">
        <f>'5_DETALLE_INGRESOS'!U37</f>
        <v>65608.900887474636</v>
      </c>
      <c r="V10" s="36">
        <f>'5_DETALLE_INGRESOS'!V37</f>
        <v>70677.639974472608</v>
      </c>
      <c r="W10" s="36">
        <f>'5_DETALLE_INGRESOS'!W37</f>
        <v>76071.781988430419</v>
      </c>
      <c r="X10" s="36">
        <f>'5_DETALLE_INGRESOS'!X37</f>
        <v>81925.736123504859</v>
      </c>
      <c r="Y10" s="36">
        <f>'5_DETALLE_INGRESOS'!Y37</f>
        <v>88163.99886938525</v>
      </c>
      <c r="Z10" s="36">
        <f>'5_DETALLE_INGRESOS'!Z37</f>
        <v>94792.376434936072</v>
      </c>
      <c r="AA10" s="36">
        <f>'5_DETALLE_INGRESOS'!AA37</f>
        <v>102047.33252573095</v>
      </c>
      <c r="AB10" s="36">
        <f>'5_DETALLE_INGRESOS'!AB37</f>
        <v>109855.41650378943</v>
      </c>
      <c r="AC10" s="36">
        <f>'5_DETALLE_INGRESOS'!AC37</f>
        <v>118278.25296009259</v>
      </c>
      <c r="AD10" s="36">
        <f>'5_DETALLE_INGRESOS'!AD37</f>
        <v>127293.81373289999</v>
      </c>
      <c r="AE10" s="36">
        <f>'5_DETALLE_INGRESOS'!AE37</f>
        <v>136980.12640753199</v>
      </c>
      <c r="AF10" s="36">
        <f>'5_DETALLE_INGRESOS'!AF37</f>
        <v>147459.70433613454</v>
      </c>
      <c r="AG10" s="36">
        <f>'5_DETALLE_INGRESOS'!AG37</f>
        <v>158748.9132190253</v>
      </c>
      <c r="AH10" s="36">
        <f>'5_DETALLE_INGRESOS'!AH37</f>
        <v>170920.46329254733</v>
      </c>
      <c r="AI10" s="36">
        <f>'5_DETALLE_INGRESOS'!AI37</f>
        <v>184027.82517195112</v>
      </c>
      <c r="AJ10" s="36">
        <f>'5_DETALLE_INGRESOS'!AJ37</f>
        <v>198185.83240170722</v>
      </c>
      <c r="AK10" s="36">
        <f>'5_DETALLE_INGRESOS'!AK37</f>
        <v>213379.47376984378</v>
      </c>
      <c r="AL10" s="36">
        <f>'5_DETALLE_INGRESOS'!AL37</f>
        <v>229845.73144743126</v>
      </c>
      <c r="AM10" s="36">
        <f>'5_DETALLE_INGRESOS'!AM37</f>
        <v>247550.53201922579</v>
      </c>
      <c r="AN10" s="36">
        <f>'5_DETALLE_INGRESOS'!AN37</f>
        <v>266758.07047676388</v>
      </c>
      <c r="AO10" s="36">
        <f>'5_DETALLE_INGRESOS'!AO37</f>
        <v>287384.62225090497</v>
      </c>
      <c r="AP10" s="36">
        <f>'5_DETALLE_INGRESOS'!AP37</f>
        <v>309752.90136697737</v>
      </c>
      <c r="AQ10" s="36">
        <f>'5_DETALLE_INGRESOS'!AQ37</f>
        <v>333768.35881233553</v>
      </c>
      <c r="AR10" s="36">
        <f>'5_DETALLE_INGRESOS'!AR37</f>
        <v>359871.6362133224</v>
      </c>
      <c r="AS10" s="36">
        <f>'5_DETALLE_INGRESOS'!AS37</f>
        <v>387898.69692638813</v>
      </c>
      <c r="AT10" s="36">
        <f>'5_DETALLE_INGRESOS'!AT37</f>
        <v>418095.73465649923</v>
      </c>
      <c r="AU10" s="36">
        <f>'5_DETALLE_INGRESOS'!AU37</f>
        <v>450812.99372501922</v>
      </c>
      <c r="AV10" s="36">
        <f>'5_DETALLE_INGRESOS'!AV37</f>
        <v>486165.4021190207</v>
      </c>
      <c r="AW10" s="36">
        <f>'5_DETALLE_INGRESOS'!AW37</f>
        <v>524278.87946454238</v>
      </c>
      <c r="AX10" s="36">
        <f>'5_DETALLE_INGRESOS'!AX37</f>
        <v>565482.83307770581</v>
      </c>
      <c r="AY10" s="36">
        <f>'5_DETALLE_INGRESOS'!AY37</f>
        <v>609883.34525992221</v>
      </c>
      <c r="AZ10" s="36">
        <f>'5_DETALLE_INGRESOS'!AZ37</f>
        <v>657925.64201671595</v>
      </c>
      <c r="BA10" s="36">
        <f>'5_DETALLE_INGRESOS'!BA37</f>
        <v>709881.06739405333</v>
      </c>
      <c r="BB10" s="36">
        <f>'5_DETALLE_INGRESOS'!BB37</f>
        <v>765732.12164157757</v>
      </c>
      <c r="BC10" s="36">
        <f>'5_DETALLE_INGRESOS'!BC37</f>
        <v>826309.92242890375</v>
      </c>
      <c r="BD10" s="36">
        <f>'5_DETALLE_INGRESOS'!BD37</f>
        <v>891536.23635921604</v>
      </c>
      <c r="BE10" s="36">
        <f>'5_DETALLE_INGRESOS'!BE37</f>
        <v>962015.94704395335</v>
      </c>
      <c r="BF10" s="36">
        <f>'5_DETALLE_INGRESOS'!BF37</f>
        <v>1038187.1070234696</v>
      </c>
      <c r="BG10" s="36">
        <f>'5_DETALLE_INGRESOS'!BG37</f>
        <v>1120372.2758413469</v>
      </c>
      <c r="BH10" s="36">
        <f>'5_DETALLE_INGRESOS'!BH37</f>
        <v>1209109.221604655</v>
      </c>
      <c r="BI10" s="36">
        <f>'5_DETALLE_INGRESOS'!BI37</f>
        <v>1305069.0473890272</v>
      </c>
      <c r="BJ10" s="36">
        <f>'5_DETALLE_INGRESOS'!BJ37</f>
        <v>1408517.5758761493</v>
      </c>
      <c r="BK10" s="36">
        <f>'5_DETALLE_INGRESOS'!BK37</f>
        <v>1520398.4706422416</v>
      </c>
      <c r="BL10" s="36">
        <f>'5_DETALLE_INGRESOS'!BL37</f>
        <v>1641124.0395496208</v>
      </c>
      <c r="BM10" s="36">
        <f>'5_DETALLE_INGRESOS'!BM37</f>
        <v>1771499.0257295903</v>
      </c>
      <c r="BN10" s="36">
        <f>'5_DETALLE_INGRESOS'!BN37</f>
        <v>1912387.5306839577</v>
      </c>
      <c r="BO10" s="36">
        <f>'5_DETALLE_INGRESOS'!BO37</f>
        <v>2064460.0570746744</v>
      </c>
      <c r="BP10" s="36">
        <f>'5_DETALLE_INGRESOS'!BP37</f>
        <v>2228778.6048166486</v>
      </c>
      <c r="BQ10" s="36">
        <f>'5_DETALLE_INGRESOS'!BQ37</f>
        <v>2406249.9171379805</v>
      </c>
      <c r="BR10" s="36">
        <f>'5_DETALLE_INGRESOS'!BR37</f>
        <v>2597784.9703250187</v>
      </c>
      <c r="BS10" s="36">
        <f>'5_DETALLE_INGRESOS'!BS37</f>
        <v>2804682.8649270204</v>
      </c>
      <c r="BT10" s="36">
        <f>'5_DETALLE_INGRESOS'!BT37</f>
        <v>3028187.8372571813</v>
      </c>
      <c r="BU10" s="36">
        <f>'5_DETALLE_INGRESOS'!BU37</f>
        <v>3269557.581093756</v>
      </c>
      <c r="BV10" s="36">
        <f>'5_DETALLE_INGRESOS'!BV37</f>
        <v>3530129.6595572568</v>
      </c>
      <c r="BW10" s="36">
        <f>'5_DETALLE_INGRESOS'!BW37</f>
        <v>3811606.6812178371</v>
      </c>
      <c r="BX10" s="36">
        <f>'5_DETALLE_INGRESOS'!BX37</f>
        <v>4115672.1325712646</v>
      </c>
      <c r="BY10" s="36">
        <f>'5_DETALLE_INGRESOS'!BY37</f>
        <v>4444019.9931129646</v>
      </c>
      <c r="BZ10" s="36">
        <f>'5_DETALLE_INGRESOS'!BZ37</f>
        <v>4798604.3363380022</v>
      </c>
      <c r="CA10" s="36">
        <f>'5_DETALLE_INGRESOS'!CA37</f>
        <v>5181607.0751010422</v>
      </c>
      <c r="CB10" s="36">
        <f>'5_DETALLE_INGRESOS'!CB37</f>
        <v>5595180.1348851258</v>
      </c>
      <c r="CC10" s="36">
        <f>'5_DETALLE_INGRESOS'!CC37</f>
        <v>6041850.7426519375</v>
      </c>
      <c r="CD10" s="36">
        <f>'5_DETALLE_INGRESOS'!CD37</f>
        <v>6524362.3650800912</v>
      </c>
      <c r="CE10" s="36">
        <f>'5_DETALLE_INGRESOS'!CE37</f>
        <v>7045421.9711424988</v>
      </c>
      <c r="CF10" s="36">
        <f>'5_DETALLE_INGRESOS'!CF37</f>
        <v>7608105.3681298988</v>
      </c>
      <c r="CG10" s="36">
        <f>'5_DETALLE_INGRESOS'!CG37</f>
        <v>8215875.132396291</v>
      </c>
      <c r="CH10" s="36">
        <f>'5_DETALLE_INGRESOS'!CH37</f>
        <v>8872251.6822839919</v>
      </c>
      <c r="CI10" s="36">
        <f>'5_DETALLE_INGRESOS'!CI37</f>
        <v>9581065.6208827142</v>
      </c>
    </row>
    <row r="11" spans="1:87" ht="16.5">
      <c r="A11" s="6" t="s">
        <v>533</v>
      </c>
      <c r="B11" s="30" t="s">
        <v>465</v>
      </c>
      <c r="C11" s="17" t="s">
        <v>733</v>
      </c>
      <c r="D11" s="33">
        <f>'5_DETALLE_INGRESOS'!D26</f>
        <v>1317.8999999999999</v>
      </c>
      <c r="E11" s="33">
        <f>'5_DETALLE_INGRESOS'!E26</f>
        <v>2664.45</v>
      </c>
      <c r="F11" s="33">
        <f>'5_DETALLE_INGRESOS'!F26</f>
        <v>4039.6499999999996</v>
      </c>
      <c r="G11" s="33">
        <f>'5_DETALLE_INGRESOS'!G26</f>
        <v>5443.5</v>
      </c>
      <c r="H11" s="33">
        <f>'5_DETALLE_INGRESOS'!H26</f>
        <v>6904.65</v>
      </c>
      <c r="I11" s="33">
        <f>'5_DETALLE_INGRESOS'!I26</f>
        <v>8423.0999999999985</v>
      </c>
      <c r="J11" s="33">
        <f>'5_DETALLE_INGRESOS'!J26</f>
        <v>9998.8499999999985</v>
      </c>
      <c r="K11" s="33">
        <f>'5_DETALLE_INGRESOS'!K26</f>
        <v>11631.9</v>
      </c>
      <c r="L11" s="33">
        <f>'5_DETALLE_INGRESOS'!L26</f>
        <v>13379.55</v>
      </c>
      <c r="M11" s="33">
        <f>'5_DETALLE_INGRESOS'!M26</f>
        <v>15213.15</v>
      </c>
      <c r="N11" s="33">
        <f>'5_DETALLE_INGRESOS'!N26</f>
        <v>17161.349999999999</v>
      </c>
      <c r="O11" s="33">
        <f>'5_DETALLE_INGRESOS'!O26</f>
        <v>19195.5</v>
      </c>
      <c r="P11" s="33">
        <f>'5_DETALLE_INGRESOS'!P26</f>
        <v>21344.25</v>
      </c>
      <c r="Q11" s="33">
        <f>'5_DETALLE_INGRESOS'!Q26</f>
        <v>23607.599999999999</v>
      </c>
      <c r="R11" s="33">
        <f>'5_DETALLE_INGRESOS'!R26</f>
        <v>26014.199999999997</v>
      </c>
      <c r="S11" s="33">
        <f>'5_DETALLE_INGRESOS'!S26</f>
        <v>28592.699999999997</v>
      </c>
      <c r="T11" s="33">
        <f>'5_DETALLE_INGRESOS'!T26</f>
        <v>31343.1</v>
      </c>
      <c r="U11" s="33">
        <f>'5_DETALLE_INGRESOS'!U26</f>
        <v>34265.399999999994</v>
      </c>
      <c r="V11" s="33">
        <f>'5_DETALLE_INGRESOS'!V26</f>
        <v>37416.899999999994</v>
      </c>
      <c r="W11" s="33">
        <f>'5_DETALLE_INGRESOS'!W26</f>
        <v>40768.949999999997</v>
      </c>
      <c r="X11" s="33">
        <f>'5_DETALLE_INGRESOS'!X26</f>
        <v>44378.85</v>
      </c>
      <c r="Y11" s="33">
        <f>'5_DETALLE_INGRESOS'!Y26</f>
        <v>48246.6</v>
      </c>
      <c r="Z11" s="33">
        <f>'5_DETALLE_INGRESOS'!Z26</f>
        <v>52372.2</v>
      </c>
      <c r="AA11" s="33">
        <f>'5_DETALLE_INGRESOS'!AA26</f>
        <v>56812.95</v>
      </c>
      <c r="AB11" s="33">
        <f>'5_DETALLE_INGRESOS'!AB26</f>
        <v>61597.5</v>
      </c>
      <c r="AC11" s="33">
        <f>'5_DETALLE_INGRESOS'!AC26</f>
        <v>66754.5</v>
      </c>
      <c r="AD11" s="33">
        <f>'5_DETALLE_INGRESOS'!AD26</f>
        <v>72283.95</v>
      </c>
      <c r="AE11" s="33">
        <f>'5_DETALLE_INGRESOS'!AE26</f>
        <v>78243.149999999994</v>
      </c>
      <c r="AF11" s="33">
        <f>'5_DETALLE_INGRESOS'!AF26</f>
        <v>84660.75</v>
      </c>
      <c r="AG11" s="33">
        <f>'5_DETALLE_INGRESOS'!AG26</f>
        <v>91565.4</v>
      </c>
      <c r="AH11" s="33">
        <f>'5_DETALLE_INGRESOS'!AH26</f>
        <v>99014.399999999994</v>
      </c>
      <c r="AI11" s="33">
        <f>'5_DETALLE_INGRESOS'!AI26</f>
        <v>107036.4</v>
      </c>
      <c r="AJ11" s="33">
        <f>'5_DETALLE_INGRESOS'!AJ26</f>
        <v>115688.7</v>
      </c>
      <c r="AK11" s="33">
        <f>'5_DETALLE_INGRESOS'!AK26</f>
        <v>124999.94999999998</v>
      </c>
      <c r="AL11" s="33">
        <f>'5_DETALLE_INGRESOS'!AL26</f>
        <v>135056.09999999998</v>
      </c>
      <c r="AM11" s="33">
        <f>'5_DETALLE_INGRESOS'!AM26</f>
        <v>145885.79999999999</v>
      </c>
      <c r="AN11" s="33">
        <f>'5_DETALLE_INGRESOS'!AN26</f>
        <v>157575</v>
      </c>
      <c r="AO11" s="33">
        <f>'5_DETALLE_INGRESOS'!AO26</f>
        <v>170181</v>
      </c>
      <c r="AP11" s="33">
        <f>'5_DETALLE_INGRESOS'!AP26</f>
        <v>183789.75</v>
      </c>
      <c r="AQ11" s="33">
        <f>'5_DETALLE_INGRESOS'!AQ26</f>
        <v>198458.55</v>
      </c>
      <c r="AR11" s="33">
        <f>'5_DETALLE_INGRESOS'!AR26</f>
        <v>214330.65</v>
      </c>
      <c r="AS11" s="33">
        <f>'5_DETALLE_INGRESOS'!AS26</f>
        <v>231434.69999999995</v>
      </c>
      <c r="AT11" s="33">
        <f>'5_DETALLE_INGRESOS'!AT26</f>
        <v>249885.3</v>
      </c>
      <c r="AU11" s="33">
        <f>'5_DETALLE_INGRESOS'!AU26</f>
        <v>269797.05</v>
      </c>
      <c r="AV11" s="33">
        <f>'5_DETALLE_INGRESOS'!AV26</f>
        <v>291313.19999999995</v>
      </c>
      <c r="AW11" s="33">
        <f>'5_DETALLE_INGRESOS'!AW26</f>
        <v>314548.34999999998</v>
      </c>
      <c r="AX11" s="33">
        <f>'5_DETALLE_INGRESOS'!AX26</f>
        <v>339645.75</v>
      </c>
      <c r="AY11" s="33">
        <f>'5_DETALLE_INGRESOS'!AY26</f>
        <v>366720</v>
      </c>
      <c r="AZ11" s="33">
        <f>'5_DETALLE_INGRESOS'!AZ26</f>
        <v>395971.64999999991</v>
      </c>
      <c r="BA11" s="33">
        <f>'5_DETALLE_INGRESOS'!BA26</f>
        <v>427572.6</v>
      </c>
      <c r="BB11" s="33">
        <f>'5_DETALLE_INGRESOS'!BB26</f>
        <v>461666.1</v>
      </c>
      <c r="BC11" s="33">
        <f>'5_DETALLE_INGRESOS'!BC26</f>
        <v>498510</v>
      </c>
      <c r="BD11" s="33">
        <f>'5_DETALLE_INGRESOS'!BD26</f>
        <v>538276.19999999995</v>
      </c>
      <c r="BE11" s="33">
        <f>'5_DETALLE_INGRESOS'!BE26</f>
        <v>581193.89999999991</v>
      </c>
      <c r="BF11" s="33">
        <f>'5_DETALLE_INGRESOS'!BF26</f>
        <v>627549.6</v>
      </c>
      <c r="BG11" s="33">
        <f>'5_DETALLE_INGRESOS'!BG26</f>
        <v>677629.79999999993</v>
      </c>
      <c r="BH11" s="33">
        <f>'5_DETALLE_INGRESOS'!BH26</f>
        <v>731692.35</v>
      </c>
      <c r="BI11" s="33">
        <f>'5_DETALLE_INGRESOS'!BI26</f>
        <v>790081.04999999981</v>
      </c>
      <c r="BJ11" s="33">
        <f>'5_DETALLE_INGRESOS'!BJ26</f>
        <v>853111.04999999981</v>
      </c>
      <c r="BK11" s="33">
        <f>'5_DETALLE_INGRESOS'!BK26</f>
        <v>921212.1</v>
      </c>
      <c r="BL11" s="33">
        <f>'5_DETALLE_INGRESOS'!BL26</f>
        <v>994756.64999999991</v>
      </c>
      <c r="BM11" s="33">
        <f>'5_DETALLE_INGRESOS'!BM26</f>
        <v>1074145.7999999998</v>
      </c>
      <c r="BN11" s="33">
        <f>'5_DETALLE_INGRESOS'!BN26</f>
        <v>1159895.25</v>
      </c>
      <c r="BO11" s="33">
        <f>'5_DETALLE_INGRESOS'!BO26</f>
        <v>1252520.7</v>
      </c>
      <c r="BP11" s="33">
        <f>'5_DETALLE_INGRESOS'!BP26</f>
        <v>1352566.5</v>
      </c>
      <c r="BQ11" s="33">
        <f>'5_DETALLE_INGRESOS'!BQ26</f>
        <v>1460605.65</v>
      </c>
      <c r="BR11" s="33">
        <f>'5_DETALLE_INGRESOS'!BR26</f>
        <v>1577268.45</v>
      </c>
      <c r="BS11" s="33">
        <f>'5_DETALLE_INGRESOS'!BS26</f>
        <v>1703242.5</v>
      </c>
      <c r="BT11" s="33">
        <f>'5_DETALLE_INGRESOS'!BT26</f>
        <v>1839301.3499999996</v>
      </c>
      <c r="BU11" s="33">
        <f>'5_DETALLE_INGRESOS'!BU26</f>
        <v>1986247.1999999997</v>
      </c>
      <c r="BV11" s="33">
        <f>'5_DETALLE_INGRESOS'!BV26</f>
        <v>2144939.5499999998</v>
      </c>
      <c r="BW11" s="33">
        <f>'5_DETALLE_INGRESOS'!BW26</f>
        <v>2316323.8499999996</v>
      </c>
      <c r="BX11" s="33">
        <f>'5_DETALLE_INGRESOS'!BX26</f>
        <v>2501431.5</v>
      </c>
      <c r="BY11" s="33">
        <f>'5_DETALLE_INGRESOS'!BY26</f>
        <v>2701351.1999999997</v>
      </c>
      <c r="BZ11" s="33">
        <f>'5_DETALLE_INGRESOS'!BZ26</f>
        <v>2917257.5999999996</v>
      </c>
      <c r="CA11" s="33">
        <f>'5_DETALLE_INGRESOS'!CA26</f>
        <v>3150439.9499999993</v>
      </c>
      <c r="CB11" s="33">
        <f>'5_DETALLE_INGRESOS'!CB26</f>
        <v>3402273.4499999993</v>
      </c>
      <c r="CC11" s="33">
        <f>'5_DETALLE_INGRESOS'!CC26</f>
        <v>3674247.9</v>
      </c>
      <c r="CD11" s="33">
        <f>'5_DETALLE_INGRESOS'!CD26</f>
        <v>3967996.3499999996</v>
      </c>
      <c r="CE11" s="33">
        <f>'5_DETALLE_INGRESOS'!CE26</f>
        <v>4285237.8</v>
      </c>
      <c r="CF11" s="33">
        <f>'5_DETALLE_INGRESOS'!CF26</f>
        <v>4627863.1499999994</v>
      </c>
      <c r="CG11" s="33">
        <f>'5_DETALLE_INGRESOS'!CG26</f>
        <v>4997906.55</v>
      </c>
      <c r="CH11" s="33">
        <f>'5_DETALLE_INGRESOS'!CH26</f>
        <v>5397545.3999999994</v>
      </c>
      <c r="CI11" s="33">
        <f>'5_DETALLE_INGRESOS'!CI26</f>
        <v>5829129</v>
      </c>
    </row>
    <row r="12" spans="1:87" ht="16.5">
      <c r="A12" s="6" t="s">
        <v>535</v>
      </c>
      <c r="B12" s="30" t="s">
        <v>465</v>
      </c>
      <c r="C12" s="17" t="s">
        <v>734</v>
      </c>
      <c r="D12" s="33">
        <f>'5_DETALLE_INGRESOS'!D27</f>
        <v>466.75</v>
      </c>
      <c r="E12" s="33">
        <f>'5_DETALLE_INGRESOS'!E27</f>
        <v>562.625</v>
      </c>
      <c r="F12" s="33">
        <f>'5_DETALLE_INGRESOS'!F27</f>
        <v>658.5</v>
      </c>
      <c r="G12" s="33">
        <f>'5_DETALLE_INGRESOS'!G27</f>
        <v>768</v>
      </c>
      <c r="H12" s="33">
        <f>'5_DETALLE_INGRESOS'!H27</f>
        <v>877.5</v>
      </c>
      <c r="I12" s="33">
        <f>'5_DETALLE_INGRESOS'!I27</f>
        <v>1000.625</v>
      </c>
      <c r="J12" s="33">
        <f>'5_DETALLE_INGRESOS'!J27</f>
        <v>1120.125</v>
      </c>
      <c r="K12" s="33">
        <f>'5_DETALLE_INGRESOS'!K27</f>
        <v>1248.25</v>
      </c>
      <c r="L12" s="33">
        <f>'5_DETALLE_INGRESOS'!L27</f>
        <v>1390</v>
      </c>
      <c r="M12" s="33">
        <f>'5_DETALLE_INGRESOS'!M27</f>
        <v>1536.75</v>
      </c>
      <c r="N12" s="33">
        <f>'5_DETALLE_INGRESOS'!N27</f>
        <v>1702.125</v>
      </c>
      <c r="O12" s="33">
        <f>'5_DETALLE_INGRESOS'!O27</f>
        <v>1867.5</v>
      </c>
      <c r="P12" s="33">
        <f>'5_DETALLE_INGRESOS'!P27</f>
        <v>2042.875</v>
      </c>
      <c r="Q12" s="33">
        <f>'5_DETALLE_INGRESOS'!Q27</f>
        <v>2226.875</v>
      </c>
      <c r="R12" s="33">
        <f>'5_DETALLE_INGRESOS'!R27</f>
        <v>2429.5</v>
      </c>
      <c r="S12" s="33">
        <f>'5_DETALLE_INGRESOS'!S27</f>
        <v>2650.75</v>
      </c>
      <c r="T12" s="33">
        <f>'5_DETALLE_INGRESOS'!T27</f>
        <v>2882</v>
      </c>
      <c r="U12" s="33">
        <f>'5_DETALLE_INGRESOS'!U27</f>
        <v>3131.875</v>
      </c>
      <c r="V12" s="33">
        <f>'5_DETALLE_INGRESOS'!V27</f>
        <v>3400.375</v>
      </c>
      <c r="W12" s="33">
        <f>'5_DETALLE_INGRESOS'!W27</f>
        <v>3687.5</v>
      </c>
      <c r="X12" s="33">
        <f>'5_DETALLE_INGRESOS'!X27</f>
        <v>3998.25</v>
      </c>
      <c r="Y12" s="33">
        <f>'5_DETALLE_INGRESOS'!Y27</f>
        <v>4327.625</v>
      </c>
      <c r="Z12" s="33">
        <f>'5_DETALLE_INGRESOS'!Z27</f>
        <v>4680.625</v>
      </c>
      <c r="AA12" s="33">
        <f>'5_DETALLE_INGRESOS'!AA27</f>
        <v>5070.875</v>
      </c>
      <c r="AB12" s="33">
        <f>'5_DETALLE_INGRESOS'!AB27</f>
        <v>5484.75</v>
      </c>
      <c r="AC12" s="33">
        <f>'5_DETALLE_INGRESOS'!AC27</f>
        <v>5935.875</v>
      </c>
      <c r="AD12" s="33">
        <f>'5_DETALLE_INGRESOS'!AD27</f>
        <v>6415.625</v>
      </c>
      <c r="AE12" s="33">
        <f>'5_DETALLE_INGRESOS'!AE27</f>
        <v>6932.625</v>
      </c>
      <c r="AF12" s="33">
        <f>'5_DETALLE_INGRESOS'!AF27</f>
        <v>7496.875</v>
      </c>
      <c r="AG12" s="33">
        <f>'5_DETALLE_INGRESOS'!AG27</f>
        <v>8098.375</v>
      </c>
      <c r="AH12" s="33">
        <f>'5_DETALLE_INGRESOS'!AH27</f>
        <v>8747.125</v>
      </c>
      <c r="AI12" s="33">
        <f>'5_DETALLE_INGRESOS'!AI27</f>
        <v>9451.75</v>
      </c>
      <c r="AJ12" s="33">
        <f>'5_DETALLE_INGRESOS'!AJ27</f>
        <v>10203.625</v>
      </c>
      <c r="AK12" s="33">
        <f>'5_DETALLE_INGRESOS'!AK27</f>
        <v>11021.375</v>
      </c>
      <c r="AL12" s="33">
        <f>'5_DETALLE_INGRESOS'!AL27</f>
        <v>11900</v>
      </c>
      <c r="AM12" s="33">
        <f>'5_DETALLE_INGRESOS'!AM27</f>
        <v>12849.5</v>
      </c>
      <c r="AN12" s="33">
        <f>'5_DETALLE_INGRESOS'!AN27</f>
        <v>13873.5</v>
      </c>
      <c r="AO12" s="33">
        <f>'5_DETALLE_INGRESOS'!AO27</f>
        <v>14982</v>
      </c>
      <c r="AP12" s="33">
        <f>'5_DETALLE_INGRESOS'!AP27</f>
        <v>16180</v>
      </c>
      <c r="AQ12" s="33">
        <f>'5_DETALLE_INGRESOS'!AQ27</f>
        <v>17462.5</v>
      </c>
      <c r="AR12" s="33">
        <f>'5_DETALLE_INGRESOS'!AR27</f>
        <v>18861.75</v>
      </c>
      <c r="AS12" s="33">
        <f>'5_DETALLE_INGRESOS'!AS27</f>
        <v>20360.5</v>
      </c>
      <c r="AT12" s="33">
        <f>'5_DETALLE_INGRESOS'!AT27</f>
        <v>21986</v>
      </c>
      <c r="AU12" s="33">
        <f>'5_DETALLE_INGRESOS'!AU27</f>
        <v>23733.25</v>
      </c>
      <c r="AV12" s="33">
        <f>'5_DETALLE_INGRESOS'!AV27</f>
        <v>25625.875</v>
      </c>
      <c r="AW12" s="33">
        <f>'5_DETALLE_INGRESOS'!AW27</f>
        <v>27673.875</v>
      </c>
      <c r="AX12" s="33">
        <f>'5_DETALLE_INGRESOS'!AX27</f>
        <v>29885.875</v>
      </c>
      <c r="AY12" s="33">
        <f>'5_DETALLE_INGRESOS'!AY27</f>
        <v>32258.25</v>
      </c>
      <c r="AZ12" s="33">
        <f>'5_DETALLE_INGRESOS'!AZ27</f>
        <v>34831.875</v>
      </c>
      <c r="BA12" s="33">
        <f>'5_DETALLE_INGRESOS'!BA27</f>
        <v>37616.75</v>
      </c>
      <c r="BB12" s="33">
        <f>'5_DETALLE_INGRESOS'!BB27</f>
        <v>40609.25</v>
      </c>
      <c r="BC12" s="33">
        <f>'5_DETALLE_INGRESOS'!BC27</f>
        <v>43858.875</v>
      </c>
      <c r="BD12" s="33">
        <f>'5_DETALLE_INGRESOS'!BD27</f>
        <v>47353.375</v>
      </c>
      <c r="BE12" s="33">
        <f>'5_DETALLE_INGRESOS'!BE27</f>
        <v>51130</v>
      </c>
      <c r="BF12" s="33">
        <f>'5_DETALLE_INGRESOS'!BF27</f>
        <v>55211</v>
      </c>
      <c r="BG12" s="33">
        <f>'5_DETALLE_INGRESOS'!BG27</f>
        <v>59621.375</v>
      </c>
      <c r="BH12" s="33">
        <f>'5_DETALLE_INGRESOS'!BH27</f>
        <v>64374.75</v>
      </c>
      <c r="BI12" s="33">
        <f>'5_DETALLE_INGRESOS'!BI27</f>
        <v>69517</v>
      </c>
      <c r="BJ12" s="33">
        <f>'5_DETALLE_INGRESOS'!BJ27</f>
        <v>75059.5</v>
      </c>
      <c r="BK12" s="33">
        <f>'5_DETALLE_INGRESOS'!BK27</f>
        <v>81056.75</v>
      </c>
      <c r="BL12" s="33">
        <f>'5_DETALLE_INGRESOS'!BL27</f>
        <v>87528.75</v>
      </c>
      <c r="BM12" s="33">
        <f>'5_DETALLE_INGRESOS'!BM27</f>
        <v>94517.75</v>
      </c>
      <c r="BN12" s="33">
        <f>'5_DETALLE_INGRESOS'!BN27</f>
        <v>102069.625</v>
      </c>
      <c r="BO12" s="33">
        <f>'5_DETALLE_INGRESOS'!BO27</f>
        <v>110218</v>
      </c>
      <c r="BP12" s="33">
        <f>'5_DETALLE_INGRESOS'!BP27</f>
        <v>119028.75</v>
      </c>
      <c r="BQ12" s="33">
        <f>'5_DETALLE_INGRESOS'!BQ27</f>
        <v>128539.125</v>
      </c>
      <c r="BR12" s="33">
        <f>'5_DETALLE_INGRESOS'!BR27</f>
        <v>138806.375</v>
      </c>
      <c r="BS12" s="33">
        <f>'5_DETALLE_INGRESOS'!BS27</f>
        <v>149895</v>
      </c>
      <c r="BT12" s="33">
        <f>'5_DETALLE_INGRESOS'!BT27</f>
        <v>161875.875</v>
      </c>
      <c r="BU12" s="33">
        <f>'5_DETALLE_INGRESOS'!BU27</f>
        <v>174809.875</v>
      </c>
      <c r="BV12" s="33">
        <f>'5_DETALLE_INGRESOS'!BV27</f>
        <v>188777.875</v>
      </c>
      <c r="BW12" s="33">
        <f>'5_DETALLE_INGRESOS'!BW27</f>
        <v>203868</v>
      </c>
      <c r="BX12" s="33">
        <f>'5_DETALLE_INGRESOS'!BX27</f>
        <v>220164.75</v>
      </c>
      <c r="BY12" s="33">
        <f>'5_DETALLE_INGRESOS'!BY27</f>
        <v>237762.625</v>
      </c>
      <c r="BZ12" s="33">
        <f>'5_DETALLE_INGRESOS'!BZ27</f>
        <v>256769.75</v>
      </c>
      <c r="CA12" s="33">
        <f>'5_DETALLE_INGRESOS'!CA27</f>
        <v>277302.875</v>
      </c>
      <c r="CB12" s="33">
        <f>'5_DETALLE_INGRESOS'!CB27</f>
        <v>299466.5</v>
      </c>
      <c r="CC12" s="33">
        <f>'5_DETALLE_INGRESOS'!CC27</f>
        <v>323409.625</v>
      </c>
      <c r="CD12" s="33">
        <f>'5_DETALLE_INGRESOS'!CD27</f>
        <v>349277.625</v>
      </c>
      <c r="CE12" s="33">
        <f>'5_DETALLE_INGRESOS'!CE27</f>
        <v>377203.625</v>
      </c>
      <c r="CF12" s="33">
        <f>'5_DETALLE_INGRESOS'!CF27</f>
        <v>407360.25</v>
      </c>
      <c r="CG12" s="33">
        <f>'5_DETALLE_INGRESOS'!CG27</f>
        <v>439940.125</v>
      </c>
      <c r="CH12" s="33">
        <f>'5_DETALLE_INGRESOS'!CH27</f>
        <v>475122.25</v>
      </c>
      <c r="CI12" s="33">
        <f>'5_DETALLE_INGRESOS'!CI27</f>
        <v>513112.875</v>
      </c>
    </row>
    <row r="13" spans="1:87" ht="16.5">
      <c r="A13" s="6" t="s">
        <v>537</v>
      </c>
      <c r="B13" s="30" t="s">
        <v>465</v>
      </c>
      <c r="C13" s="17" t="s">
        <v>735</v>
      </c>
      <c r="D13" s="33">
        <f>'5_DETALLE_INGRESOS'!D28</f>
        <v>4117</v>
      </c>
      <c r="E13" s="33">
        <f>'5_DETALLE_INGRESOS'!E28</f>
        <v>4385.5</v>
      </c>
      <c r="F13" s="33">
        <f>'5_DETALLE_INGRESOS'!F28</f>
        <v>4654</v>
      </c>
      <c r="G13" s="33">
        <f>'5_DETALLE_INGRESOS'!G28</f>
        <v>5012</v>
      </c>
      <c r="H13" s="33">
        <f>'5_DETALLE_INGRESOS'!H28</f>
        <v>5370</v>
      </c>
      <c r="I13" s="33">
        <f>'5_DETALLE_INGRESOS'!I28</f>
        <v>5817.5</v>
      </c>
      <c r="J13" s="33">
        <f>'5_DETALLE_INGRESOS'!J28</f>
        <v>6175.5</v>
      </c>
      <c r="K13" s="33">
        <f>'5_DETALLE_INGRESOS'!K28</f>
        <v>6623</v>
      </c>
      <c r="L13" s="33">
        <f>'5_DETALLE_INGRESOS'!L28</f>
        <v>7160</v>
      </c>
      <c r="M13" s="33">
        <f>'5_DETALLE_INGRESOS'!M28</f>
        <v>7697</v>
      </c>
      <c r="N13" s="33">
        <f>'5_DETALLE_INGRESOS'!N28</f>
        <v>8323.5</v>
      </c>
      <c r="O13" s="33">
        <f>'5_DETALLE_INGRESOS'!O28</f>
        <v>8950</v>
      </c>
      <c r="P13" s="33">
        <f>'5_DETALLE_INGRESOS'!P28</f>
        <v>9576.5</v>
      </c>
      <c r="Q13" s="33">
        <f>'5_DETALLE_INGRESOS'!Q28</f>
        <v>10292.5</v>
      </c>
      <c r="R13" s="33">
        <f>'5_DETALLE_INGRESOS'!R28</f>
        <v>11098</v>
      </c>
      <c r="S13" s="33">
        <f>'5_DETALLE_INGRESOS'!S28</f>
        <v>11993</v>
      </c>
      <c r="T13" s="33">
        <f>'5_DETALLE_INGRESOS'!T28</f>
        <v>12888</v>
      </c>
      <c r="U13" s="33">
        <f>'5_DETALLE_INGRESOS'!U28</f>
        <v>13872.5</v>
      </c>
      <c r="V13" s="33">
        <f>'5_DETALLE_INGRESOS'!V28</f>
        <v>14946.5</v>
      </c>
      <c r="W13" s="33">
        <f>'5_DETALLE_INGRESOS'!W28</f>
        <v>16110</v>
      </c>
      <c r="X13" s="33">
        <f>'5_DETALLE_INGRESOS'!X28</f>
        <v>17363</v>
      </c>
      <c r="Y13" s="33">
        <f>'5_DETALLE_INGRESOS'!Y28</f>
        <v>18705.5</v>
      </c>
      <c r="Z13" s="33">
        <f>'5_DETALLE_INGRESOS'!Z28</f>
        <v>20137.5</v>
      </c>
      <c r="AA13" s="33">
        <f>'5_DETALLE_INGRESOS'!AA28</f>
        <v>21748.5</v>
      </c>
      <c r="AB13" s="33">
        <f>'5_DETALLE_INGRESOS'!AB28</f>
        <v>23449</v>
      </c>
      <c r="AC13" s="33">
        <f>'5_DETALLE_INGRESOS'!AC28</f>
        <v>25328.5</v>
      </c>
      <c r="AD13" s="33">
        <f>'5_DETALLE_INGRESOS'!AD28</f>
        <v>27297.5</v>
      </c>
      <c r="AE13" s="33">
        <f>'5_DETALLE_INGRESOS'!AE28</f>
        <v>29445.5</v>
      </c>
      <c r="AF13" s="33">
        <f>'5_DETALLE_INGRESOS'!AF28</f>
        <v>31772.5</v>
      </c>
      <c r="AG13" s="33">
        <f>'5_DETALLE_INGRESOS'!AG28</f>
        <v>34278.5</v>
      </c>
      <c r="AH13" s="33">
        <f>'5_DETALLE_INGRESOS'!AH28</f>
        <v>36963.5</v>
      </c>
      <c r="AI13" s="33">
        <f>'5_DETALLE_INGRESOS'!AI28</f>
        <v>39917</v>
      </c>
      <c r="AJ13" s="33">
        <f>'5_DETALLE_INGRESOS'!AJ28</f>
        <v>43049.5</v>
      </c>
      <c r="AK13" s="33">
        <f>'5_DETALLE_INGRESOS'!AK28</f>
        <v>46450.5</v>
      </c>
      <c r="AL13" s="33">
        <f>'5_DETALLE_INGRESOS'!AL28</f>
        <v>50120</v>
      </c>
      <c r="AM13" s="33">
        <f>'5_DETALLE_INGRESOS'!AM28</f>
        <v>54058</v>
      </c>
      <c r="AN13" s="33">
        <f>'5_DETALLE_INGRESOS'!AN28</f>
        <v>58354</v>
      </c>
      <c r="AO13" s="33">
        <f>'5_DETALLE_INGRESOS'!AO28</f>
        <v>63008</v>
      </c>
      <c r="AP13" s="33">
        <f>'5_DETALLE_INGRESOS'!AP28</f>
        <v>68020</v>
      </c>
      <c r="AQ13" s="33">
        <f>'5_DETALLE_INGRESOS'!AQ28</f>
        <v>73390</v>
      </c>
      <c r="AR13" s="33">
        <f>'5_DETALLE_INGRESOS'!AR28</f>
        <v>79297</v>
      </c>
      <c r="AS13" s="33">
        <f>'5_DETALLE_INGRESOS'!AS28</f>
        <v>85562</v>
      </c>
      <c r="AT13" s="33">
        <f>'5_DETALLE_INGRESOS'!AT28</f>
        <v>92364</v>
      </c>
      <c r="AU13" s="33">
        <f>'5_DETALLE_INGRESOS'!AU28</f>
        <v>99703</v>
      </c>
      <c r="AV13" s="33">
        <f>'5_DETALLE_INGRESOS'!AV28</f>
        <v>107668.5</v>
      </c>
      <c r="AW13" s="33">
        <f>'5_DETALLE_INGRESOS'!AW28</f>
        <v>116260.5</v>
      </c>
      <c r="AX13" s="33">
        <f>'5_DETALLE_INGRESOS'!AX28</f>
        <v>125568.5</v>
      </c>
      <c r="AY13" s="33">
        <f>'5_DETALLE_INGRESOS'!AY28</f>
        <v>135503</v>
      </c>
      <c r="AZ13" s="33">
        <f>'5_DETALLE_INGRESOS'!AZ28</f>
        <v>146332.5</v>
      </c>
      <c r="BA13" s="33">
        <f>'5_DETALLE_INGRESOS'!BA28</f>
        <v>158057</v>
      </c>
      <c r="BB13" s="33">
        <f>'5_DETALLE_INGRESOS'!BB28</f>
        <v>170587</v>
      </c>
      <c r="BC13" s="33">
        <f>'5_DETALLE_INGRESOS'!BC28</f>
        <v>184280.5</v>
      </c>
      <c r="BD13" s="33">
        <f>'5_DETALLE_INGRESOS'!BD28</f>
        <v>198958.5</v>
      </c>
      <c r="BE13" s="33">
        <f>'5_DETALLE_INGRESOS'!BE28</f>
        <v>214800</v>
      </c>
      <c r="BF13" s="33">
        <f>'5_DETALLE_INGRESOS'!BF28</f>
        <v>231984</v>
      </c>
      <c r="BG13" s="33">
        <f>'5_DETALLE_INGRESOS'!BG28</f>
        <v>250510.5</v>
      </c>
      <c r="BH13" s="33">
        <f>'5_DETALLE_INGRESOS'!BH28</f>
        <v>270469</v>
      </c>
      <c r="BI13" s="33">
        <f>'5_DETALLE_INGRESOS'!BI28</f>
        <v>292128</v>
      </c>
      <c r="BJ13" s="33">
        <f>'5_DETALLE_INGRESOS'!BJ28</f>
        <v>315398</v>
      </c>
      <c r="BK13" s="33">
        <f>'5_DETALLE_INGRESOS'!BK28</f>
        <v>340637</v>
      </c>
      <c r="BL13" s="33">
        <f>'5_DETALLE_INGRESOS'!BL28</f>
        <v>367845</v>
      </c>
      <c r="BM13" s="33">
        <f>'5_DETALLE_INGRESOS'!BM28</f>
        <v>397201</v>
      </c>
      <c r="BN13" s="33">
        <f>'5_DETALLE_INGRESOS'!BN28</f>
        <v>428973.5</v>
      </c>
      <c r="BO13" s="33">
        <f>'5_DETALLE_INGRESOS'!BO28</f>
        <v>463252</v>
      </c>
      <c r="BP13" s="33">
        <f>'5_DETALLE_INGRESOS'!BP28</f>
        <v>500305</v>
      </c>
      <c r="BQ13" s="33">
        <f>'5_DETALLE_INGRESOS'!BQ28</f>
        <v>540311.5</v>
      </c>
      <c r="BR13" s="33">
        <f>'5_DETALLE_INGRESOS'!BR28</f>
        <v>583450.5</v>
      </c>
      <c r="BS13" s="33">
        <f>'5_DETALLE_INGRESOS'!BS28</f>
        <v>630080</v>
      </c>
      <c r="BT13" s="33">
        <f>'5_DETALLE_INGRESOS'!BT28</f>
        <v>680468.5</v>
      </c>
      <c r="BU13" s="33">
        <f>'5_DETALLE_INGRESOS'!BU28</f>
        <v>734884.5</v>
      </c>
      <c r="BV13" s="33">
        <f>'5_DETALLE_INGRESOS'!BV28</f>
        <v>793596.5</v>
      </c>
      <c r="BW13" s="33">
        <f>'5_DETALLE_INGRESOS'!BW28</f>
        <v>857052</v>
      </c>
      <c r="BX13" s="33">
        <f>'5_DETALLE_INGRESOS'!BX28</f>
        <v>925609</v>
      </c>
      <c r="BY13" s="33">
        <f>'5_DETALLE_INGRESOS'!BY28</f>
        <v>999625.5</v>
      </c>
      <c r="BZ13" s="33">
        <f>'5_DETALLE_INGRESOS'!BZ28</f>
        <v>1079549</v>
      </c>
      <c r="CA13" s="33">
        <f>'5_DETALLE_INGRESOS'!CA28</f>
        <v>1165916.5</v>
      </c>
      <c r="CB13" s="33">
        <f>'5_DETALLE_INGRESOS'!CB28</f>
        <v>1259086</v>
      </c>
      <c r="CC13" s="33">
        <f>'5_DETALLE_INGRESOS'!CC28</f>
        <v>1359773.5</v>
      </c>
      <c r="CD13" s="33">
        <f>'5_DETALLE_INGRESOS'!CD28</f>
        <v>1468605.5</v>
      </c>
      <c r="CE13" s="33">
        <f>'5_DETALLE_INGRESOS'!CE28</f>
        <v>1586029.5</v>
      </c>
      <c r="CF13" s="33">
        <f>'5_DETALLE_INGRESOS'!CF28</f>
        <v>1712851</v>
      </c>
      <c r="CG13" s="33">
        <f>'5_DETALLE_INGRESOS'!CG28</f>
        <v>1849875.5</v>
      </c>
      <c r="CH13" s="33">
        <f>'5_DETALLE_INGRESOS'!CH28</f>
        <v>1997819</v>
      </c>
      <c r="CI13" s="33">
        <f>'5_DETALLE_INGRESOS'!CI28</f>
        <v>2157576.5</v>
      </c>
    </row>
    <row r="14" spans="1:87" ht="16.5">
      <c r="A14" s="6" t="s">
        <v>539</v>
      </c>
      <c r="B14" s="30" t="s">
        <v>465</v>
      </c>
      <c r="C14" s="17" t="s">
        <v>736</v>
      </c>
      <c r="D14" s="33">
        <f>'5_DETALLE_INGRESOS'!D29</f>
        <v>150</v>
      </c>
      <c r="E14" s="33">
        <f>'5_DETALLE_INGRESOS'!E29</f>
        <v>300</v>
      </c>
      <c r="F14" s="33">
        <f>'5_DETALLE_INGRESOS'!F29</f>
        <v>450</v>
      </c>
      <c r="G14" s="33">
        <f>'5_DETALLE_INGRESOS'!G29</f>
        <v>675</v>
      </c>
      <c r="H14" s="33">
        <f>'5_DETALLE_INGRESOS'!H29</f>
        <v>825</v>
      </c>
      <c r="I14" s="33">
        <f>'5_DETALLE_INGRESOS'!I29</f>
        <v>975</v>
      </c>
      <c r="J14" s="33">
        <f>'5_DETALLE_INGRESOS'!J29</f>
        <v>1200</v>
      </c>
      <c r="K14" s="33">
        <f>'5_DETALLE_INGRESOS'!K29</f>
        <v>1350</v>
      </c>
      <c r="L14" s="33">
        <f>'5_DETALLE_INGRESOS'!L29</f>
        <v>1575</v>
      </c>
      <c r="M14" s="33">
        <f>'5_DETALLE_INGRESOS'!M29</f>
        <v>1800</v>
      </c>
      <c r="N14" s="33">
        <f>'5_DETALLE_INGRESOS'!N29</f>
        <v>2025</v>
      </c>
      <c r="O14" s="33">
        <f>'5_DETALLE_INGRESOS'!O29</f>
        <v>2250</v>
      </c>
      <c r="P14" s="33">
        <f>'5_DETALLE_INGRESOS'!P29</f>
        <v>2550</v>
      </c>
      <c r="Q14" s="33">
        <f>'5_DETALLE_INGRESOS'!Q29</f>
        <v>2775</v>
      </c>
      <c r="R14" s="33">
        <f>'5_DETALLE_INGRESOS'!R29</f>
        <v>3075</v>
      </c>
      <c r="S14" s="33">
        <f>'5_DETALLE_INGRESOS'!S29</f>
        <v>3375</v>
      </c>
      <c r="T14" s="33">
        <f>'5_DETALLE_INGRESOS'!T29</f>
        <v>3675</v>
      </c>
      <c r="U14" s="33">
        <f>'5_DETALLE_INGRESOS'!U29</f>
        <v>4050</v>
      </c>
      <c r="V14" s="33">
        <f>'5_DETALLE_INGRESOS'!V29</f>
        <v>4425</v>
      </c>
      <c r="W14" s="33">
        <f>'5_DETALLE_INGRESOS'!W29</f>
        <v>4800</v>
      </c>
      <c r="X14" s="33">
        <f>'5_DETALLE_INGRESOS'!X29</f>
        <v>5250</v>
      </c>
      <c r="Y14" s="33">
        <f>'5_DETALLE_INGRESOS'!Y29</f>
        <v>5700</v>
      </c>
      <c r="Z14" s="33">
        <f>'5_DETALLE_INGRESOS'!Z29</f>
        <v>6150</v>
      </c>
      <c r="AA14" s="33">
        <f>'5_DETALLE_INGRESOS'!AA29</f>
        <v>6675</v>
      </c>
      <c r="AB14" s="33">
        <f>'5_DETALLE_INGRESOS'!AB29</f>
        <v>7275</v>
      </c>
      <c r="AC14" s="33">
        <f>'5_DETALLE_INGRESOS'!AC29</f>
        <v>7875</v>
      </c>
      <c r="AD14" s="33">
        <f>'5_DETALLE_INGRESOS'!AD29</f>
        <v>8550</v>
      </c>
      <c r="AE14" s="33">
        <f>'5_DETALLE_INGRESOS'!AE29</f>
        <v>9225</v>
      </c>
      <c r="AF14" s="33">
        <f>'5_DETALLE_INGRESOS'!AF29</f>
        <v>9975</v>
      </c>
      <c r="AG14" s="33">
        <f>'5_DETALLE_INGRESOS'!AG29</f>
        <v>10800</v>
      </c>
      <c r="AH14" s="33">
        <f>'5_DETALLE_INGRESOS'!AH29</f>
        <v>11700</v>
      </c>
      <c r="AI14" s="33">
        <f>'5_DETALLE_INGRESOS'!AI29</f>
        <v>12600</v>
      </c>
      <c r="AJ14" s="33">
        <f>'5_DETALLE_INGRESOS'!AJ29</f>
        <v>13650</v>
      </c>
      <c r="AK14" s="33">
        <f>'5_DETALLE_INGRESOS'!AK29</f>
        <v>14700</v>
      </c>
      <c r="AL14" s="33">
        <f>'5_DETALLE_INGRESOS'!AL29</f>
        <v>15900</v>
      </c>
      <c r="AM14" s="33">
        <f>'5_DETALLE_INGRESOS'!AM29</f>
        <v>17175</v>
      </c>
      <c r="AN14" s="33">
        <f>'5_DETALLE_INGRESOS'!AN29</f>
        <v>18600</v>
      </c>
      <c r="AO14" s="33">
        <f>'5_DETALLE_INGRESOS'!AO29</f>
        <v>20025</v>
      </c>
      <c r="AP14" s="33">
        <f>'5_DETALLE_INGRESOS'!AP29</f>
        <v>21675</v>
      </c>
      <c r="AQ14" s="33">
        <f>'5_DETALLE_INGRESOS'!AQ29</f>
        <v>23400</v>
      </c>
      <c r="AR14" s="33">
        <f>'5_DETALLE_INGRESOS'!AR29</f>
        <v>25275</v>
      </c>
      <c r="AS14" s="33">
        <f>'5_DETALLE_INGRESOS'!AS29</f>
        <v>27300</v>
      </c>
      <c r="AT14" s="33">
        <f>'5_DETALLE_INGRESOS'!AT29</f>
        <v>29400</v>
      </c>
      <c r="AU14" s="33">
        <f>'5_DETALLE_INGRESOS'!AU29</f>
        <v>31800</v>
      </c>
      <c r="AV14" s="33">
        <f>'5_DETALLE_INGRESOS'!AV29</f>
        <v>34350</v>
      </c>
      <c r="AW14" s="33">
        <f>'5_DETALLE_INGRESOS'!AW29</f>
        <v>37050</v>
      </c>
      <c r="AX14" s="33">
        <f>'5_DETALLE_INGRESOS'!AX29</f>
        <v>39975</v>
      </c>
      <c r="AY14" s="33">
        <f>'5_DETALLE_INGRESOS'!AY29</f>
        <v>43200</v>
      </c>
      <c r="AZ14" s="33">
        <f>'5_DETALLE_INGRESOS'!AZ29</f>
        <v>46650</v>
      </c>
      <c r="BA14" s="33">
        <f>'5_DETALLE_INGRESOS'!BA29</f>
        <v>50400</v>
      </c>
      <c r="BB14" s="33">
        <f>'5_DETALLE_INGRESOS'!BB29</f>
        <v>54375</v>
      </c>
      <c r="BC14" s="33">
        <f>'5_DETALLE_INGRESOS'!BC29</f>
        <v>58725</v>
      </c>
      <c r="BD14" s="33">
        <f>'5_DETALLE_INGRESOS'!BD29</f>
        <v>63375</v>
      </c>
      <c r="BE14" s="33">
        <f>'5_DETALLE_INGRESOS'!BE29</f>
        <v>68475</v>
      </c>
      <c r="BF14" s="33">
        <f>'5_DETALLE_INGRESOS'!BF29</f>
        <v>73950</v>
      </c>
      <c r="BG14" s="33">
        <f>'5_DETALLE_INGRESOS'!BG29</f>
        <v>79800</v>
      </c>
      <c r="BH14" s="33">
        <f>'5_DETALLE_INGRESOS'!BH29</f>
        <v>86175</v>
      </c>
      <c r="BI14" s="33">
        <f>'5_DETALLE_INGRESOS'!BI29</f>
        <v>93075</v>
      </c>
      <c r="BJ14" s="33">
        <f>'5_DETALLE_INGRESOS'!BJ29</f>
        <v>100500</v>
      </c>
      <c r="BK14" s="33">
        <f>'5_DETALLE_INGRESOS'!BK29</f>
        <v>108525</v>
      </c>
      <c r="BL14" s="33">
        <f>'5_DETALLE_INGRESOS'!BL29</f>
        <v>117150</v>
      </c>
      <c r="BM14" s="33">
        <f>'5_DETALLE_INGRESOS'!BM29</f>
        <v>126525</v>
      </c>
      <c r="BN14" s="33">
        <f>'5_DETALLE_INGRESOS'!BN29</f>
        <v>136650</v>
      </c>
      <c r="BO14" s="33">
        <f>'5_DETALLE_INGRESOS'!BO29</f>
        <v>147525</v>
      </c>
      <c r="BP14" s="33">
        <f>'5_DETALLE_INGRESOS'!BP29</f>
        <v>159300</v>
      </c>
      <c r="BQ14" s="33">
        <f>'5_DETALLE_INGRESOS'!BQ29</f>
        <v>172050</v>
      </c>
      <c r="BR14" s="33">
        <f>'5_DETALLE_INGRESOS'!BR29</f>
        <v>185775</v>
      </c>
      <c r="BS14" s="33">
        <f>'5_DETALLE_INGRESOS'!BS29</f>
        <v>200625</v>
      </c>
      <c r="BT14" s="33">
        <f>'5_DETALLE_INGRESOS'!BT29</f>
        <v>216675</v>
      </c>
      <c r="BU14" s="33">
        <f>'5_DETALLE_INGRESOS'!BU29</f>
        <v>234000</v>
      </c>
      <c r="BV14" s="33">
        <f>'5_DETALLE_INGRESOS'!BV29</f>
        <v>252675</v>
      </c>
      <c r="BW14" s="33">
        <f>'5_DETALLE_INGRESOS'!BW29</f>
        <v>272850</v>
      </c>
      <c r="BX14" s="33">
        <f>'5_DETALLE_INGRESOS'!BX29</f>
        <v>294675</v>
      </c>
      <c r="BY14" s="33">
        <f>'5_DETALLE_INGRESOS'!BY29</f>
        <v>318225</v>
      </c>
      <c r="BZ14" s="33">
        <f>'5_DETALLE_INGRESOS'!BZ29</f>
        <v>343650</v>
      </c>
      <c r="CA14" s="33">
        <f>'5_DETALLE_INGRESOS'!CA29</f>
        <v>371100</v>
      </c>
      <c r="CB14" s="33">
        <f>'5_DETALLE_INGRESOS'!CB29</f>
        <v>400800</v>
      </c>
      <c r="CC14" s="33">
        <f>'5_DETALLE_INGRESOS'!CC29</f>
        <v>432825</v>
      </c>
      <c r="CD14" s="33">
        <f>'5_DETALLE_INGRESOS'!CD29</f>
        <v>467400</v>
      </c>
      <c r="CE14" s="33">
        <f>'5_DETALLE_INGRESOS'!CE29</f>
        <v>504825</v>
      </c>
      <c r="CF14" s="33">
        <f>'5_DETALLE_INGRESOS'!CF29</f>
        <v>545175</v>
      </c>
      <c r="CG14" s="33">
        <f>'5_DETALLE_INGRESOS'!CG29</f>
        <v>588750</v>
      </c>
      <c r="CH14" s="33">
        <f>'5_DETALLE_INGRESOS'!CH29</f>
        <v>635850</v>
      </c>
      <c r="CI14" s="33">
        <f>'5_DETALLE_INGRESOS'!CI29</f>
        <v>686700</v>
      </c>
    </row>
    <row r="15" spans="1:87" ht="16.5">
      <c r="A15" s="6" t="s">
        <v>541</v>
      </c>
      <c r="B15" s="30" t="s">
        <v>465</v>
      </c>
      <c r="C15" s="17" t="s">
        <v>737</v>
      </c>
      <c r="D15" s="33">
        <f>'5_DETALLE_INGRESOS'!D30</f>
        <v>33.75</v>
      </c>
      <c r="E15" s="33">
        <f>'5_DETALLE_INGRESOS'!E30</f>
        <v>71.25</v>
      </c>
      <c r="F15" s="33">
        <f>'5_DETALLE_INGRESOS'!F30</f>
        <v>105</v>
      </c>
      <c r="G15" s="33">
        <f>'5_DETALLE_INGRESOS'!G30</f>
        <v>142.5</v>
      </c>
      <c r="H15" s="33">
        <f>'5_DETALLE_INGRESOS'!H30</f>
        <v>180</v>
      </c>
      <c r="I15" s="33">
        <f>'5_DETALLE_INGRESOS'!I30</f>
        <v>221.25</v>
      </c>
      <c r="J15" s="33">
        <f>'5_DETALLE_INGRESOS'!J30</f>
        <v>262.5</v>
      </c>
      <c r="K15" s="33">
        <f>'5_DETALLE_INGRESOS'!K30</f>
        <v>303.75</v>
      </c>
      <c r="L15" s="33">
        <f>'5_DETALLE_INGRESOS'!L30</f>
        <v>348.75</v>
      </c>
      <c r="M15" s="33">
        <f>'5_DETALLE_INGRESOS'!M30</f>
        <v>397.5</v>
      </c>
      <c r="N15" s="33">
        <f>'5_DETALLE_INGRESOS'!N30</f>
        <v>450</v>
      </c>
      <c r="O15" s="33">
        <f>'5_DETALLE_INGRESOS'!O30</f>
        <v>502.5</v>
      </c>
      <c r="P15" s="33">
        <f>'5_DETALLE_INGRESOS'!P30</f>
        <v>558.75</v>
      </c>
      <c r="Q15" s="33">
        <f>'5_DETALLE_INGRESOS'!Q30</f>
        <v>618.75</v>
      </c>
      <c r="R15" s="33">
        <f>'5_DETALLE_INGRESOS'!R30</f>
        <v>682.5</v>
      </c>
      <c r="S15" s="33">
        <f>'5_DETALLE_INGRESOS'!S30</f>
        <v>750</v>
      </c>
      <c r="T15" s="33">
        <f>'5_DETALLE_INGRESOS'!T30</f>
        <v>821.25</v>
      </c>
      <c r="U15" s="33">
        <f>'5_DETALLE_INGRESOS'!U30</f>
        <v>896.25</v>
      </c>
      <c r="V15" s="33">
        <f>'5_DETALLE_INGRESOS'!V30</f>
        <v>978.75</v>
      </c>
      <c r="W15" s="33">
        <f>'5_DETALLE_INGRESOS'!W30</f>
        <v>1068.75</v>
      </c>
      <c r="X15" s="33">
        <f>'5_DETALLE_INGRESOS'!X30</f>
        <v>1162.5</v>
      </c>
      <c r="Y15" s="33">
        <f>'5_DETALLE_INGRESOS'!Y30</f>
        <v>1263.75</v>
      </c>
      <c r="Z15" s="33">
        <f>'5_DETALLE_INGRESOS'!Z30</f>
        <v>1372.5</v>
      </c>
      <c r="AA15" s="33">
        <f>'5_DETALLE_INGRESOS'!AA30</f>
        <v>1488.75</v>
      </c>
      <c r="AB15" s="33">
        <f>'5_DETALLE_INGRESOS'!AB30</f>
        <v>1612.5</v>
      </c>
      <c r="AC15" s="33">
        <f>'5_DETALLE_INGRESOS'!AC30</f>
        <v>1747.5</v>
      </c>
      <c r="AD15" s="33">
        <f>'5_DETALLE_INGRESOS'!AD30</f>
        <v>1893.75</v>
      </c>
      <c r="AE15" s="33">
        <f>'5_DETALLE_INGRESOS'!AE30</f>
        <v>2047.5</v>
      </c>
      <c r="AF15" s="33">
        <f>'5_DETALLE_INGRESOS'!AF30</f>
        <v>2216.25</v>
      </c>
      <c r="AG15" s="33">
        <f>'5_DETALLE_INGRESOS'!AG30</f>
        <v>2396.25</v>
      </c>
      <c r="AH15" s="33">
        <f>'5_DETALLE_INGRESOS'!AH30</f>
        <v>2591.25</v>
      </c>
      <c r="AI15" s="33">
        <f>'5_DETALLE_INGRESOS'!AI30</f>
        <v>2801.25</v>
      </c>
      <c r="AJ15" s="33">
        <f>'5_DETALLE_INGRESOS'!AJ30</f>
        <v>3030</v>
      </c>
      <c r="AK15" s="33">
        <f>'5_DETALLE_INGRESOS'!AK30</f>
        <v>3273.75</v>
      </c>
      <c r="AL15" s="33">
        <f>'5_DETALLE_INGRESOS'!AL30</f>
        <v>3536.25</v>
      </c>
      <c r="AM15" s="33">
        <f>'5_DETALLE_INGRESOS'!AM30</f>
        <v>3817.5</v>
      </c>
      <c r="AN15" s="33">
        <f>'5_DETALLE_INGRESOS'!AN30</f>
        <v>4125</v>
      </c>
      <c r="AO15" s="33">
        <f>'5_DETALLE_INGRESOS'!AO30</f>
        <v>4455</v>
      </c>
      <c r="AP15" s="33">
        <f>'5_DETALLE_INGRESOS'!AP30</f>
        <v>4811.25</v>
      </c>
      <c r="AQ15" s="33">
        <f>'5_DETALLE_INGRESOS'!AQ30</f>
        <v>5193.75</v>
      </c>
      <c r="AR15" s="33">
        <f>'5_DETALLE_INGRESOS'!AR30</f>
        <v>5610</v>
      </c>
      <c r="AS15" s="33">
        <f>'5_DETALLE_INGRESOS'!AS30</f>
        <v>6060</v>
      </c>
      <c r="AT15" s="33">
        <f>'5_DETALLE_INGRESOS'!AT30</f>
        <v>6540</v>
      </c>
      <c r="AU15" s="33">
        <f>'5_DETALLE_INGRESOS'!AU30</f>
        <v>7061.25</v>
      </c>
      <c r="AV15" s="33">
        <f>'5_DETALLE_INGRESOS'!AV30</f>
        <v>7627.5</v>
      </c>
      <c r="AW15" s="33">
        <f>'5_DETALLE_INGRESOS'!AW30</f>
        <v>8235</v>
      </c>
      <c r="AX15" s="33">
        <f>'5_DETALLE_INGRESOS'!AX30</f>
        <v>8891.25</v>
      </c>
      <c r="AY15" s="33">
        <f>'5_DETALLE_INGRESOS'!AY30</f>
        <v>9600</v>
      </c>
      <c r="AZ15" s="33">
        <f>'5_DETALLE_INGRESOS'!AZ30</f>
        <v>10365</v>
      </c>
      <c r="BA15" s="33">
        <f>'5_DETALLE_INGRESOS'!BA30</f>
        <v>11193.75</v>
      </c>
      <c r="BB15" s="33">
        <f>'5_DETALLE_INGRESOS'!BB30</f>
        <v>12086.25</v>
      </c>
      <c r="BC15" s="33">
        <f>'5_DETALLE_INGRESOS'!BC30</f>
        <v>13050</v>
      </c>
      <c r="BD15" s="33">
        <f>'5_DETALLE_INGRESOS'!BD30</f>
        <v>14092.5</v>
      </c>
      <c r="BE15" s="33">
        <f>'5_DETALLE_INGRESOS'!BE30</f>
        <v>15213.75</v>
      </c>
      <c r="BF15" s="33">
        <f>'5_DETALLE_INGRESOS'!BF30</f>
        <v>16428.75</v>
      </c>
      <c r="BG15" s="33">
        <f>'5_DETALLE_INGRESOS'!BG30</f>
        <v>17737.5</v>
      </c>
      <c r="BH15" s="33">
        <f>'5_DETALLE_INGRESOS'!BH30</f>
        <v>19155</v>
      </c>
      <c r="BI15" s="33">
        <f>'5_DETALLE_INGRESOS'!BI30</f>
        <v>20681.25</v>
      </c>
      <c r="BJ15" s="33">
        <f>'5_DETALLE_INGRESOS'!BJ30</f>
        <v>22331.25</v>
      </c>
      <c r="BK15" s="33">
        <f>'5_DETALLE_INGRESOS'!BK30</f>
        <v>24116.25</v>
      </c>
      <c r="BL15" s="33">
        <f>'5_DETALLE_INGRESOS'!BL30</f>
        <v>26040</v>
      </c>
      <c r="BM15" s="33">
        <f>'5_DETALLE_INGRESOS'!BM30</f>
        <v>28117.5</v>
      </c>
      <c r="BN15" s="33">
        <f>'5_DETALLE_INGRESOS'!BN30</f>
        <v>30363.75</v>
      </c>
      <c r="BO15" s="33">
        <f>'5_DETALLE_INGRESOS'!BO30</f>
        <v>32790</v>
      </c>
      <c r="BP15" s="33">
        <f>'5_DETALLE_INGRESOS'!BP30</f>
        <v>35407.5</v>
      </c>
      <c r="BQ15" s="33">
        <f>'5_DETALLE_INGRESOS'!BQ30</f>
        <v>38235</v>
      </c>
      <c r="BR15" s="33">
        <f>'5_DETALLE_INGRESOS'!BR30</f>
        <v>41291.25</v>
      </c>
      <c r="BS15" s="33">
        <f>'5_DETALLE_INGRESOS'!BS30</f>
        <v>44587.5</v>
      </c>
      <c r="BT15" s="33">
        <f>'5_DETALLE_INGRESOS'!BT30</f>
        <v>48150</v>
      </c>
      <c r="BU15" s="33">
        <f>'5_DETALLE_INGRESOS'!BU30</f>
        <v>51997.5</v>
      </c>
      <c r="BV15" s="33">
        <f>'5_DETALLE_INGRESOS'!BV30</f>
        <v>56148.75</v>
      </c>
      <c r="BW15" s="33">
        <f>'5_DETALLE_INGRESOS'!BW30</f>
        <v>60637.5</v>
      </c>
      <c r="BX15" s="33">
        <f>'5_DETALLE_INGRESOS'!BX30</f>
        <v>65482.5</v>
      </c>
      <c r="BY15" s="33">
        <f>'5_DETALLE_INGRESOS'!BY30</f>
        <v>70717.5</v>
      </c>
      <c r="BZ15" s="33">
        <f>'5_DETALLE_INGRESOS'!BZ30</f>
        <v>76368.75</v>
      </c>
      <c r="CA15" s="33">
        <f>'5_DETALLE_INGRESOS'!CA30</f>
        <v>82473.75</v>
      </c>
      <c r="CB15" s="33">
        <f>'5_DETALLE_INGRESOS'!CB30</f>
        <v>89066.25</v>
      </c>
      <c r="CC15" s="33">
        <f>'5_DETALLE_INGRESOS'!CC30</f>
        <v>96183.75</v>
      </c>
      <c r="CD15" s="33">
        <f>'5_DETALLE_INGRESOS'!CD30</f>
        <v>103875</v>
      </c>
      <c r="CE15" s="33">
        <f>'5_DETALLE_INGRESOS'!CE30</f>
        <v>112177.5</v>
      </c>
      <c r="CF15" s="33">
        <f>'5_DETALLE_INGRESOS'!CF30</f>
        <v>121147.5</v>
      </c>
      <c r="CG15" s="33">
        <f>'5_DETALLE_INGRESOS'!CG30</f>
        <v>130833.75</v>
      </c>
      <c r="CH15" s="33">
        <f>'5_DETALLE_INGRESOS'!CH30</f>
        <v>141296.25</v>
      </c>
      <c r="CI15" s="33">
        <f>'5_DETALLE_INGRESOS'!CI30</f>
        <v>152595</v>
      </c>
    </row>
    <row r="16" spans="1:87" ht="16.5">
      <c r="A16" s="6" t="s">
        <v>738</v>
      </c>
      <c r="B16" s="30" t="s">
        <v>465</v>
      </c>
      <c r="C16" s="17" t="s">
        <v>739</v>
      </c>
      <c r="D16" s="33">
        <f>'5_DETALLE_INGRESOS'!D36</f>
        <v>6031.3173000000006</v>
      </c>
      <c r="E16" s="33">
        <f>'5_DETALLE_INGRESOS'!E36</f>
        <v>6184.4441000000006</v>
      </c>
      <c r="F16" s="33">
        <f>'5_DETALLE_INGRESOS'!F36</f>
        <v>6339.9900040000002</v>
      </c>
      <c r="G16" s="33">
        <f>'5_DETALLE_INGRESOS'!G36</f>
        <v>6498.141820320001</v>
      </c>
      <c r="H16" s="33">
        <f>'5_DETALLE_INGRESOS'!H36</f>
        <v>6699.1753019456009</v>
      </c>
      <c r="I16" s="33">
        <f>'5_DETALLE_INGRESOS'!I36</f>
        <v>6863.3283421012484</v>
      </c>
      <c r="J16" s="33">
        <f>'5_DETALLE_INGRESOS'!J36</f>
        <v>7030.8262654693481</v>
      </c>
      <c r="K16" s="33">
        <f>'5_DETALLE_INGRESOS'!K36</f>
        <v>7321.9132227068967</v>
      </c>
      <c r="L16" s="33">
        <f>'5_DETALLE_INGRESOS'!L36</f>
        <v>7497.0516965234474</v>
      </c>
      <c r="M16" s="33">
        <f>'5_DETALLE_INGRESOS'!M36</f>
        <v>7716.4341282453242</v>
      </c>
      <c r="N16" s="33">
        <f>'5_DETALLE_INGRESOS'!N36</f>
        <v>7900.4846745049499</v>
      </c>
      <c r="O16" s="33">
        <f>'5_DETALLE_INGRESOS'!O36</f>
        <v>8209.445104465347</v>
      </c>
      <c r="P16" s="33">
        <f>'5_DETALLE_INGRESOS'!P36</f>
        <v>8443.7828488225732</v>
      </c>
      <c r="Q16" s="33">
        <f>'5_DETALLE_INGRESOS'!Q36</f>
        <v>8683.921212728379</v>
      </c>
      <c r="R16" s="33">
        <f>'5_DETALLE_INGRESOS'!R36</f>
        <v>8930.3597657466489</v>
      </c>
      <c r="S16" s="33">
        <f>'5_DETALLE_INGRESOS'!S36</f>
        <v>9103.6529230063825</v>
      </c>
      <c r="T16" s="33">
        <f>'5_DETALLE_INGRESOS'!T36</f>
        <v>9284.3087328468937</v>
      </c>
      <c r="U16" s="33">
        <f>'5_DETALLE_INGRESOS'!U36</f>
        <v>9392.8758874746454</v>
      </c>
      <c r="V16" s="33">
        <f>'5_DETALLE_INGRESOS'!V36</f>
        <v>9510.1149744726154</v>
      </c>
      <c r="W16" s="33">
        <f>'5_DETALLE_INGRESOS'!W36</f>
        <v>9636.5819884304256</v>
      </c>
      <c r="X16" s="33">
        <f>'5_DETALLE_INGRESOS'!X36</f>
        <v>9773.1361235048589</v>
      </c>
      <c r="Y16" s="33">
        <f>'5_DETALLE_INGRESOS'!Y36</f>
        <v>9920.523869385248</v>
      </c>
      <c r="Z16" s="33">
        <f>'5_DETALLE_INGRESOS'!Z36</f>
        <v>10079.551434936067</v>
      </c>
      <c r="AA16" s="33">
        <f>'5_DETALLE_INGRESOS'!AA36</f>
        <v>10251.257525730955</v>
      </c>
      <c r="AB16" s="33">
        <f>'5_DETALLE_INGRESOS'!AB36</f>
        <v>10436.666503789431</v>
      </c>
      <c r="AC16" s="33">
        <f>'5_DETALLE_INGRESOS'!AC36</f>
        <v>10636.877960092585</v>
      </c>
      <c r="AD16" s="33">
        <f>'5_DETALLE_INGRESOS'!AD36</f>
        <v>10852.98873289999</v>
      </c>
      <c r="AE16" s="33">
        <f>'5_DETALLE_INGRESOS'!AE36</f>
        <v>11086.351407531991</v>
      </c>
      <c r="AF16" s="33">
        <f>'5_DETALLE_INGRESOS'!AF36</f>
        <v>11338.32933613455</v>
      </c>
      <c r="AG16" s="33">
        <f>'5_DETALLE_INGRESOS'!AG36</f>
        <v>11610.388219025313</v>
      </c>
      <c r="AH16" s="33">
        <f>'5_DETALLE_INGRESOS'!AH36</f>
        <v>11904.188292547338</v>
      </c>
      <c r="AI16" s="33">
        <f>'5_DETALLE_INGRESOS'!AI36</f>
        <v>12221.425171951127</v>
      </c>
      <c r="AJ16" s="33">
        <f>'5_DETALLE_INGRESOS'!AJ36</f>
        <v>12564.007401707215</v>
      </c>
      <c r="AK16" s="33">
        <f>'5_DETALLE_INGRESOS'!AK36</f>
        <v>12933.898769843792</v>
      </c>
      <c r="AL16" s="33">
        <f>'5_DETALLE_INGRESOS'!AL36</f>
        <v>13333.381447431297</v>
      </c>
      <c r="AM16" s="33">
        <f>'5_DETALLE_INGRESOS'!AM36</f>
        <v>13764.732019225801</v>
      </c>
      <c r="AN16" s="33">
        <f>'5_DETALLE_INGRESOS'!AN36</f>
        <v>14230.570476763867</v>
      </c>
      <c r="AO16" s="33">
        <f>'5_DETALLE_INGRESOS'!AO36</f>
        <v>14733.622250904977</v>
      </c>
      <c r="AP16" s="33">
        <f>'5_DETALLE_INGRESOS'!AP36</f>
        <v>15276.901366977374</v>
      </c>
      <c r="AQ16" s="33">
        <f>'5_DETALLE_INGRESOS'!AQ36</f>
        <v>15863.558812335563</v>
      </c>
      <c r="AR16" s="33">
        <f>'5_DETALLE_INGRESOS'!AR36</f>
        <v>16497.236213322409</v>
      </c>
      <c r="AS16" s="33">
        <f>'5_DETALLE_INGRESOS'!AS36</f>
        <v>17181.496926388201</v>
      </c>
      <c r="AT16" s="33">
        <f>'5_DETALLE_INGRESOS'!AT36</f>
        <v>17920.434656499259</v>
      </c>
      <c r="AU16" s="33">
        <f>'5_DETALLE_INGRESOS'!AU36</f>
        <v>18718.443725019202</v>
      </c>
      <c r="AV16" s="33">
        <f>'5_DETALLE_INGRESOS'!AV36</f>
        <v>19580.327119020738</v>
      </c>
      <c r="AW16" s="33">
        <f>'5_DETALLE_INGRESOS'!AW36</f>
        <v>20511.154464542396</v>
      </c>
      <c r="AX16" s="33">
        <f>'5_DETALLE_INGRESOS'!AX36</f>
        <v>21516.458077705789</v>
      </c>
      <c r="AY16" s="33">
        <f>'5_DETALLE_INGRESOS'!AY36</f>
        <v>22602.095259922251</v>
      </c>
      <c r="AZ16" s="33">
        <f>'5_DETALLE_INGRESOS'!AZ36</f>
        <v>23774.617016716031</v>
      </c>
      <c r="BA16" s="33">
        <f>'5_DETALLE_INGRESOS'!BA36</f>
        <v>25040.967394053318</v>
      </c>
      <c r="BB16" s="33">
        <f>'5_DETALLE_INGRESOS'!BB36</f>
        <v>26408.521641577587</v>
      </c>
      <c r="BC16" s="33">
        <f>'5_DETALLE_INGRESOS'!BC36</f>
        <v>27885.547428903796</v>
      </c>
      <c r="BD16" s="33">
        <f>'5_DETALLE_INGRESOS'!BD36</f>
        <v>29480.661359216101</v>
      </c>
      <c r="BE16" s="33">
        <f>'5_DETALLE_INGRESOS'!BE36</f>
        <v>31203.297043953389</v>
      </c>
      <c r="BF16" s="33">
        <f>'5_DETALLE_INGRESOS'!BF36</f>
        <v>33063.757023469661</v>
      </c>
      <c r="BG16" s="33">
        <f>'5_DETALLE_INGRESOS'!BG36</f>
        <v>35073.100841347237</v>
      </c>
      <c r="BH16" s="33">
        <f>'5_DETALLE_INGRESOS'!BH36</f>
        <v>37243.121604655018</v>
      </c>
      <c r="BI16" s="33">
        <f>'5_DETALLE_INGRESOS'!BI36</f>
        <v>39586.74738902742</v>
      </c>
      <c r="BJ16" s="33">
        <f>'5_DETALLE_INGRESOS'!BJ36</f>
        <v>42117.775876149615</v>
      </c>
      <c r="BK16" s="33">
        <f>'5_DETALLE_INGRESOS'!BK36</f>
        <v>44851.370642241578</v>
      </c>
      <c r="BL16" s="33">
        <f>'5_DETALLE_INGRESOS'!BL36</f>
        <v>47803.639549620915</v>
      </c>
      <c r="BM16" s="33">
        <f>'5_DETALLE_INGRESOS'!BM36</f>
        <v>50991.975729590587</v>
      </c>
      <c r="BN16" s="33">
        <f>'5_DETALLE_INGRESOS'!BN36</f>
        <v>54435.405683957833</v>
      </c>
      <c r="BO16" s="33">
        <f>'5_DETALLE_INGRESOS'!BO36</f>
        <v>58154.357074674466</v>
      </c>
      <c r="BP16" s="33">
        <f>'5_DETALLE_INGRESOS'!BP36</f>
        <v>62170.854816648432</v>
      </c>
      <c r="BQ16" s="33">
        <f>'5_DETALLE_INGRESOS'!BQ36</f>
        <v>66508.642137980321</v>
      </c>
      <c r="BR16" s="33">
        <f>'5_DETALLE_INGRESOS'!BR36</f>
        <v>71193.395325018748</v>
      </c>
      <c r="BS16" s="33">
        <f>'5_DETALLE_INGRESOS'!BS36</f>
        <v>76252.864927020259</v>
      </c>
      <c r="BT16" s="33">
        <f>'5_DETALLE_INGRESOS'!BT36</f>
        <v>81717.112257181871</v>
      </c>
      <c r="BU16" s="33">
        <f>'5_DETALLE_INGRESOS'!BU36</f>
        <v>87618.506093756441</v>
      </c>
      <c r="BV16" s="33">
        <f>'5_DETALLE_INGRESOS'!BV36</f>
        <v>93991.984557256947</v>
      </c>
      <c r="BW16" s="33">
        <f>'5_DETALLE_INGRESOS'!BW36</f>
        <v>100875.33121783752</v>
      </c>
      <c r="BX16" s="33">
        <f>'5_DETALLE_INGRESOS'!BX36</f>
        <v>108309.38257126452</v>
      </c>
      <c r="BY16" s="33">
        <f>'5_DETALLE_INGRESOS'!BY36</f>
        <v>116338.16811296568</v>
      </c>
      <c r="BZ16" s="33">
        <f>'5_DETALLE_INGRESOS'!BZ36</f>
        <v>125009.23633800294</v>
      </c>
      <c r="CA16" s="33">
        <f>'5_DETALLE_INGRESOS'!CA36</f>
        <v>134374.00010104317</v>
      </c>
      <c r="CB16" s="33">
        <f>'5_DETALLE_INGRESOS'!CB36</f>
        <v>144487.93488512663</v>
      </c>
      <c r="CC16" s="33">
        <f>'5_DETALLE_INGRESOS'!CC36</f>
        <v>155410.96765193678</v>
      </c>
      <c r="CD16" s="33">
        <f>'5_DETALLE_INGRESOS'!CD36</f>
        <v>167207.89008009175</v>
      </c>
      <c r="CE16" s="33">
        <f>'5_DETALLE_INGRESOS'!CE36</f>
        <v>179948.54614249911</v>
      </c>
      <c r="CF16" s="33">
        <f>'5_DETALLE_INGRESOS'!CF36</f>
        <v>193708.46812989903</v>
      </c>
      <c r="CG16" s="33">
        <f>'5_DETALLE_INGRESOS'!CG36</f>
        <v>208569.20739629099</v>
      </c>
      <c r="CH16" s="33">
        <f>'5_DETALLE_INGRESOS'!CH36</f>
        <v>224618.78228399428</v>
      </c>
      <c r="CI16" s="33">
        <f>'5_DETALLE_INGRESOS'!CI36</f>
        <v>241952.24588271379</v>
      </c>
    </row>
    <row r="17" spans="1:87" ht="16.5">
      <c r="A17" s="5" t="s">
        <v>740</v>
      </c>
      <c r="B17" s="30" t="s">
        <v>465</v>
      </c>
      <c r="C17" s="17" t="s">
        <v>712</v>
      </c>
      <c r="D17" s="36">
        <f>'6_COSTES_COGS'!D15</f>
        <v>2356.5379324999999</v>
      </c>
      <c r="E17" s="36">
        <f>'6_COSTES_COGS'!E15</f>
        <v>2577.9167275</v>
      </c>
      <c r="F17" s="36">
        <f>'6_COSTES_COGS'!F15</f>
        <v>2800.9485001000003</v>
      </c>
      <c r="G17" s="36">
        <f>'6_COSTES_COGS'!G15</f>
        <v>3071.7785455080002</v>
      </c>
      <c r="H17" s="36">
        <f>'6_COSTES_COGS'!H15</f>
        <v>3345.17813254864</v>
      </c>
      <c r="I17" s="36">
        <f>'6_COSTES_COGS'!I15</f>
        <v>3665.2000835525314</v>
      </c>
      <c r="J17" s="36">
        <f>'6_COSTES_COGS'!J15</f>
        <v>3946.7250316367335</v>
      </c>
      <c r="K17" s="36">
        <f>'6_COSTES_COGS'!K15</f>
        <v>4276.7903305676728</v>
      </c>
      <c r="L17" s="36">
        <f>'6_COSTES_COGS'!L15</f>
        <v>4656.7487924130864</v>
      </c>
      <c r="M17" s="36">
        <f>'6_COSTES_COGS'!M15</f>
        <v>5043.090853206133</v>
      </c>
      <c r="N17" s="36">
        <f>'6_COSTES_COGS'!N15</f>
        <v>5479.591491862624</v>
      </c>
      <c r="O17" s="36">
        <f>'6_COSTES_COGS'!O15</f>
        <v>5924.2736276116339</v>
      </c>
      <c r="P17" s="36">
        <f>'6_COSTES_COGS'!P15</f>
        <v>6376.0539462205643</v>
      </c>
      <c r="Q17" s="36">
        <f>'6_COSTES_COGS'!Q15</f>
        <v>6876.8961553182089</v>
      </c>
      <c r="R17" s="36">
        <f>'6_COSTES_COGS'!R15</f>
        <v>7432.4989941436661</v>
      </c>
      <c r="S17" s="36">
        <f>'6_COSTES_COGS'!S15</f>
        <v>8040.6875730751599</v>
      </c>
      <c r="T17" s="36">
        <f>'6_COSTES_COGS'!T15</f>
        <v>8659.5214683211725</v>
      </c>
      <c r="U17" s="36">
        <f>'6_COSTES_COGS'!U15</f>
        <v>9332.8425221868656</v>
      </c>
      <c r="V17" s="36">
        <f>'6_COSTES_COGS'!V15</f>
        <v>10064.260999361815</v>
      </c>
      <c r="W17" s="36">
        <f>'6_COSTES_COGS'!W15</f>
        <v>10852.104549710761</v>
      </c>
      <c r="X17" s="36">
        <f>'6_COSTES_COGS'!X15</f>
        <v>11701.673403087621</v>
      </c>
      <c r="Y17" s="36">
        <f>'6_COSTES_COGS'!Y15</f>
        <v>12611.079971734631</v>
      </c>
      <c r="Z17" s="36">
        <f>'6_COSTES_COGS'!Z15</f>
        <v>13580.4694108734</v>
      </c>
      <c r="AA17" s="36">
        <f>'6_COSTES_COGS'!AA15</f>
        <v>14659.193313143274</v>
      </c>
      <c r="AB17" s="36">
        <f>'6_COSTES_COGS'!AB15</f>
        <v>15804.885412594736</v>
      </c>
      <c r="AC17" s="36">
        <f>'6_COSTES_COGS'!AC15</f>
        <v>17061.556324002315</v>
      </c>
      <c r="AD17" s="36">
        <f>'6_COSTES_COGS'!AD15</f>
        <v>18387.155343322498</v>
      </c>
      <c r="AE17" s="36">
        <f>'6_COSTES_COGS'!AE15</f>
        <v>19827.073160188302</v>
      </c>
      <c r="AF17" s="36">
        <f>'6_COSTES_COGS'!AF15</f>
        <v>21385.342608403364</v>
      </c>
      <c r="AG17" s="36">
        <f>'6_COSTES_COGS'!AG15</f>
        <v>23063.342830475631</v>
      </c>
      <c r="AH17" s="36">
        <f>'6_COSTES_COGS'!AH15</f>
        <v>24864.831582313684</v>
      </c>
      <c r="AI17" s="36">
        <f>'6_COSTES_COGS'!AI15</f>
        <v>26833.61562929878</v>
      </c>
      <c r="AJ17" s="36">
        <f>'6_COSTES_COGS'!AJ15</f>
        <v>28933.00581004268</v>
      </c>
      <c r="AK17" s="36">
        <f>'6_COSTES_COGS'!AK15</f>
        <v>31205.096844246094</v>
      </c>
      <c r="AL17" s="36">
        <f>'6_COSTES_COGS'!AL15</f>
        <v>33658.723286185785</v>
      </c>
      <c r="AM17" s="36">
        <f>'6_COSTES_COGS'!AM15</f>
        <v>36294.003300480646</v>
      </c>
      <c r="AN17" s="36">
        <f>'6_COSTES_COGS'!AN15</f>
        <v>39161.951761919096</v>
      </c>
      <c r="AO17" s="36">
        <f>'6_COSTES_COGS'!AO15</f>
        <v>42262.415556272623</v>
      </c>
      <c r="AP17" s="36">
        <f>'6_COSTES_COGS'!AP15</f>
        <v>45606.372534174436</v>
      </c>
      <c r="AQ17" s="36">
        <f>'6_COSTES_COGS'!AQ15</f>
        <v>49193.398970308386</v>
      </c>
      <c r="AR17" s="36">
        <f>'6_COSTES_COGS'!AR15</f>
        <v>53122.360905333058</v>
      </c>
      <c r="AS17" s="36">
        <f>'6_COSTES_COGS'!AS15</f>
        <v>57307.127423159705</v>
      </c>
      <c r="AT17" s="36">
        <f>'6_COSTES_COGS'!AT15</f>
        <v>61840.733366412482</v>
      </c>
      <c r="AU17" s="36">
        <f>'6_COSTES_COGS'!AU15</f>
        <v>66735.814843125481</v>
      </c>
      <c r="AV17" s="36">
        <f>'6_COSTES_COGS'!AV15</f>
        <v>72041.595052975521</v>
      </c>
      <c r="AW17" s="36">
        <f>'6_COSTES_COGS'!AW15</f>
        <v>77765.101986613561</v>
      </c>
      <c r="AX17" s="36">
        <f>'6_COSTES_COGS'!AX15</f>
        <v>83960.920826942645</v>
      </c>
      <c r="AY17" s="36">
        <f>'6_COSTES_COGS'!AY15</f>
        <v>90594.083631498055</v>
      </c>
      <c r="AZ17" s="36">
        <f>'6_COSTES_COGS'!AZ15</f>
        <v>97807.011050417903</v>
      </c>
      <c r="BA17" s="36">
        <f>'6_COSTES_COGS'!BA15</f>
        <v>105612.30668485134</v>
      </c>
      <c r="BB17" s="36">
        <f>'6_COSTES_COGS'!BB15</f>
        <v>113972.88304103943</v>
      </c>
      <c r="BC17" s="36">
        <f>'6_COSTES_COGS'!BC15</f>
        <v>123084.2480607226</v>
      </c>
      <c r="BD17" s="36">
        <f>'6_COSTES_COGS'!BD15</f>
        <v>132867.26590898039</v>
      </c>
      <c r="BE17" s="36">
        <f>'6_COSTES_COGS'!BE15</f>
        <v>143427.81867609883</v>
      </c>
      <c r="BF17" s="36">
        <f>'6_COSTES_COGS'!BF15</f>
        <v>154869.55767558672</v>
      </c>
      <c r="BG17" s="36">
        <f>'6_COSTES_COGS'!BG15</f>
        <v>167210.24689603367</v>
      </c>
      <c r="BH17" s="36">
        <f>'6_COSTES_COGS'!BH15</f>
        <v>180513.56054011639</v>
      </c>
      <c r="BI17" s="36">
        <f>'6_COSTES_COGS'!BI15</f>
        <v>194932.41618472568</v>
      </c>
      <c r="BJ17" s="36">
        <f>'6_COSTES_COGS'!BJ15</f>
        <v>210442.62939690374</v>
      </c>
      <c r="BK17" s="36">
        <f>'6_COSTES_COGS'!BK15</f>
        <v>227248.34176605602</v>
      </c>
      <c r="BL17" s="36">
        <f>'6_COSTES_COGS'!BL15</f>
        <v>245372.4709887405</v>
      </c>
      <c r="BM17" s="36">
        <f>'6_COSTES_COGS'!BM15</f>
        <v>264931.71564323979</v>
      </c>
      <c r="BN17" s="36">
        <f>'6_COSTES_COGS'!BN15</f>
        <v>286089.63826709893</v>
      </c>
      <c r="BO17" s="36">
        <f>'6_COSTES_COGS'!BO15</f>
        <v>308921.96142686688</v>
      </c>
      <c r="BP17" s="36">
        <f>'6_COSTES_COGS'!BP15</f>
        <v>333598.1651204162</v>
      </c>
      <c r="BQ17" s="36">
        <f>'6_COSTES_COGS'!BQ15</f>
        <v>360243.31792844948</v>
      </c>
      <c r="BR17" s="36">
        <f>'6_COSTES_COGS'!BR15</f>
        <v>388984.53425812547</v>
      </c>
      <c r="BS17" s="36">
        <f>'6_COSTES_COGS'!BS15</f>
        <v>420043.57162317552</v>
      </c>
      <c r="BT17" s="36">
        <f>'6_COSTES_COGS'!BT15</f>
        <v>453602.22593142954</v>
      </c>
      <c r="BU17" s="36">
        <f>'6_COSTES_COGS'!BU15</f>
        <v>489843.59952734387</v>
      </c>
      <c r="BV17" s="36">
        <f>'6_COSTES_COGS'!BV15</f>
        <v>528954.73148893146</v>
      </c>
      <c r="BW17" s="36">
        <f>'6_COSTES_COGS'!BW15</f>
        <v>571217.69703044591</v>
      </c>
      <c r="BX17" s="36">
        <f>'6_COSTES_COGS'!BX15</f>
        <v>616875.50331428158</v>
      </c>
      <c r="BY17" s="36">
        <f>'6_COSTES_COGS'!BY15</f>
        <v>666173.35982782417</v>
      </c>
      <c r="BZ17" s="36">
        <f>'6_COSTES_COGS'!BZ15</f>
        <v>719407.38840845006</v>
      </c>
      <c r="CA17" s="36">
        <f>'6_COSTES_COGS'!CA15</f>
        <v>776924.78687752609</v>
      </c>
      <c r="CB17" s="36">
        <f>'6_COSTES_COGS'!CB15</f>
        <v>838991.91337212815</v>
      </c>
      <c r="CC17" s="36">
        <f>'6_COSTES_COGS'!CC15</f>
        <v>906054.38856629841</v>
      </c>
      <c r="CD17" s="36">
        <f>'6_COSTES_COGS'!CD15</f>
        <v>978526.58912700228</v>
      </c>
      <c r="CE17" s="36">
        <f>'6_COSTES_COGS'!CE15</f>
        <v>1056741.8892785625</v>
      </c>
      <c r="CF17" s="36">
        <f>'6_COSTES_COGS'!CF15</f>
        <v>1141214.7042032476</v>
      </c>
      <c r="CG17" s="36">
        <f>'6_COSTES_COGS'!CG15</f>
        <v>1232473.9683099072</v>
      </c>
      <c r="CH17" s="36">
        <f>'6_COSTES_COGS'!CH15</f>
        <v>1331013.4120570999</v>
      </c>
      <c r="CI17" s="36">
        <f>'6_COSTES_COGS'!CI15</f>
        <v>1437423.3405220679</v>
      </c>
    </row>
    <row r="18" spans="1:87" ht="16.5">
      <c r="A18" s="6" t="s">
        <v>562</v>
      </c>
      <c r="B18" s="30" t="s">
        <v>465</v>
      </c>
      <c r="C18" s="17" t="s">
        <v>741</v>
      </c>
      <c r="D18" s="33">
        <f>'6_COSTES_COGS'!D10</f>
        <v>27.599999999999998</v>
      </c>
      <c r="E18" s="33">
        <f>'6_COSTES_COGS'!E10</f>
        <v>55.8</v>
      </c>
      <c r="F18" s="33">
        <f>'6_COSTES_COGS'!F10</f>
        <v>84.6</v>
      </c>
      <c r="G18" s="33">
        <f>'6_COSTES_COGS'!G10</f>
        <v>114</v>
      </c>
      <c r="H18" s="33">
        <f>'6_COSTES_COGS'!H10</f>
        <v>144.6</v>
      </c>
      <c r="I18" s="33">
        <f>'6_COSTES_COGS'!I10</f>
        <v>176.4</v>
      </c>
      <c r="J18" s="33">
        <f>'6_COSTES_COGS'!J10</f>
        <v>209.4</v>
      </c>
      <c r="K18" s="33">
        <f>'6_COSTES_COGS'!K10</f>
        <v>243.6</v>
      </c>
      <c r="L18" s="33">
        <f>'6_COSTES_COGS'!L10</f>
        <v>280.2</v>
      </c>
      <c r="M18" s="33">
        <f>'6_COSTES_COGS'!M10</f>
        <v>318.59999999999997</v>
      </c>
      <c r="N18" s="33">
        <f>'6_COSTES_COGS'!N10</f>
        <v>359.4</v>
      </c>
      <c r="O18" s="33">
        <f>'6_COSTES_COGS'!O10</f>
        <v>402</v>
      </c>
      <c r="P18" s="33">
        <f>'6_COSTES_COGS'!P10</f>
        <v>447</v>
      </c>
      <c r="Q18" s="33">
        <f>'6_COSTES_COGS'!Q10</f>
        <v>494.4</v>
      </c>
      <c r="R18" s="33">
        <f>'6_COSTES_COGS'!R10</f>
        <v>544.79999999999995</v>
      </c>
      <c r="S18" s="33">
        <f>'6_COSTES_COGS'!S10</f>
        <v>598.79999999999995</v>
      </c>
      <c r="T18" s="33">
        <f>'6_COSTES_COGS'!T10</f>
        <v>656.4</v>
      </c>
      <c r="U18" s="33">
        <f>'6_COSTES_COGS'!U10</f>
        <v>717.6</v>
      </c>
      <c r="V18" s="33">
        <f>'6_COSTES_COGS'!V10</f>
        <v>783.6</v>
      </c>
      <c r="W18" s="33">
        <f>'6_COSTES_COGS'!W10</f>
        <v>853.8</v>
      </c>
      <c r="X18" s="33">
        <f>'6_COSTES_COGS'!X10</f>
        <v>929.4</v>
      </c>
      <c r="Y18" s="33">
        <f>'6_COSTES_COGS'!Y10</f>
        <v>1010.4</v>
      </c>
      <c r="Z18" s="33">
        <f>'6_COSTES_COGS'!Z10</f>
        <v>1096.8</v>
      </c>
      <c r="AA18" s="33">
        <f>'6_COSTES_COGS'!AA10</f>
        <v>1189.8</v>
      </c>
      <c r="AB18" s="33">
        <f>'6_COSTES_COGS'!AB10</f>
        <v>1290</v>
      </c>
      <c r="AC18" s="33">
        <f>'6_COSTES_COGS'!AC10</f>
        <v>1398</v>
      </c>
      <c r="AD18" s="33">
        <f>'6_COSTES_COGS'!AD10</f>
        <v>1513.8</v>
      </c>
      <c r="AE18" s="33">
        <f>'6_COSTES_COGS'!AE10</f>
        <v>1638.6</v>
      </c>
      <c r="AF18" s="33">
        <f>'6_COSTES_COGS'!AF10</f>
        <v>1773</v>
      </c>
      <c r="AG18" s="33">
        <f>'6_COSTES_COGS'!AG10</f>
        <v>1917.6</v>
      </c>
      <c r="AH18" s="33">
        <f>'6_COSTES_COGS'!AH10</f>
        <v>2073.6</v>
      </c>
      <c r="AI18" s="33">
        <f>'6_COSTES_COGS'!AI10</f>
        <v>2241.6</v>
      </c>
      <c r="AJ18" s="33">
        <f>'6_COSTES_COGS'!AJ10</f>
        <v>2422.7999999999997</v>
      </c>
      <c r="AK18" s="33">
        <f>'6_COSTES_COGS'!AK10</f>
        <v>2617.7999999999997</v>
      </c>
      <c r="AL18" s="33">
        <f>'6_COSTES_COGS'!AL10</f>
        <v>2828.4</v>
      </c>
      <c r="AM18" s="33">
        <f>'6_COSTES_COGS'!AM10</f>
        <v>3055.2</v>
      </c>
      <c r="AN18" s="33">
        <f>'6_COSTES_COGS'!AN10</f>
        <v>3300</v>
      </c>
      <c r="AO18" s="33">
        <f>'6_COSTES_COGS'!AO10</f>
        <v>3564</v>
      </c>
      <c r="AP18" s="33">
        <f>'6_COSTES_COGS'!AP10</f>
        <v>3849</v>
      </c>
      <c r="AQ18" s="33">
        <f>'6_COSTES_COGS'!AQ10</f>
        <v>4156.2</v>
      </c>
      <c r="AR18" s="33">
        <f>'6_COSTES_COGS'!AR10</f>
        <v>4488.5999999999995</v>
      </c>
      <c r="AS18" s="33">
        <f>'6_COSTES_COGS'!AS10</f>
        <v>4846.8</v>
      </c>
      <c r="AT18" s="33">
        <f>'6_COSTES_COGS'!AT10</f>
        <v>5233.2</v>
      </c>
      <c r="AU18" s="33">
        <f>'6_COSTES_COGS'!AU10</f>
        <v>5650.2</v>
      </c>
      <c r="AV18" s="33">
        <f>'6_COSTES_COGS'!AV10</f>
        <v>6100.8</v>
      </c>
      <c r="AW18" s="33">
        <f>'6_COSTES_COGS'!AW10</f>
        <v>6587.4</v>
      </c>
      <c r="AX18" s="33">
        <f>'6_COSTES_COGS'!AX10</f>
        <v>7113</v>
      </c>
      <c r="AY18" s="33">
        <f>'6_COSTES_COGS'!AY10</f>
        <v>7680</v>
      </c>
      <c r="AZ18" s="33">
        <f>'6_COSTES_COGS'!AZ10</f>
        <v>8292.6</v>
      </c>
      <c r="BA18" s="33">
        <f>'6_COSTES_COGS'!BA10</f>
        <v>8954.4</v>
      </c>
      <c r="BB18" s="33">
        <f>'6_COSTES_COGS'!BB10</f>
        <v>9668.4</v>
      </c>
      <c r="BC18" s="33">
        <f>'6_COSTES_COGS'!BC10</f>
        <v>10440</v>
      </c>
      <c r="BD18" s="33">
        <f>'6_COSTES_COGS'!BD10</f>
        <v>11272.8</v>
      </c>
      <c r="BE18" s="33">
        <f>'6_COSTES_COGS'!BE10</f>
        <v>12171.6</v>
      </c>
      <c r="BF18" s="33">
        <f>'6_COSTES_COGS'!BF10</f>
        <v>13142.4</v>
      </c>
      <c r="BG18" s="33">
        <f>'6_COSTES_COGS'!BG10</f>
        <v>14191.199999999999</v>
      </c>
      <c r="BH18" s="33">
        <f>'6_COSTES_COGS'!BH10</f>
        <v>15323.4</v>
      </c>
      <c r="BI18" s="33">
        <f>'6_COSTES_COGS'!BI10</f>
        <v>16546.2</v>
      </c>
      <c r="BJ18" s="33">
        <f>'6_COSTES_COGS'!BJ10</f>
        <v>17866.2</v>
      </c>
      <c r="BK18" s="33">
        <f>'6_COSTES_COGS'!BK10</f>
        <v>19292.399999999998</v>
      </c>
      <c r="BL18" s="33">
        <f>'6_COSTES_COGS'!BL10</f>
        <v>20832.599999999999</v>
      </c>
      <c r="BM18" s="33">
        <f>'6_COSTES_COGS'!BM10</f>
        <v>22495.200000000001</v>
      </c>
      <c r="BN18" s="33">
        <f>'6_COSTES_COGS'!BN10</f>
        <v>24291</v>
      </c>
      <c r="BO18" s="33">
        <f>'6_COSTES_COGS'!BO10</f>
        <v>26230.799999999999</v>
      </c>
      <c r="BP18" s="33">
        <f>'6_COSTES_COGS'!BP10</f>
        <v>28326</v>
      </c>
      <c r="BQ18" s="33">
        <f>'6_COSTES_COGS'!BQ10</f>
        <v>30588.6</v>
      </c>
      <c r="BR18" s="33">
        <f>'6_COSTES_COGS'!BR10</f>
        <v>33031.799999999996</v>
      </c>
      <c r="BS18" s="33">
        <f>'6_COSTES_COGS'!BS10</f>
        <v>35670</v>
      </c>
      <c r="BT18" s="33">
        <f>'6_COSTES_COGS'!BT10</f>
        <v>38519.4</v>
      </c>
      <c r="BU18" s="33">
        <f>'6_COSTES_COGS'!BU10</f>
        <v>41596.799999999996</v>
      </c>
      <c r="BV18" s="33">
        <f>'6_COSTES_COGS'!BV10</f>
        <v>44920.2</v>
      </c>
      <c r="BW18" s="33">
        <f>'6_COSTES_COGS'!BW10</f>
        <v>48509.4</v>
      </c>
      <c r="BX18" s="33">
        <f>'6_COSTES_COGS'!BX10</f>
        <v>52386</v>
      </c>
      <c r="BY18" s="33">
        <f>'6_COSTES_COGS'!BY10</f>
        <v>56572.799999999996</v>
      </c>
      <c r="BZ18" s="33">
        <f>'6_COSTES_COGS'!BZ10</f>
        <v>61094.399999999994</v>
      </c>
      <c r="CA18" s="33">
        <f>'6_COSTES_COGS'!CA10</f>
        <v>65977.8</v>
      </c>
      <c r="CB18" s="33">
        <f>'6_COSTES_COGS'!CB10</f>
        <v>71251.8</v>
      </c>
      <c r="CC18" s="33">
        <f>'6_COSTES_COGS'!CC10</f>
        <v>76947.599999999991</v>
      </c>
      <c r="CD18" s="33">
        <f>'6_COSTES_COGS'!CD10</f>
        <v>83099.399999999994</v>
      </c>
      <c r="CE18" s="33">
        <f>'6_COSTES_COGS'!CE10</f>
        <v>89743.2</v>
      </c>
      <c r="CF18" s="33">
        <f>'6_COSTES_COGS'!CF10</f>
        <v>96918.599999999991</v>
      </c>
      <c r="CG18" s="33">
        <f>'6_COSTES_COGS'!CG10</f>
        <v>104668.2</v>
      </c>
      <c r="CH18" s="33">
        <f>'6_COSTES_COGS'!CH10</f>
        <v>113037.59999999999</v>
      </c>
      <c r="CI18" s="33">
        <f>'6_COSTES_COGS'!CI10</f>
        <v>122076</v>
      </c>
    </row>
    <row r="19" spans="1:87" ht="16.5">
      <c r="A19" s="6" t="s">
        <v>564</v>
      </c>
      <c r="B19" s="30" t="s">
        <v>465</v>
      </c>
      <c r="C19" s="17" t="s">
        <v>742</v>
      </c>
      <c r="D19" s="33">
        <f>'6_COSTES_COGS'!D11</f>
        <v>302.91793250000001</v>
      </c>
      <c r="E19" s="33">
        <f>'6_COSTES_COGS'!E11</f>
        <v>354.20672750000006</v>
      </c>
      <c r="F19" s="33">
        <f>'6_COSTES_COGS'!F11</f>
        <v>406.17850010000006</v>
      </c>
      <c r="G19" s="33">
        <f>'6_COSTES_COGS'!G11</f>
        <v>463.47854550800002</v>
      </c>
      <c r="H19" s="33">
        <f>'6_COSTES_COGS'!H11</f>
        <v>521.40813254864008</v>
      </c>
      <c r="I19" s="33">
        <f>'6_COSTES_COGS'!I11</f>
        <v>582.52008355253122</v>
      </c>
      <c r="J19" s="33">
        <f>'6_COSTES_COGS'!J11</f>
        <v>644.69503163673369</v>
      </c>
      <c r="K19" s="33">
        <f>'6_COSTES_COGS'!K11</f>
        <v>711.97033056767259</v>
      </c>
      <c r="L19" s="33">
        <f>'6_COSTES_COGS'!L11</f>
        <v>783.75879241308621</v>
      </c>
      <c r="M19" s="33">
        <f>'6_COSTES_COGS'!M11</f>
        <v>859.02085320613321</v>
      </c>
      <c r="N19" s="33">
        <f>'6_COSTES_COGS'!N11</f>
        <v>939.06149186262382</v>
      </c>
      <c r="O19" s="33">
        <f>'6_COSTES_COGS'!O11</f>
        <v>1024.3736276116338</v>
      </c>
      <c r="P19" s="33">
        <f>'6_COSTES_COGS'!P11</f>
        <v>1112.9039462205644</v>
      </c>
      <c r="Q19" s="33">
        <f>'6_COSTES_COGS'!Q11</f>
        <v>1205.1161553182094</v>
      </c>
      <c r="R19" s="33">
        <f>'6_COSTES_COGS'!R11</f>
        <v>1305.7389941436661</v>
      </c>
      <c r="S19" s="33">
        <f>'6_COSTES_COGS'!S11</f>
        <v>1411.6275730751595</v>
      </c>
      <c r="T19" s="33">
        <f>'6_COSTES_COGS'!T11</f>
        <v>1522.3414683211722</v>
      </c>
      <c r="U19" s="33">
        <f>'6_COSTES_COGS'!U11</f>
        <v>1640.2225221868659</v>
      </c>
      <c r="V19" s="33">
        <f>'6_COSTES_COGS'!V11</f>
        <v>1766.9409993618153</v>
      </c>
      <c r="W19" s="33">
        <f>'6_COSTES_COGS'!W11</f>
        <v>1901.7945497107605</v>
      </c>
      <c r="X19" s="33">
        <f>'6_COSTES_COGS'!X11</f>
        <v>2048.1434030876217</v>
      </c>
      <c r="Y19" s="33">
        <f>'6_COSTES_COGS'!Y11</f>
        <v>2204.0999717346313</v>
      </c>
      <c r="Z19" s="33">
        <f>'6_COSTES_COGS'!Z11</f>
        <v>2369.8094108734017</v>
      </c>
      <c r="AA19" s="33">
        <f>'6_COSTES_COGS'!AA11</f>
        <v>2551.1833131432741</v>
      </c>
      <c r="AB19" s="33">
        <f>'6_COSTES_COGS'!AB11</f>
        <v>2746.385412594736</v>
      </c>
      <c r="AC19" s="33">
        <f>'6_COSTES_COGS'!AC11</f>
        <v>2956.9563240023149</v>
      </c>
      <c r="AD19" s="33">
        <f>'6_COSTES_COGS'!AD11</f>
        <v>3182.3453433225</v>
      </c>
      <c r="AE19" s="33">
        <f>'6_COSTES_COGS'!AE11</f>
        <v>3424.5031601883002</v>
      </c>
      <c r="AF19" s="33">
        <f>'6_COSTES_COGS'!AF11</f>
        <v>3686.4926084033636</v>
      </c>
      <c r="AG19" s="33">
        <f>'6_COSTES_COGS'!AG11</f>
        <v>3968.7228304756327</v>
      </c>
      <c r="AH19" s="33">
        <f>'6_COSTES_COGS'!AH11</f>
        <v>4273.011582313683</v>
      </c>
      <c r="AI19" s="33">
        <f>'6_COSTES_COGS'!AI11</f>
        <v>4600.6956292987779</v>
      </c>
      <c r="AJ19" s="33">
        <f>'6_COSTES_COGS'!AJ11</f>
        <v>4954.6458100426808</v>
      </c>
      <c r="AK19" s="33">
        <f>'6_COSTES_COGS'!AK11</f>
        <v>5334.4868442460947</v>
      </c>
      <c r="AL19" s="33">
        <f>'6_COSTES_COGS'!AL11</f>
        <v>5746.143286185782</v>
      </c>
      <c r="AM19" s="33">
        <f>'6_COSTES_COGS'!AM11</f>
        <v>6188.7633004806448</v>
      </c>
      <c r="AN19" s="33">
        <f>'6_COSTES_COGS'!AN11</f>
        <v>6668.9517619190974</v>
      </c>
      <c r="AO19" s="33">
        <f>'6_COSTES_COGS'!AO11</f>
        <v>7184.6155562726244</v>
      </c>
      <c r="AP19" s="33">
        <f>'6_COSTES_COGS'!AP11</f>
        <v>7743.8225341744346</v>
      </c>
      <c r="AQ19" s="33">
        <f>'6_COSTES_COGS'!AQ11</f>
        <v>8344.2089703083893</v>
      </c>
      <c r="AR19" s="33">
        <f>'6_COSTES_COGS'!AR11</f>
        <v>8996.7909053330604</v>
      </c>
      <c r="AS19" s="33">
        <f>'6_COSTES_COGS'!AS11</f>
        <v>9697.4674231597037</v>
      </c>
      <c r="AT19" s="33">
        <f>'6_COSTES_COGS'!AT11</f>
        <v>10452.393366412482</v>
      </c>
      <c r="AU19" s="33">
        <f>'6_COSTES_COGS'!AU11</f>
        <v>11270.324843125481</v>
      </c>
      <c r="AV19" s="33">
        <f>'6_COSTES_COGS'!AV11</f>
        <v>12154.135052975518</v>
      </c>
      <c r="AW19" s="33">
        <f>'6_COSTES_COGS'!AW11</f>
        <v>13106.97198661356</v>
      </c>
      <c r="AX19" s="33">
        <f>'6_COSTES_COGS'!AX11</f>
        <v>14137.070826942647</v>
      </c>
      <c r="AY19" s="33">
        <f>'6_COSTES_COGS'!AY11</f>
        <v>15247.083631498055</v>
      </c>
      <c r="AZ19" s="33">
        <f>'6_COSTES_COGS'!AZ11</f>
        <v>16448.1410504179</v>
      </c>
      <c r="BA19" s="33">
        <f>'6_COSTES_COGS'!BA11</f>
        <v>17747.026684851335</v>
      </c>
      <c r="BB19" s="33">
        <f>'6_COSTES_COGS'!BB11</f>
        <v>19143.303041039439</v>
      </c>
      <c r="BC19" s="33">
        <f>'6_COSTES_COGS'!BC11</f>
        <v>20657.748060722595</v>
      </c>
      <c r="BD19" s="33">
        <f>'6_COSTES_COGS'!BD11</f>
        <v>22288.405908980403</v>
      </c>
      <c r="BE19" s="33">
        <f>'6_COSTES_COGS'!BE11</f>
        <v>24050.398676098834</v>
      </c>
      <c r="BF19" s="33">
        <f>'6_COSTES_COGS'!BF11</f>
        <v>25954.677675586743</v>
      </c>
      <c r="BG19" s="33">
        <f>'6_COSTES_COGS'!BG11</f>
        <v>28009.306896033675</v>
      </c>
      <c r="BH19" s="33">
        <f>'6_COSTES_COGS'!BH11</f>
        <v>30227.730540116376</v>
      </c>
      <c r="BI19" s="33">
        <f>'6_COSTES_COGS'!BI11</f>
        <v>32626.726184725681</v>
      </c>
      <c r="BJ19" s="33">
        <f>'6_COSTES_COGS'!BJ11</f>
        <v>35212.939396903734</v>
      </c>
      <c r="BK19" s="33">
        <f>'6_COSTES_COGS'!BK11</f>
        <v>38009.96176605604</v>
      </c>
      <c r="BL19" s="33">
        <f>'6_COSTES_COGS'!BL11</f>
        <v>41028.100988740523</v>
      </c>
      <c r="BM19" s="33">
        <f>'6_COSTES_COGS'!BM11</f>
        <v>44287.475643239763</v>
      </c>
      <c r="BN19" s="33">
        <f>'6_COSTES_COGS'!BN11</f>
        <v>47809.688267098943</v>
      </c>
      <c r="BO19" s="33">
        <f>'6_COSTES_COGS'!BO11</f>
        <v>51611.50142686686</v>
      </c>
      <c r="BP19" s="33">
        <f>'6_COSTES_COGS'!BP11</f>
        <v>55719.465120416222</v>
      </c>
      <c r="BQ19" s="33">
        <f>'6_COSTES_COGS'!BQ11</f>
        <v>60156.247928449513</v>
      </c>
      <c r="BR19" s="33">
        <f>'6_COSTES_COGS'!BR11</f>
        <v>64944.62425812547</v>
      </c>
      <c r="BS19" s="33">
        <f>'6_COSTES_COGS'!BS11</f>
        <v>70117.071623175507</v>
      </c>
      <c r="BT19" s="33">
        <f>'6_COSTES_COGS'!BT11</f>
        <v>75704.695931429538</v>
      </c>
      <c r="BU19" s="33">
        <f>'6_COSTES_COGS'!BU11</f>
        <v>81738.9395273439</v>
      </c>
      <c r="BV19" s="33">
        <f>'6_COSTES_COGS'!BV11</f>
        <v>88253.241488931424</v>
      </c>
      <c r="BW19" s="33">
        <f>'6_COSTES_COGS'!BW11</f>
        <v>95290.16703044594</v>
      </c>
      <c r="BX19" s="33">
        <f>'6_COSTES_COGS'!BX11</f>
        <v>102891.80331428163</v>
      </c>
      <c r="BY19" s="33">
        <f>'6_COSTES_COGS'!BY11</f>
        <v>111100.49982782413</v>
      </c>
      <c r="BZ19" s="33">
        <f>'6_COSTES_COGS'!BZ11</f>
        <v>119965.10840845006</v>
      </c>
      <c r="CA19" s="33">
        <f>'6_COSTES_COGS'!CA11</f>
        <v>129540.17687752606</v>
      </c>
      <c r="CB19" s="33">
        <f>'6_COSTES_COGS'!CB11</f>
        <v>139879.50337212815</v>
      </c>
      <c r="CC19" s="33">
        <f>'6_COSTES_COGS'!CC11</f>
        <v>151046.26856629844</v>
      </c>
      <c r="CD19" s="33">
        <f>'6_COSTES_COGS'!CD11</f>
        <v>163109.05912700229</v>
      </c>
      <c r="CE19" s="33">
        <f>'6_COSTES_COGS'!CE11</f>
        <v>176135.54927856248</v>
      </c>
      <c r="CF19" s="33">
        <f>'6_COSTES_COGS'!CF11</f>
        <v>190202.63420324749</v>
      </c>
      <c r="CG19" s="33">
        <f>'6_COSTES_COGS'!CG11</f>
        <v>205396.87830990728</v>
      </c>
      <c r="CH19" s="33">
        <f>'6_COSTES_COGS'!CH11</f>
        <v>221806.29205709981</v>
      </c>
      <c r="CI19" s="33">
        <f>'6_COSTES_COGS'!CI11</f>
        <v>239526.64052206787</v>
      </c>
    </row>
    <row r="20" spans="1:87" ht="16.5">
      <c r="A20" s="6" t="s">
        <v>566</v>
      </c>
      <c r="B20" s="30" t="s">
        <v>465</v>
      </c>
      <c r="C20" s="17" t="s">
        <v>743</v>
      </c>
      <c r="D20" s="33">
        <f>'6_COSTES_COGS'!D12</f>
        <v>117.02</v>
      </c>
      <c r="E20" s="33">
        <f>'6_COSTES_COGS'!E12</f>
        <v>134.41</v>
      </c>
      <c r="F20" s="33">
        <f>'6_COSTES_COGS'!F12</f>
        <v>152.17000000000002</v>
      </c>
      <c r="G20" s="33">
        <f>'6_COSTES_COGS'!G12</f>
        <v>170.3</v>
      </c>
      <c r="H20" s="33">
        <f>'6_COSTES_COGS'!H12</f>
        <v>189.17000000000002</v>
      </c>
      <c r="I20" s="33">
        <f>'6_COSTES_COGS'!I12</f>
        <v>208.78</v>
      </c>
      <c r="J20" s="33">
        <f>'6_COSTES_COGS'!J12</f>
        <v>229.13</v>
      </c>
      <c r="K20" s="33">
        <f>'6_COSTES_COGS'!K12</f>
        <v>250.22</v>
      </c>
      <c r="L20" s="33">
        <f>'6_COSTES_COGS'!L12</f>
        <v>272.78999999999996</v>
      </c>
      <c r="M20" s="33">
        <f>'6_COSTES_COGS'!M12</f>
        <v>296.47000000000003</v>
      </c>
      <c r="N20" s="33">
        <f>'6_COSTES_COGS'!N12</f>
        <v>321.63</v>
      </c>
      <c r="O20" s="33">
        <f>'6_COSTES_COGS'!O12</f>
        <v>347.9</v>
      </c>
      <c r="P20" s="33">
        <f>'6_COSTES_COGS'!P12</f>
        <v>375.65</v>
      </c>
      <c r="Q20" s="33">
        <f>'6_COSTES_COGS'!Q12</f>
        <v>404.88</v>
      </c>
      <c r="R20" s="33">
        <f>'6_COSTES_COGS'!R12</f>
        <v>435.96</v>
      </c>
      <c r="S20" s="33">
        <f>'6_COSTES_COGS'!S12</f>
        <v>469.26</v>
      </c>
      <c r="T20" s="33">
        <f>'6_COSTES_COGS'!T12</f>
        <v>504.78</v>
      </c>
      <c r="U20" s="33">
        <f>'6_COSTES_COGS'!U12</f>
        <v>542.52</v>
      </c>
      <c r="V20" s="33">
        <f>'6_COSTES_COGS'!V12</f>
        <v>583.22</v>
      </c>
      <c r="W20" s="33">
        <f>'6_COSTES_COGS'!W12</f>
        <v>626.51</v>
      </c>
      <c r="X20" s="33">
        <f>'6_COSTES_COGS'!X12</f>
        <v>673.13</v>
      </c>
      <c r="Y20" s="33">
        <f>'6_COSTES_COGS'!Y12</f>
        <v>723.08</v>
      </c>
      <c r="Z20" s="33">
        <f>'6_COSTES_COGS'!Z12</f>
        <v>776.36</v>
      </c>
      <c r="AA20" s="33">
        <f>'6_COSTES_COGS'!AA12</f>
        <v>833.71</v>
      </c>
      <c r="AB20" s="33">
        <f>'6_COSTES_COGS'!AB12</f>
        <v>895.5</v>
      </c>
      <c r="AC20" s="33">
        <f>'6_COSTES_COGS'!AC12</f>
        <v>962.1</v>
      </c>
      <c r="AD20" s="33">
        <f>'6_COSTES_COGS'!AD12</f>
        <v>1033.51</v>
      </c>
      <c r="AE20" s="33">
        <f>'6_COSTES_COGS'!AE12</f>
        <v>1110.47</v>
      </c>
      <c r="AF20" s="33">
        <f>'6_COSTES_COGS'!AF12</f>
        <v>1193.3499999999999</v>
      </c>
      <c r="AG20" s="33">
        <f>'6_COSTES_COGS'!AG12</f>
        <v>1282.52</v>
      </c>
      <c r="AH20" s="33">
        <f>'6_COSTES_COGS'!AH12</f>
        <v>1378.72</v>
      </c>
      <c r="AI20" s="33">
        <f>'6_COSTES_COGS'!AI12</f>
        <v>1482.32</v>
      </c>
      <c r="AJ20" s="33">
        <f>'6_COSTES_COGS'!AJ12</f>
        <v>1594.06</v>
      </c>
      <c r="AK20" s="33">
        <f>'6_COSTES_COGS'!AK12</f>
        <v>1714.31</v>
      </c>
      <c r="AL20" s="33">
        <f>'6_COSTES_COGS'!AL12</f>
        <v>1844.18</v>
      </c>
      <c r="AM20" s="33">
        <f>'6_COSTES_COGS'!AM12</f>
        <v>1984.04</v>
      </c>
      <c r="AN20" s="33">
        <f>'6_COSTES_COGS'!AN12</f>
        <v>2135</v>
      </c>
      <c r="AO20" s="33">
        <f>'6_COSTES_COGS'!AO12</f>
        <v>2297.8000000000002</v>
      </c>
      <c r="AP20" s="33">
        <f>'6_COSTES_COGS'!AP12</f>
        <v>2473.5500000000002</v>
      </c>
      <c r="AQ20" s="33">
        <f>'6_COSTES_COGS'!AQ12</f>
        <v>2662.99</v>
      </c>
      <c r="AR20" s="33">
        <f>'6_COSTES_COGS'!AR12</f>
        <v>2867.97</v>
      </c>
      <c r="AS20" s="33">
        <f>'6_COSTES_COGS'!AS12</f>
        <v>3088.86</v>
      </c>
      <c r="AT20" s="33">
        <f>'6_COSTES_COGS'!AT12</f>
        <v>3327.14</v>
      </c>
      <c r="AU20" s="33">
        <f>'6_COSTES_COGS'!AU12</f>
        <v>3584.29</v>
      </c>
      <c r="AV20" s="33">
        <f>'6_COSTES_COGS'!AV12</f>
        <v>3862.16</v>
      </c>
      <c r="AW20" s="33">
        <f>'6_COSTES_COGS'!AW12</f>
        <v>4162.2299999999996</v>
      </c>
      <c r="AX20" s="33">
        <f>'6_COSTES_COGS'!AX12</f>
        <v>4486.3500000000004</v>
      </c>
      <c r="AY20" s="33">
        <f>'6_COSTES_COGS'!AY12</f>
        <v>4836</v>
      </c>
      <c r="AZ20" s="33">
        <f>'6_COSTES_COGS'!AZ12</f>
        <v>5213.7699999999995</v>
      </c>
      <c r="BA20" s="33">
        <f>'6_COSTES_COGS'!BA12</f>
        <v>5621.88</v>
      </c>
      <c r="BB20" s="33">
        <f>'6_COSTES_COGS'!BB12</f>
        <v>6062.18</v>
      </c>
      <c r="BC20" s="33">
        <f>'6_COSTES_COGS'!BC12</f>
        <v>6538</v>
      </c>
      <c r="BD20" s="33">
        <f>'6_COSTES_COGS'!BD12</f>
        <v>7051.5599999999995</v>
      </c>
      <c r="BE20" s="33">
        <f>'6_COSTES_COGS'!BE12</f>
        <v>7605.82</v>
      </c>
      <c r="BF20" s="33">
        <f>'6_COSTES_COGS'!BF12</f>
        <v>8204.48</v>
      </c>
      <c r="BG20" s="33">
        <f>'6_COSTES_COGS'!BG12</f>
        <v>8851.24</v>
      </c>
      <c r="BH20" s="33">
        <f>'6_COSTES_COGS'!BH12</f>
        <v>9549.43</v>
      </c>
      <c r="BI20" s="33">
        <f>'6_COSTES_COGS'!BI12</f>
        <v>10303.49</v>
      </c>
      <c r="BJ20" s="33">
        <f>'6_COSTES_COGS'!BJ12</f>
        <v>11117.49</v>
      </c>
      <c r="BK20" s="33">
        <f>'6_COSTES_COGS'!BK12</f>
        <v>11996.98</v>
      </c>
      <c r="BL20" s="33">
        <f>'6_COSTES_COGS'!BL12</f>
        <v>12946.77</v>
      </c>
      <c r="BM20" s="33">
        <f>'6_COSTES_COGS'!BM12</f>
        <v>13972.039999999999</v>
      </c>
      <c r="BN20" s="33">
        <f>'6_COSTES_COGS'!BN12</f>
        <v>15079.45</v>
      </c>
      <c r="BO20" s="33">
        <f>'6_COSTES_COGS'!BO12</f>
        <v>16275.66</v>
      </c>
      <c r="BP20" s="33">
        <f>'6_COSTES_COGS'!BP12</f>
        <v>17567.7</v>
      </c>
      <c r="BQ20" s="33">
        <f>'6_COSTES_COGS'!BQ12</f>
        <v>18962.97</v>
      </c>
      <c r="BR20" s="33">
        <f>'6_COSTES_COGS'!BR12</f>
        <v>20469.61</v>
      </c>
      <c r="BS20" s="33">
        <f>'6_COSTES_COGS'!BS12</f>
        <v>22096.5</v>
      </c>
      <c r="BT20" s="33">
        <f>'6_COSTES_COGS'!BT12</f>
        <v>23853.63</v>
      </c>
      <c r="BU20" s="33">
        <f>'6_COSTES_COGS'!BU12</f>
        <v>25751.360000000001</v>
      </c>
      <c r="BV20" s="33">
        <f>'6_COSTES_COGS'!BV12</f>
        <v>27800.79</v>
      </c>
      <c r="BW20" s="33">
        <f>'6_COSTES_COGS'!BW12</f>
        <v>30014.13</v>
      </c>
      <c r="BX20" s="33">
        <f>'6_COSTES_COGS'!BX12</f>
        <v>32404.7</v>
      </c>
      <c r="BY20" s="33">
        <f>'6_COSTES_COGS'!BY12</f>
        <v>34986.559999999998</v>
      </c>
      <c r="BZ20" s="33">
        <f>'6_COSTES_COGS'!BZ12</f>
        <v>37774.879999999997</v>
      </c>
      <c r="CA20" s="33">
        <f>'6_COSTES_COGS'!CA12</f>
        <v>40786.31</v>
      </c>
      <c r="CB20" s="33">
        <f>'6_COSTES_COGS'!CB12</f>
        <v>44038.61</v>
      </c>
      <c r="CC20" s="33">
        <f>'6_COSTES_COGS'!CC12</f>
        <v>47551.02</v>
      </c>
      <c r="CD20" s="33">
        <f>'6_COSTES_COGS'!CD12</f>
        <v>51344.63</v>
      </c>
      <c r="CE20" s="33">
        <f>'6_COSTES_COGS'!CE12</f>
        <v>55441.64</v>
      </c>
      <c r="CF20" s="33">
        <f>'6_COSTES_COGS'!CF12</f>
        <v>59866.47</v>
      </c>
      <c r="CG20" s="33">
        <f>'6_COSTES_COGS'!CG12</f>
        <v>64645.39</v>
      </c>
      <c r="CH20" s="33">
        <f>'6_COSTES_COGS'!CH12</f>
        <v>69806.52</v>
      </c>
      <c r="CI20" s="33">
        <f>'6_COSTES_COGS'!CI12</f>
        <v>75380.2</v>
      </c>
    </row>
    <row r="21" spans="1:87" ht="16.5">
      <c r="A21" s="6" t="s">
        <v>568</v>
      </c>
      <c r="B21" s="30" t="s">
        <v>465</v>
      </c>
      <c r="C21" s="17" t="s">
        <v>744</v>
      </c>
      <c r="D21" s="33">
        <f>'6_COSTES_COGS'!D13</f>
        <v>1610</v>
      </c>
      <c r="E21" s="33">
        <f>'6_COSTES_COGS'!E13</f>
        <v>1715</v>
      </c>
      <c r="F21" s="33">
        <f>'6_COSTES_COGS'!F13</f>
        <v>1820</v>
      </c>
      <c r="G21" s="33">
        <f>'6_COSTES_COGS'!G13</f>
        <v>1960</v>
      </c>
      <c r="H21" s="33">
        <f>'6_COSTES_COGS'!H13</f>
        <v>2100</v>
      </c>
      <c r="I21" s="33">
        <f>'6_COSTES_COGS'!I13</f>
        <v>2275</v>
      </c>
      <c r="J21" s="33">
        <f>'6_COSTES_COGS'!J13</f>
        <v>2415</v>
      </c>
      <c r="K21" s="33">
        <f>'6_COSTES_COGS'!K13</f>
        <v>2590</v>
      </c>
      <c r="L21" s="33">
        <f>'6_COSTES_COGS'!L13</f>
        <v>2800</v>
      </c>
      <c r="M21" s="33">
        <f>'6_COSTES_COGS'!M13</f>
        <v>3010</v>
      </c>
      <c r="N21" s="33">
        <f>'6_COSTES_COGS'!N13</f>
        <v>3255</v>
      </c>
      <c r="O21" s="33">
        <f>'6_COSTES_COGS'!O13</f>
        <v>3500</v>
      </c>
      <c r="P21" s="33">
        <f>'6_COSTES_COGS'!P13</f>
        <v>3745</v>
      </c>
      <c r="Q21" s="33">
        <f>'6_COSTES_COGS'!Q13</f>
        <v>4025</v>
      </c>
      <c r="R21" s="33">
        <f>'6_COSTES_COGS'!R13</f>
        <v>4340</v>
      </c>
      <c r="S21" s="33">
        <f>'6_COSTES_COGS'!S13</f>
        <v>4690</v>
      </c>
      <c r="T21" s="33">
        <f>'6_COSTES_COGS'!T13</f>
        <v>5040</v>
      </c>
      <c r="U21" s="33">
        <f>'6_COSTES_COGS'!U13</f>
        <v>5425</v>
      </c>
      <c r="V21" s="33">
        <f>'6_COSTES_COGS'!V13</f>
        <v>5845</v>
      </c>
      <c r="W21" s="33">
        <f>'6_COSTES_COGS'!W13</f>
        <v>6300</v>
      </c>
      <c r="X21" s="33">
        <f>'6_COSTES_COGS'!X13</f>
        <v>6790</v>
      </c>
      <c r="Y21" s="33">
        <f>'6_COSTES_COGS'!Y13</f>
        <v>7315</v>
      </c>
      <c r="Z21" s="33">
        <f>'6_COSTES_COGS'!Z13</f>
        <v>7875</v>
      </c>
      <c r="AA21" s="33">
        <f>'6_COSTES_COGS'!AA13</f>
        <v>8505</v>
      </c>
      <c r="AB21" s="33">
        <f>'6_COSTES_COGS'!AB13</f>
        <v>9170</v>
      </c>
      <c r="AC21" s="33">
        <f>'6_COSTES_COGS'!AC13</f>
        <v>9905</v>
      </c>
      <c r="AD21" s="33">
        <f>'6_COSTES_COGS'!AD13</f>
        <v>10675</v>
      </c>
      <c r="AE21" s="33">
        <f>'6_COSTES_COGS'!AE13</f>
        <v>11515</v>
      </c>
      <c r="AF21" s="33">
        <f>'6_COSTES_COGS'!AF13</f>
        <v>12425</v>
      </c>
      <c r="AG21" s="33">
        <f>'6_COSTES_COGS'!AG13</f>
        <v>13405</v>
      </c>
      <c r="AH21" s="33">
        <f>'6_COSTES_COGS'!AH13</f>
        <v>14455</v>
      </c>
      <c r="AI21" s="33">
        <f>'6_COSTES_COGS'!AI13</f>
        <v>15610</v>
      </c>
      <c r="AJ21" s="33">
        <f>'6_COSTES_COGS'!AJ13</f>
        <v>16835</v>
      </c>
      <c r="AK21" s="33">
        <f>'6_COSTES_COGS'!AK13</f>
        <v>18165</v>
      </c>
      <c r="AL21" s="33">
        <f>'6_COSTES_COGS'!AL13</f>
        <v>19600</v>
      </c>
      <c r="AM21" s="33">
        <f>'6_COSTES_COGS'!AM13</f>
        <v>21140</v>
      </c>
      <c r="AN21" s="33">
        <f>'6_COSTES_COGS'!AN13</f>
        <v>22820</v>
      </c>
      <c r="AO21" s="33">
        <f>'6_COSTES_COGS'!AO13</f>
        <v>24640</v>
      </c>
      <c r="AP21" s="33">
        <f>'6_COSTES_COGS'!AP13</f>
        <v>26600</v>
      </c>
      <c r="AQ21" s="33">
        <f>'6_COSTES_COGS'!AQ13</f>
        <v>28700</v>
      </c>
      <c r="AR21" s="33">
        <f>'6_COSTES_COGS'!AR13</f>
        <v>31010</v>
      </c>
      <c r="AS21" s="33">
        <f>'6_COSTES_COGS'!AS13</f>
        <v>33460</v>
      </c>
      <c r="AT21" s="33">
        <f>'6_COSTES_COGS'!AT13</f>
        <v>36120</v>
      </c>
      <c r="AU21" s="33">
        <f>'6_COSTES_COGS'!AU13</f>
        <v>38990</v>
      </c>
      <c r="AV21" s="33">
        <f>'6_COSTES_COGS'!AV13</f>
        <v>42105</v>
      </c>
      <c r="AW21" s="33">
        <f>'6_COSTES_COGS'!AW13</f>
        <v>45465</v>
      </c>
      <c r="AX21" s="33">
        <f>'6_COSTES_COGS'!AX13</f>
        <v>49105</v>
      </c>
      <c r="AY21" s="33">
        <f>'6_COSTES_COGS'!AY13</f>
        <v>52990</v>
      </c>
      <c r="AZ21" s="33">
        <f>'6_COSTES_COGS'!AZ13</f>
        <v>57225</v>
      </c>
      <c r="BA21" s="33">
        <f>'6_COSTES_COGS'!BA13</f>
        <v>61810</v>
      </c>
      <c r="BB21" s="33">
        <f>'6_COSTES_COGS'!BB13</f>
        <v>66710</v>
      </c>
      <c r="BC21" s="33">
        <f>'6_COSTES_COGS'!BC13</f>
        <v>72065</v>
      </c>
      <c r="BD21" s="33">
        <f>'6_COSTES_COGS'!BD13</f>
        <v>77805</v>
      </c>
      <c r="BE21" s="33">
        <f>'6_COSTES_COGS'!BE13</f>
        <v>84000</v>
      </c>
      <c r="BF21" s="33">
        <f>'6_COSTES_COGS'!BF13</f>
        <v>90720</v>
      </c>
      <c r="BG21" s="33">
        <f>'6_COSTES_COGS'!BG13</f>
        <v>97965</v>
      </c>
      <c r="BH21" s="33">
        <f>'6_COSTES_COGS'!BH13</f>
        <v>105770</v>
      </c>
      <c r="BI21" s="33">
        <f>'6_COSTES_COGS'!BI13</f>
        <v>114240</v>
      </c>
      <c r="BJ21" s="33">
        <f>'6_COSTES_COGS'!BJ13</f>
        <v>123340</v>
      </c>
      <c r="BK21" s="33">
        <f>'6_COSTES_COGS'!BK13</f>
        <v>133210</v>
      </c>
      <c r="BL21" s="33">
        <f>'6_COSTES_COGS'!BL13</f>
        <v>143850</v>
      </c>
      <c r="BM21" s="33">
        <f>'6_COSTES_COGS'!BM13</f>
        <v>155330</v>
      </c>
      <c r="BN21" s="33">
        <f>'6_COSTES_COGS'!BN13</f>
        <v>167755</v>
      </c>
      <c r="BO21" s="33">
        <f>'6_COSTES_COGS'!BO13</f>
        <v>181160</v>
      </c>
      <c r="BP21" s="33">
        <f>'6_COSTES_COGS'!BP13</f>
        <v>195650</v>
      </c>
      <c r="BQ21" s="33">
        <f>'6_COSTES_COGS'!BQ13</f>
        <v>211295</v>
      </c>
      <c r="BR21" s="33">
        <f>'6_COSTES_COGS'!BR13</f>
        <v>228165</v>
      </c>
      <c r="BS21" s="33">
        <f>'6_COSTES_COGS'!BS13</f>
        <v>246400</v>
      </c>
      <c r="BT21" s="33">
        <f>'6_COSTES_COGS'!BT13</f>
        <v>266105</v>
      </c>
      <c r="BU21" s="33">
        <f>'6_COSTES_COGS'!BU13</f>
        <v>287385</v>
      </c>
      <c r="BV21" s="33">
        <f>'6_COSTES_COGS'!BV13</f>
        <v>310345</v>
      </c>
      <c r="BW21" s="33">
        <f>'6_COSTES_COGS'!BW13</f>
        <v>335160</v>
      </c>
      <c r="BX21" s="33">
        <f>'6_COSTES_COGS'!BX13</f>
        <v>361970</v>
      </c>
      <c r="BY21" s="33">
        <f>'6_COSTES_COGS'!BY13</f>
        <v>390915</v>
      </c>
      <c r="BZ21" s="33">
        <f>'6_COSTES_COGS'!BZ13</f>
        <v>422170</v>
      </c>
      <c r="CA21" s="33">
        <f>'6_COSTES_COGS'!CA13</f>
        <v>455945</v>
      </c>
      <c r="CB21" s="33">
        <f>'6_COSTES_COGS'!CB13</f>
        <v>492380</v>
      </c>
      <c r="CC21" s="33">
        <f>'6_COSTES_COGS'!CC13</f>
        <v>531755</v>
      </c>
      <c r="CD21" s="33">
        <f>'6_COSTES_COGS'!CD13</f>
        <v>574315</v>
      </c>
      <c r="CE21" s="33">
        <f>'6_COSTES_COGS'!CE13</f>
        <v>620235</v>
      </c>
      <c r="CF21" s="33">
        <f>'6_COSTES_COGS'!CF13</f>
        <v>669830</v>
      </c>
      <c r="CG21" s="33">
        <f>'6_COSTES_COGS'!CG13</f>
        <v>723415</v>
      </c>
      <c r="CH21" s="33">
        <f>'6_COSTES_COGS'!CH13</f>
        <v>781270</v>
      </c>
      <c r="CI21" s="33">
        <f>'6_COSTES_COGS'!CI13</f>
        <v>843745</v>
      </c>
    </row>
    <row r="22" spans="1:87" ht="16.5">
      <c r="A22" s="6" t="s">
        <v>570</v>
      </c>
      <c r="B22" s="30" t="s">
        <v>465</v>
      </c>
      <c r="C22" s="17" t="s">
        <v>745</v>
      </c>
      <c r="D22" s="33">
        <f>'6_COSTES_COGS'!D14</f>
        <v>299</v>
      </c>
      <c r="E22" s="33">
        <f>'6_COSTES_COGS'!E14</f>
        <v>318.5</v>
      </c>
      <c r="F22" s="33">
        <f>'6_COSTES_COGS'!F14</f>
        <v>338</v>
      </c>
      <c r="G22" s="33">
        <f>'6_COSTES_COGS'!G14</f>
        <v>364</v>
      </c>
      <c r="H22" s="33">
        <f>'6_COSTES_COGS'!H14</f>
        <v>390</v>
      </c>
      <c r="I22" s="33">
        <f>'6_COSTES_COGS'!I14</f>
        <v>422.5</v>
      </c>
      <c r="J22" s="33">
        <f>'6_COSTES_COGS'!J14</f>
        <v>448.5</v>
      </c>
      <c r="K22" s="33">
        <f>'6_COSTES_COGS'!K14</f>
        <v>481</v>
      </c>
      <c r="L22" s="33">
        <f>'6_COSTES_COGS'!L14</f>
        <v>520</v>
      </c>
      <c r="M22" s="33">
        <f>'6_COSTES_COGS'!M14</f>
        <v>559</v>
      </c>
      <c r="N22" s="33">
        <f>'6_COSTES_COGS'!N14</f>
        <v>604.5</v>
      </c>
      <c r="O22" s="33">
        <f>'6_COSTES_COGS'!O14</f>
        <v>650</v>
      </c>
      <c r="P22" s="33">
        <f>'6_COSTES_COGS'!P14</f>
        <v>695.5</v>
      </c>
      <c r="Q22" s="33">
        <f>'6_COSTES_COGS'!Q14</f>
        <v>747.5</v>
      </c>
      <c r="R22" s="33">
        <f>'6_COSTES_COGS'!R14</f>
        <v>806</v>
      </c>
      <c r="S22" s="33">
        <f>'6_COSTES_COGS'!S14</f>
        <v>871</v>
      </c>
      <c r="T22" s="33">
        <f>'6_COSTES_COGS'!T14</f>
        <v>936</v>
      </c>
      <c r="U22" s="33">
        <f>'6_COSTES_COGS'!U14</f>
        <v>1007.5</v>
      </c>
      <c r="V22" s="33">
        <f>'6_COSTES_COGS'!V14</f>
        <v>1085.5</v>
      </c>
      <c r="W22" s="33">
        <f>'6_COSTES_COGS'!W14</f>
        <v>1170</v>
      </c>
      <c r="X22" s="33">
        <f>'6_COSTES_COGS'!X14</f>
        <v>1261</v>
      </c>
      <c r="Y22" s="33">
        <f>'6_COSTES_COGS'!Y14</f>
        <v>1358.5</v>
      </c>
      <c r="Z22" s="33">
        <f>'6_COSTES_COGS'!Z14</f>
        <v>1462.5</v>
      </c>
      <c r="AA22" s="33">
        <f>'6_COSTES_COGS'!AA14</f>
        <v>1579.5</v>
      </c>
      <c r="AB22" s="33">
        <f>'6_COSTES_COGS'!AB14</f>
        <v>1703</v>
      </c>
      <c r="AC22" s="33">
        <f>'6_COSTES_COGS'!AC14</f>
        <v>1839.5</v>
      </c>
      <c r="AD22" s="33">
        <f>'6_COSTES_COGS'!AD14</f>
        <v>1982.5</v>
      </c>
      <c r="AE22" s="33">
        <f>'6_COSTES_COGS'!AE14</f>
        <v>2138.5</v>
      </c>
      <c r="AF22" s="33">
        <f>'6_COSTES_COGS'!AF14</f>
        <v>2307.5</v>
      </c>
      <c r="AG22" s="33">
        <f>'6_COSTES_COGS'!AG14</f>
        <v>2489.5</v>
      </c>
      <c r="AH22" s="33">
        <f>'6_COSTES_COGS'!AH14</f>
        <v>2684.5</v>
      </c>
      <c r="AI22" s="33">
        <f>'6_COSTES_COGS'!AI14</f>
        <v>2899</v>
      </c>
      <c r="AJ22" s="33">
        <f>'6_COSTES_COGS'!AJ14</f>
        <v>3126.5</v>
      </c>
      <c r="AK22" s="33">
        <f>'6_COSTES_COGS'!AK14</f>
        <v>3373.5</v>
      </c>
      <c r="AL22" s="33">
        <f>'6_COSTES_COGS'!AL14</f>
        <v>3640</v>
      </c>
      <c r="AM22" s="33">
        <f>'6_COSTES_COGS'!AM14</f>
        <v>3926</v>
      </c>
      <c r="AN22" s="33">
        <f>'6_COSTES_COGS'!AN14</f>
        <v>4238</v>
      </c>
      <c r="AO22" s="33">
        <f>'6_COSTES_COGS'!AO14</f>
        <v>4576</v>
      </c>
      <c r="AP22" s="33">
        <f>'6_COSTES_COGS'!AP14</f>
        <v>4940</v>
      </c>
      <c r="AQ22" s="33">
        <f>'6_COSTES_COGS'!AQ14</f>
        <v>5330</v>
      </c>
      <c r="AR22" s="33">
        <f>'6_COSTES_COGS'!AR14</f>
        <v>5759</v>
      </c>
      <c r="AS22" s="33">
        <f>'6_COSTES_COGS'!AS14</f>
        <v>6214</v>
      </c>
      <c r="AT22" s="33">
        <f>'6_COSTES_COGS'!AT14</f>
        <v>6708</v>
      </c>
      <c r="AU22" s="33">
        <f>'6_COSTES_COGS'!AU14</f>
        <v>7241</v>
      </c>
      <c r="AV22" s="33">
        <f>'6_COSTES_COGS'!AV14</f>
        <v>7819.5</v>
      </c>
      <c r="AW22" s="33">
        <f>'6_COSTES_COGS'!AW14</f>
        <v>8443.5</v>
      </c>
      <c r="AX22" s="33">
        <f>'6_COSTES_COGS'!AX14</f>
        <v>9119.5</v>
      </c>
      <c r="AY22" s="33">
        <f>'6_COSTES_COGS'!AY14</f>
        <v>9841</v>
      </c>
      <c r="AZ22" s="33">
        <f>'6_COSTES_COGS'!AZ14</f>
        <v>10627.5</v>
      </c>
      <c r="BA22" s="33">
        <f>'6_COSTES_COGS'!BA14</f>
        <v>11479</v>
      </c>
      <c r="BB22" s="33">
        <f>'6_COSTES_COGS'!BB14</f>
        <v>12389</v>
      </c>
      <c r="BC22" s="33">
        <f>'6_COSTES_COGS'!BC14</f>
        <v>13383.5</v>
      </c>
      <c r="BD22" s="33">
        <f>'6_COSTES_COGS'!BD14</f>
        <v>14449.5</v>
      </c>
      <c r="BE22" s="33">
        <f>'6_COSTES_COGS'!BE14</f>
        <v>15600</v>
      </c>
      <c r="BF22" s="33">
        <f>'6_COSTES_COGS'!BF14</f>
        <v>16848</v>
      </c>
      <c r="BG22" s="33">
        <f>'6_COSTES_COGS'!BG14</f>
        <v>18193.5</v>
      </c>
      <c r="BH22" s="33">
        <f>'6_COSTES_COGS'!BH14</f>
        <v>19643</v>
      </c>
      <c r="BI22" s="33">
        <f>'6_COSTES_COGS'!BI14</f>
        <v>21216</v>
      </c>
      <c r="BJ22" s="33">
        <f>'6_COSTES_COGS'!BJ14</f>
        <v>22906</v>
      </c>
      <c r="BK22" s="33">
        <f>'6_COSTES_COGS'!BK14</f>
        <v>24739</v>
      </c>
      <c r="BL22" s="33">
        <f>'6_COSTES_COGS'!BL14</f>
        <v>26715</v>
      </c>
      <c r="BM22" s="33">
        <f>'6_COSTES_COGS'!BM14</f>
        <v>28847</v>
      </c>
      <c r="BN22" s="33">
        <f>'6_COSTES_COGS'!BN14</f>
        <v>31154.5</v>
      </c>
      <c r="BO22" s="33">
        <f>'6_COSTES_COGS'!BO14</f>
        <v>33644</v>
      </c>
      <c r="BP22" s="33">
        <f>'6_COSTES_COGS'!BP14</f>
        <v>36335</v>
      </c>
      <c r="BQ22" s="33">
        <f>'6_COSTES_COGS'!BQ14</f>
        <v>39240.5</v>
      </c>
      <c r="BR22" s="33">
        <f>'6_COSTES_COGS'!BR14</f>
        <v>42373.5</v>
      </c>
      <c r="BS22" s="33">
        <f>'6_COSTES_COGS'!BS14</f>
        <v>45760</v>
      </c>
      <c r="BT22" s="33">
        <f>'6_COSTES_COGS'!BT14</f>
        <v>49419.5</v>
      </c>
      <c r="BU22" s="33">
        <f>'6_COSTES_COGS'!BU14</f>
        <v>53371.5</v>
      </c>
      <c r="BV22" s="33">
        <f>'6_COSTES_COGS'!BV14</f>
        <v>57635.5</v>
      </c>
      <c r="BW22" s="33">
        <f>'6_COSTES_COGS'!BW14</f>
        <v>62244</v>
      </c>
      <c r="BX22" s="33">
        <f>'6_COSTES_COGS'!BX14</f>
        <v>67223</v>
      </c>
      <c r="BY22" s="33">
        <f>'6_COSTES_COGS'!BY14</f>
        <v>72598.5</v>
      </c>
      <c r="BZ22" s="33">
        <f>'6_COSTES_COGS'!BZ14</f>
        <v>78403</v>
      </c>
      <c r="CA22" s="33">
        <f>'6_COSTES_COGS'!CA14</f>
        <v>84675.5</v>
      </c>
      <c r="CB22" s="33">
        <f>'6_COSTES_COGS'!CB14</f>
        <v>91442</v>
      </c>
      <c r="CC22" s="33">
        <f>'6_COSTES_COGS'!CC14</f>
        <v>98754.5</v>
      </c>
      <c r="CD22" s="33">
        <f>'6_COSTES_COGS'!CD14</f>
        <v>106658.5</v>
      </c>
      <c r="CE22" s="33">
        <f>'6_COSTES_COGS'!CE14</f>
        <v>115186.5</v>
      </c>
      <c r="CF22" s="33">
        <f>'6_COSTES_COGS'!CF14</f>
        <v>124397</v>
      </c>
      <c r="CG22" s="33">
        <f>'6_COSTES_COGS'!CG14</f>
        <v>134348.5</v>
      </c>
      <c r="CH22" s="33">
        <f>'6_COSTES_COGS'!CH14</f>
        <v>145093</v>
      </c>
      <c r="CI22" s="33">
        <f>'6_COSTES_COGS'!CI14</f>
        <v>156695.5</v>
      </c>
    </row>
    <row r="23" spans="1:87" ht="16.5">
      <c r="A23" s="5" t="s">
        <v>746</v>
      </c>
      <c r="B23" s="30" t="s">
        <v>465</v>
      </c>
      <c r="C23" s="17" t="s">
        <v>747</v>
      </c>
      <c r="D23" s="36">
        <f t="shared" ref="D23:AI23" si="0">D10-D17</f>
        <v>9760.1793675000008</v>
      </c>
      <c r="E23" s="36">
        <f t="shared" si="0"/>
        <v>11590.352372500001</v>
      </c>
      <c r="F23" s="36">
        <f t="shared" si="0"/>
        <v>13446.191503900001</v>
      </c>
      <c r="G23" s="36">
        <f t="shared" si="0"/>
        <v>15467.363274812</v>
      </c>
      <c r="H23" s="36">
        <f t="shared" si="0"/>
        <v>17511.147169396962</v>
      </c>
      <c r="I23" s="36">
        <f t="shared" si="0"/>
        <v>19635.603258548716</v>
      </c>
      <c r="J23" s="36">
        <f t="shared" si="0"/>
        <v>21841.076233832609</v>
      </c>
      <c r="K23" s="36">
        <f t="shared" si="0"/>
        <v>24202.022892139226</v>
      </c>
      <c r="L23" s="36">
        <f t="shared" si="0"/>
        <v>26693.602904110357</v>
      </c>
      <c r="M23" s="36">
        <f t="shared" si="0"/>
        <v>29317.743275039193</v>
      </c>
      <c r="N23" s="36">
        <f t="shared" si="0"/>
        <v>32082.868182642327</v>
      </c>
      <c r="O23" s="36">
        <f t="shared" si="0"/>
        <v>35050.671476853713</v>
      </c>
      <c r="P23" s="36">
        <f t="shared" si="0"/>
        <v>38140.103902602008</v>
      </c>
      <c r="Q23" s="36">
        <f t="shared" si="0"/>
        <v>41327.750057410165</v>
      </c>
      <c r="R23" s="36">
        <f t="shared" si="0"/>
        <v>44797.060771602977</v>
      </c>
      <c r="S23" s="36">
        <f t="shared" si="0"/>
        <v>48424.415349931223</v>
      </c>
      <c r="T23" s="36">
        <f t="shared" si="0"/>
        <v>52234.137264525714</v>
      </c>
      <c r="U23" s="36">
        <f t="shared" si="0"/>
        <v>56276.058365287769</v>
      </c>
      <c r="V23" s="36">
        <f t="shared" si="0"/>
        <v>60613.378975110791</v>
      </c>
      <c r="W23" s="36">
        <f t="shared" si="0"/>
        <v>65219.677438719656</v>
      </c>
      <c r="X23" s="36">
        <f t="shared" si="0"/>
        <v>70224.062720417234</v>
      </c>
      <c r="Y23" s="36">
        <f t="shared" si="0"/>
        <v>75552.918897650612</v>
      </c>
      <c r="Z23" s="36">
        <f t="shared" si="0"/>
        <v>81211.907024062675</v>
      </c>
      <c r="AA23" s="36">
        <f t="shared" si="0"/>
        <v>87388.139212587674</v>
      </c>
      <c r="AB23" s="36">
        <f t="shared" si="0"/>
        <v>94050.531091194687</v>
      </c>
      <c r="AC23" s="36">
        <f t="shared" si="0"/>
        <v>101216.69663609027</v>
      </c>
      <c r="AD23" s="36">
        <f t="shared" si="0"/>
        <v>108906.6583895775</v>
      </c>
      <c r="AE23" s="36">
        <f t="shared" si="0"/>
        <v>117153.05324734369</v>
      </c>
      <c r="AF23" s="36">
        <f t="shared" si="0"/>
        <v>126074.36172773119</v>
      </c>
      <c r="AG23" s="36">
        <f t="shared" si="0"/>
        <v>135685.57038854968</v>
      </c>
      <c r="AH23" s="36">
        <f t="shared" si="0"/>
        <v>146055.63171023363</v>
      </c>
      <c r="AI23" s="36">
        <f t="shared" si="0"/>
        <v>157194.20954265233</v>
      </c>
      <c r="AJ23" s="36">
        <f t="shared" ref="AJ23:BO23" si="1">AJ10-AJ17</f>
        <v>169252.82659166455</v>
      </c>
      <c r="AK23" s="36">
        <f t="shared" si="1"/>
        <v>182174.37692559769</v>
      </c>
      <c r="AL23" s="36">
        <f t="shared" si="1"/>
        <v>196187.00816124547</v>
      </c>
      <c r="AM23" s="36">
        <f t="shared" si="1"/>
        <v>211256.52871874516</v>
      </c>
      <c r="AN23" s="36">
        <f t="shared" si="1"/>
        <v>227596.11871484478</v>
      </c>
      <c r="AO23" s="36">
        <f t="shared" si="1"/>
        <v>245122.20669463236</v>
      </c>
      <c r="AP23" s="36">
        <f t="shared" si="1"/>
        <v>264146.52883280296</v>
      </c>
      <c r="AQ23" s="36">
        <f t="shared" si="1"/>
        <v>284574.95984202716</v>
      </c>
      <c r="AR23" s="36">
        <f t="shared" si="1"/>
        <v>306749.27530798933</v>
      </c>
      <c r="AS23" s="36">
        <f t="shared" si="1"/>
        <v>330591.56950322841</v>
      </c>
      <c r="AT23" s="36">
        <f t="shared" si="1"/>
        <v>356255.00129008677</v>
      </c>
      <c r="AU23" s="36">
        <f t="shared" si="1"/>
        <v>384077.17888189375</v>
      </c>
      <c r="AV23" s="36">
        <f t="shared" si="1"/>
        <v>414123.80706604518</v>
      </c>
      <c r="AW23" s="36">
        <f t="shared" si="1"/>
        <v>446513.77747792879</v>
      </c>
      <c r="AX23" s="36">
        <f t="shared" si="1"/>
        <v>481521.91225076315</v>
      </c>
      <c r="AY23" s="36">
        <f t="shared" si="1"/>
        <v>519289.26162842417</v>
      </c>
      <c r="AZ23" s="36">
        <f t="shared" si="1"/>
        <v>560118.63096629805</v>
      </c>
      <c r="BA23" s="36">
        <f t="shared" si="1"/>
        <v>604268.76070920203</v>
      </c>
      <c r="BB23" s="36">
        <f t="shared" si="1"/>
        <v>651759.23860053811</v>
      </c>
      <c r="BC23" s="36">
        <f t="shared" si="1"/>
        <v>703225.67436818115</v>
      </c>
      <c r="BD23" s="36">
        <f t="shared" si="1"/>
        <v>758668.97045023565</v>
      </c>
      <c r="BE23" s="36">
        <f t="shared" si="1"/>
        <v>818588.12836785452</v>
      </c>
      <c r="BF23" s="36">
        <f t="shared" si="1"/>
        <v>883317.54934788286</v>
      </c>
      <c r="BG23" s="36">
        <f t="shared" si="1"/>
        <v>953162.0289453133</v>
      </c>
      <c r="BH23" s="36">
        <f t="shared" si="1"/>
        <v>1028595.6610645386</v>
      </c>
      <c r="BI23" s="36">
        <f t="shared" si="1"/>
        <v>1110136.6312043015</v>
      </c>
      <c r="BJ23" s="36">
        <f t="shared" si="1"/>
        <v>1198074.9464792456</v>
      </c>
      <c r="BK23" s="36">
        <f t="shared" si="1"/>
        <v>1293150.1288761855</v>
      </c>
      <c r="BL23" s="36">
        <f t="shared" si="1"/>
        <v>1395751.5685608804</v>
      </c>
      <c r="BM23" s="36">
        <f t="shared" si="1"/>
        <v>1506567.3100863504</v>
      </c>
      <c r="BN23" s="36">
        <f t="shared" si="1"/>
        <v>1626297.8924168588</v>
      </c>
      <c r="BO23" s="36">
        <f t="shared" si="1"/>
        <v>1755538.0956478075</v>
      </c>
      <c r="BP23" s="36">
        <f t="shared" ref="BP23:CI23" si="2">BP10-BP17</f>
        <v>1895180.4396962323</v>
      </c>
      <c r="BQ23" s="36">
        <f t="shared" si="2"/>
        <v>2046006.599209531</v>
      </c>
      <c r="BR23" s="36">
        <f t="shared" si="2"/>
        <v>2208800.4360668934</v>
      </c>
      <c r="BS23" s="36">
        <f t="shared" si="2"/>
        <v>2384639.293303845</v>
      </c>
      <c r="BT23" s="36">
        <f t="shared" si="2"/>
        <v>2574585.611325752</v>
      </c>
      <c r="BU23" s="36">
        <f t="shared" si="2"/>
        <v>2779713.9815664124</v>
      </c>
      <c r="BV23" s="36">
        <f t="shared" si="2"/>
        <v>3001174.9280683254</v>
      </c>
      <c r="BW23" s="36">
        <f t="shared" si="2"/>
        <v>3240388.9841873911</v>
      </c>
      <c r="BX23" s="36">
        <f t="shared" si="2"/>
        <v>3498796.6292569833</v>
      </c>
      <c r="BY23" s="36">
        <f t="shared" si="2"/>
        <v>3777846.6332851406</v>
      </c>
      <c r="BZ23" s="36">
        <f t="shared" si="2"/>
        <v>4079196.9479295523</v>
      </c>
      <c r="CA23" s="36">
        <f t="shared" si="2"/>
        <v>4404682.2882235162</v>
      </c>
      <c r="CB23" s="36">
        <f t="shared" si="2"/>
        <v>4756188.2215129975</v>
      </c>
      <c r="CC23" s="36">
        <f t="shared" si="2"/>
        <v>5135796.3540856391</v>
      </c>
      <c r="CD23" s="36">
        <f t="shared" si="2"/>
        <v>5545835.7759530889</v>
      </c>
      <c r="CE23" s="36">
        <f t="shared" si="2"/>
        <v>5988680.081863936</v>
      </c>
      <c r="CF23" s="36">
        <f t="shared" si="2"/>
        <v>6466890.6639266517</v>
      </c>
      <c r="CG23" s="36">
        <f t="shared" si="2"/>
        <v>6983401.1640863838</v>
      </c>
      <c r="CH23" s="36">
        <f t="shared" si="2"/>
        <v>7541238.2702268921</v>
      </c>
      <c r="CI23" s="36">
        <f t="shared" si="2"/>
        <v>8143642.2803606465</v>
      </c>
    </row>
    <row r="24" spans="1:87" ht="16.5">
      <c r="A24" s="6" t="s">
        <v>748</v>
      </c>
      <c r="B24" s="30" t="s">
        <v>455</v>
      </c>
      <c r="C24" s="17" t="s">
        <v>749</v>
      </c>
      <c r="D24" s="31">
        <f t="shared" ref="D24:AI24" si="3">IF(D10&gt;0, D23/D10, 0)</f>
        <v>0.80551350055018622</v>
      </c>
      <c r="E24" s="31">
        <f t="shared" si="3"/>
        <v>0.81804998837155063</v>
      </c>
      <c r="F24" s="31">
        <f t="shared" si="3"/>
        <v>0.82760359673084538</v>
      </c>
      <c r="G24" s="31">
        <f t="shared" si="3"/>
        <v>0.83430848227607013</v>
      </c>
      <c r="H24" s="31">
        <f t="shared" si="3"/>
        <v>0.83960846006575363</v>
      </c>
      <c r="I24" s="31">
        <f t="shared" si="3"/>
        <v>0.84270069878105724</v>
      </c>
      <c r="J24" s="31">
        <f t="shared" si="3"/>
        <v>0.84695379838677753</v>
      </c>
      <c r="K24" s="31">
        <f t="shared" si="3"/>
        <v>0.84982554233834162</v>
      </c>
      <c r="L24" s="31">
        <f t="shared" si="3"/>
        <v>0.85146103503108417</v>
      </c>
      <c r="M24" s="31">
        <f t="shared" si="3"/>
        <v>0.85323141940082858</v>
      </c>
      <c r="N24" s="31">
        <f t="shared" si="3"/>
        <v>0.85412053578637648</v>
      </c>
      <c r="O24" s="31">
        <f t="shared" si="3"/>
        <v>0.85541716742981011</v>
      </c>
      <c r="P24" s="31">
        <f t="shared" si="3"/>
        <v>0.85676989537431059</v>
      </c>
      <c r="Q24" s="31">
        <f t="shared" si="3"/>
        <v>0.85733955758185043</v>
      </c>
      <c r="R24" s="31">
        <f t="shared" si="3"/>
        <v>0.85769554582732532</v>
      </c>
      <c r="S24" s="31">
        <f t="shared" si="3"/>
        <v>0.857598991999729</v>
      </c>
      <c r="T24" s="31">
        <f t="shared" si="3"/>
        <v>0.85779272179534671</v>
      </c>
      <c r="U24" s="31">
        <f t="shared" si="3"/>
        <v>0.85775036015016382</v>
      </c>
      <c r="V24" s="31">
        <f t="shared" si="3"/>
        <v>0.85760332400746786</v>
      </c>
      <c r="W24" s="31">
        <f t="shared" si="3"/>
        <v>0.8573438893365054</v>
      </c>
      <c r="X24" s="31">
        <f t="shared" si="3"/>
        <v>0.85716730838466815</v>
      </c>
      <c r="Y24" s="31">
        <f t="shared" si="3"/>
        <v>0.85695884790323629</v>
      </c>
      <c r="Z24" s="31">
        <f t="shared" si="3"/>
        <v>0.85673458223515675</v>
      </c>
      <c r="AA24" s="31">
        <f t="shared" si="3"/>
        <v>0.85634907889976453</v>
      </c>
      <c r="AB24" s="31">
        <f t="shared" si="3"/>
        <v>0.85613012161262381</v>
      </c>
      <c r="AC24" s="31">
        <f t="shared" si="3"/>
        <v>0.85575069045229357</v>
      </c>
      <c r="AD24" s="31">
        <f t="shared" si="3"/>
        <v>0.85555342554270408</v>
      </c>
      <c r="AE24" s="31">
        <f t="shared" si="3"/>
        <v>0.85525584126561227</v>
      </c>
      <c r="AF24" s="31">
        <f t="shared" si="3"/>
        <v>0.85497500686929739</v>
      </c>
      <c r="AG24" s="31">
        <f t="shared" si="3"/>
        <v>0.85471810570031925</v>
      </c>
      <c r="AH24" s="31">
        <f t="shared" si="3"/>
        <v>0.85452396334922709</v>
      </c>
      <c r="AI24" s="31">
        <f t="shared" si="3"/>
        <v>0.85418718281202255</v>
      </c>
      <c r="AJ24" s="31">
        <f t="shared" ref="AJ24:BO24" si="4">IF(AJ10&gt;0, AJ23/AJ10, 0)</f>
        <v>0.85401072589589688</v>
      </c>
      <c r="AK24" s="31">
        <f t="shared" si="4"/>
        <v>0.85375773830099211</v>
      </c>
      <c r="AL24" s="31">
        <f t="shared" si="4"/>
        <v>0.85355950239222089</v>
      </c>
      <c r="AM24" s="31">
        <f t="shared" si="4"/>
        <v>0.853387496264149</v>
      </c>
      <c r="AN24" s="31">
        <f t="shared" si="4"/>
        <v>0.85319300108923857</v>
      </c>
      <c r="AO24" s="31">
        <f t="shared" si="4"/>
        <v>0.8529412770062037</v>
      </c>
      <c r="AP24" s="31">
        <f t="shared" si="4"/>
        <v>0.85276530959707586</v>
      </c>
      <c r="AQ24" s="31">
        <f t="shared" si="4"/>
        <v>0.85261215549204339</v>
      </c>
      <c r="AR24" s="31">
        <f t="shared" si="4"/>
        <v>0.85238525196288728</v>
      </c>
      <c r="AS24" s="31">
        <f t="shared" si="4"/>
        <v>0.85226264517708616</v>
      </c>
      <c r="AT24" s="31">
        <f t="shared" si="4"/>
        <v>0.85208953777722751</v>
      </c>
      <c r="AU24" s="31">
        <f t="shared" si="4"/>
        <v>0.85196563592434504</v>
      </c>
      <c r="AV24" s="31">
        <f t="shared" si="4"/>
        <v>0.85181669707681373</v>
      </c>
      <c r="AW24" s="31">
        <f t="shared" si="4"/>
        <v>0.85167225872986374</v>
      </c>
      <c r="AX24" s="31">
        <f t="shared" si="4"/>
        <v>0.85152348415251511</v>
      </c>
      <c r="AY24" s="31">
        <f t="shared" si="4"/>
        <v>0.8514567017846858</v>
      </c>
      <c r="AZ24" s="31">
        <f t="shared" si="4"/>
        <v>0.85134032662017312</v>
      </c>
      <c r="BA24" s="31">
        <f t="shared" si="4"/>
        <v>0.85122535092737417</v>
      </c>
      <c r="BB24" s="31">
        <f t="shared" si="4"/>
        <v>0.85115828392218384</v>
      </c>
      <c r="BC24" s="31">
        <f t="shared" si="4"/>
        <v>0.85104348293565013</v>
      </c>
      <c r="BD24" s="31">
        <f t="shared" si="4"/>
        <v>0.8509681822338786</v>
      </c>
      <c r="BE24" s="31">
        <f t="shared" si="4"/>
        <v>0.85090910486794058</v>
      </c>
      <c r="BF24" s="31">
        <f t="shared" si="4"/>
        <v>0.85082693030199064</v>
      </c>
      <c r="BG24" s="31">
        <f t="shared" si="4"/>
        <v>0.8507547442027994</v>
      </c>
      <c r="BH24" s="31">
        <f t="shared" si="4"/>
        <v>0.85070533140045868</v>
      </c>
      <c r="BI24" s="31">
        <f t="shared" si="4"/>
        <v>0.85063440392313705</v>
      </c>
      <c r="BJ24" s="31">
        <f t="shared" si="4"/>
        <v>0.85059282681225978</v>
      </c>
      <c r="BK24" s="31">
        <f t="shared" si="4"/>
        <v>0.85053369484773111</v>
      </c>
      <c r="BL24" s="31">
        <f t="shared" si="4"/>
        <v>0.85048511564300844</v>
      </c>
      <c r="BM24" s="31">
        <f t="shared" si="4"/>
        <v>0.8504477215085523</v>
      </c>
      <c r="BN24" s="31">
        <f t="shared" si="4"/>
        <v>0.8504018491666383</v>
      </c>
      <c r="BO24" s="31">
        <f t="shared" si="4"/>
        <v>0.8503618607837794</v>
      </c>
      <c r="BP24" s="31">
        <f t="shared" ref="BP24:CU24" si="5">IF(BP10&gt;0, BP23/BP10, 0)</f>
        <v>0.85032243023175469</v>
      </c>
      <c r="BQ24" s="31">
        <f t="shared" si="5"/>
        <v>0.85028848609502428</v>
      </c>
      <c r="BR24" s="31">
        <f t="shared" si="5"/>
        <v>0.85026299763007018</v>
      </c>
      <c r="BS24" s="31">
        <f t="shared" si="5"/>
        <v>0.85023491358831216</v>
      </c>
      <c r="BT24" s="31">
        <f t="shared" si="5"/>
        <v>0.85020670767164652</v>
      </c>
      <c r="BU24" s="31">
        <f t="shared" si="5"/>
        <v>0.85018046406037673</v>
      </c>
      <c r="BV24" s="31">
        <f t="shared" si="5"/>
        <v>0.85015997073737171</v>
      </c>
      <c r="BW24" s="31">
        <f t="shared" si="5"/>
        <v>0.85013729253724113</v>
      </c>
      <c r="BX24" s="31">
        <f t="shared" si="5"/>
        <v>0.85011548941608994</v>
      </c>
      <c r="BY24" s="31">
        <f t="shared" si="5"/>
        <v>0.85009667803920475</v>
      </c>
      <c r="BZ24" s="31">
        <f t="shared" si="5"/>
        <v>0.85007986948191339</v>
      </c>
      <c r="CA24" s="31">
        <f t="shared" si="5"/>
        <v>0.85006103789481646</v>
      </c>
      <c r="CB24" s="31">
        <f t="shared" si="5"/>
        <v>0.85005095579655476</v>
      </c>
      <c r="CC24" s="31">
        <f t="shared" si="5"/>
        <v>0.85003694610161695</v>
      </c>
      <c r="CD24" s="31">
        <f t="shared" si="5"/>
        <v>0.85001958285390389</v>
      </c>
      <c r="CE24" s="31">
        <f t="shared" si="5"/>
        <v>0.85001013514777457</v>
      </c>
      <c r="CF24" s="31">
        <f t="shared" si="5"/>
        <v>0.85000014471621832</v>
      </c>
      <c r="CG24" s="31">
        <f t="shared" si="5"/>
        <v>0.84998871715441515</v>
      </c>
      <c r="CH24" s="31">
        <f t="shared" si="5"/>
        <v>0.84998020122503382</v>
      </c>
      <c r="CI24" s="31">
        <f t="shared" si="5"/>
        <v>0.84997249811241393</v>
      </c>
    </row>
    <row r="25" spans="1:87" ht="16.5">
      <c r="A25" s="5" t="s">
        <v>750</v>
      </c>
      <c r="B25" s="30" t="s">
        <v>465</v>
      </c>
      <c r="C25" s="17" t="s">
        <v>751</v>
      </c>
      <c r="D25" s="36">
        <f>'8_COSTES_OPEX'!D47</f>
        <v>21799.579999999994</v>
      </c>
      <c r="E25" s="36">
        <f>'8_COSTES_OPEX'!E47</f>
        <v>25805.579999999994</v>
      </c>
      <c r="F25" s="36">
        <f>'8_COSTES_OPEX'!F47</f>
        <v>25231.429999999993</v>
      </c>
      <c r="G25" s="36">
        <f>'8_COSTES_OPEX'!G47</f>
        <v>22231.579999999994</v>
      </c>
      <c r="H25" s="36">
        <f>'8_COSTES_OPEX'!H47</f>
        <v>22384.579999999994</v>
      </c>
      <c r="I25" s="36">
        <f>'8_COSTES_OPEX'!I47</f>
        <v>22543.579999999994</v>
      </c>
      <c r="J25" s="36">
        <f>'8_COSTES_OPEX'!J47</f>
        <v>22708.579999999994</v>
      </c>
      <c r="K25" s="36">
        <f>'8_COSTES_OPEX'!K47</f>
        <v>22879.579999999994</v>
      </c>
      <c r="L25" s="36">
        <f>'8_COSTES_OPEX'!L47</f>
        <v>23062.579999999994</v>
      </c>
      <c r="M25" s="36">
        <f>'8_COSTES_OPEX'!M47</f>
        <v>25054.579999999994</v>
      </c>
      <c r="N25" s="36">
        <f>'8_COSTES_OPEX'!N47</f>
        <v>23458.579999999994</v>
      </c>
      <c r="O25" s="36">
        <f>'8_COSTES_OPEX'!O47</f>
        <v>23671.579999999994</v>
      </c>
      <c r="P25" s="36">
        <f>'8_COSTES_OPEX'!P47</f>
        <v>39294.83</v>
      </c>
      <c r="Q25" s="36">
        <f>'8_COSTES_OPEX'!Q47</f>
        <v>39531.83</v>
      </c>
      <c r="R25" s="36">
        <f>'8_COSTES_OPEX'!R47</f>
        <v>39783.83</v>
      </c>
      <c r="S25" s="36">
        <f>'8_COSTES_OPEX'!S47</f>
        <v>40053.83</v>
      </c>
      <c r="T25" s="36">
        <f>'8_COSTES_OPEX'!T47</f>
        <v>40341.83</v>
      </c>
      <c r="U25" s="36">
        <f>'8_COSTES_OPEX'!U47</f>
        <v>40647.83</v>
      </c>
      <c r="V25" s="36">
        <f>'8_COSTES_OPEX'!V47</f>
        <v>44060.163333333338</v>
      </c>
      <c r="W25" s="36">
        <f>'8_COSTES_OPEX'!W47</f>
        <v>44411.163333333338</v>
      </c>
      <c r="X25" s="36">
        <f>'8_COSTES_OPEX'!X47</f>
        <v>44789.163333333338</v>
      </c>
      <c r="Y25" s="36">
        <f>'8_COSTES_OPEX'!Y47</f>
        <v>45194.163333333338</v>
      </c>
      <c r="Z25" s="36">
        <f>'8_COSTES_OPEX'!Z47</f>
        <v>45626.163333333338</v>
      </c>
      <c r="AA25" s="36">
        <f>'8_COSTES_OPEX'!AA47</f>
        <v>46091.163333333338</v>
      </c>
      <c r="AB25" s="36">
        <f>'8_COSTES_OPEX'!AB47</f>
        <v>50092.163333333338</v>
      </c>
      <c r="AC25" s="36">
        <f>'8_COSTES_OPEX'!AC47</f>
        <v>50632.163333333338</v>
      </c>
      <c r="AD25" s="36">
        <f>'8_COSTES_OPEX'!AD47</f>
        <v>51211.163333333338</v>
      </c>
      <c r="AE25" s="36">
        <f>'8_COSTES_OPEX'!AE47</f>
        <v>51835.163333333338</v>
      </c>
      <c r="AF25" s="36">
        <f>'8_COSTES_OPEX'!AF47</f>
        <v>52507.163333333338</v>
      </c>
      <c r="AG25" s="36">
        <f>'8_COSTES_OPEX'!AG47</f>
        <v>53230.163333333338</v>
      </c>
      <c r="AH25" s="36">
        <f>'8_COSTES_OPEX'!AH47</f>
        <v>54010.163333333338</v>
      </c>
      <c r="AI25" s="36">
        <f>'8_COSTES_OPEX'!AI47</f>
        <v>54850.163333333338</v>
      </c>
      <c r="AJ25" s="36">
        <f>'8_COSTES_OPEX'!AJ47</f>
        <v>55756.163333333338</v>
      </c>
      <c r="AK25" s="36">
        <f>'8_COSTES_OPEX'!AK47</f>
        <v>56731.163333333338</v>
      </c>
      <c r="AL25" s="36">
        <f>'8_COSTES_OPEX'!AL47</f>
        <v>57784.163333333338</v>
      </c>
      <c r="AM25" s="36">
        <f>'8_COSTES_OPEX'!AM47</f>
        <v>58918.163333333338</v>
      </c>
      <c r="AN25" s="36">
        <f>'8_COSTES_OPEX'!AN47</f>
        <v>60142.163333333338</v>
      </c>
      <c r="AO25" s="36">
        <f>'8_COSTES_OPEX'!AO47</f>
        <v>61462.163333333338</v>
      </c>
      <c r="AP25" s="36">
        <f>'8_COSTES_OPEX'!AP47</f>
        <v>62887.163333333338</v>
      </c>
      <c r="AQ25" s="36">
        <f>'8_COSTES_OPEX'!AQ47</f>
        <v>64423.163333333338</v>
      </c>
      <c r="AR25" s="36">
        <f>'8_COSTES_OPEX'!AR47</f>
        <v>66085.16333333333</v>
      </c>
      <c r="AS25" s="36">
        <f>'8_COSTES_OPEX'!AS47</f>
        <v>67876.16333333333</v>
      </c>
      <c r="AT25" s="36">
        <f>'8_COSTES_OPEX'!AT47</f>
        <v>69808.16333333333</v>
      </c>
      <c r="AU25" s="36">
        <f>'8_COSTES_OPEX'!AU47</f>
        <v>71893.16333333333</v>
      </c>
      <c r="AV25" s="36">
        <f>'8_COSTES_OPEX'!AV47</f>
        <v>74146.16333333333</v>
      </c>
      <c r="AW25" s="36">
        <f>'8_COSTES_OPEX'!AW47</f>
        <v>76579.16333333333</v>
      </c>
      <c r="AX25" s="36">
        <f>'8_COSTES_OPEX'!AX47</f>
        <v>79207.16333333333</v>
      </c>
      <c r="AY25" s="36">
        <f>'8_COSTES_OPEX'!AY47</f>
        <v>82042.16333333333</v>
      </c>
      <c r="AZ25" s="36">
        <f>'8_COSTES_OPEX'!AZ47</f>
        <v>85105.16333333333</v>
      </c>
      <c r="BA25" s="36">
        <f>'8_COSTES_OPEX'!BA47</f>
        <v>88414.16333333333</v>
      </c>
      <c r="BB25" s="36">
        <f>'8_COSTES_OPEX'!BB47</f>
        <v>91984.16333333333</v>
      </c>
      <c r="BC25" s="36">
        <f>'8_COSTES_OPEX'!BC47</f>
        <v>95842.16333333333</v>
      </c>
      <c r="BD25" s="36">
        <f>'8_COSTES_OPEX'!BD47</f>
        <v>100006.16333333333</v>
      </c>
      <c r="BE25" s="36">
        <f>'8_COSTES_OPEX'!BE47</f>
        <v>104500.16333333333</v>
      </c>
      <c r="BF25" s="36">
        <f>'8_COSTES_OPEX'!BF47</f>
        <v>109354.16333333333</v>
      </c>
      <c r="BG25" s="36">
        <f>'8_COSTES_OPEX'!BG47</f>
        <v>114598.16333333333</v>
      </c>
      <c r="BH25" s="36">
        <f>'8_COSTES_OPEX'!BH47</f>
        <v>120259.16333333333</v>
      </c>
      <c r="BI25" s="36">
        <f>'8_COSTES_OPEX'!BI47</f>
        <v>126373.16333333333</v>
      </c>
      <c r="BJ25" s="36">
        <f>'8_COSTES_OPEX'!BJ47</f>
        <v>132973.16333333333</v>
      </c>
      <c r="BK25" s="36">
        <f>'8_COSTES_OPEX'!BK47</f>
        <v>140104.16333333333</v>
      </c>
      <c r="BL25" s="36">
        <f>'8_COSTES_OPEX'!BL47</f>
        <v>147805.16333333333</v>
      </c>
      <c r="BM25" s="36">
        <f>'8_COSTES_OPEX'!BM47</f>
        <v>156118.16333333333</v>
      </c>
      <c r="BN25" s="36">
        <f>'8_COSTES_OPEX'!BN47</f>
        <v>165097.16333333333</v>
      </c>
      <c r="BO25" s="36">
        <f>'8_COSTES_OPEX'!BO47</f>
        <v>174796.16333333336</v>
      </c>
      <c r="BP25" s="36">
        <f>'8_COSTES_OPEX'!BP47</f>
        <v>185272.16333333336</v>
      </c>
      <c r="BQ25" s="36">
        <f>'8_COSTES_OPEX'!BQ47</f>
        <v>196585.16333333336</v>
      </c>
      <c r="BR25" s="36">
        <f>'8_COSTES_OPEX'!BR47</f>
        <v>208801.16333333336</v>
      </c>
      <c r="BS25" s="36">
        <f>'8_COSTES_OPEX'!BS47</f>
        <v>221992.16333333336</v>
      </c>
      <c r="BT25" s="36">
        <f>'8_COSTES_OPEX'!BT47</f>
        <v>236239.16333333336</v>
      </c>
      <c r="BU25" s="36">
        <f>'8_COSTES_OPEX'!BU47</f>
        <v>251626.16333333336</v>
      </c>
      <c r="BV25" s="36">
        <f>'8_COSTES_OPEX'!BV47</f>
        <v>268243.16333333333</v>
      </c>
      <c r="BW25" s="36">
        <f>'8_COSTES_OPEX'!BW47</f>
        <v>286189.16333333333</v>
      </c>
      <c r="BX25" s="36">
        <f>'8_COSTES_OPEX'!BX47</f>
        <v>305572.16333333333</v>
      </c>
      <c r="BY25" s="36">
        <f>'8_COSTES_OPEX'!BY47</f>
        <v>326506.16333333333</v>
      </c>
      <c r="BZ25" s="36">
        <f>'8_COSTES_OPEX'!BZ47</f>
        <v>349114.16333333333</v>
      </c>
      <c r="CA25" s="36">
        <f>'8_COSTES_OPEX'!CA47</f>
        <v>373531.16333333333</v>
      </c>
      <c r="CB25" s="36">
        <f>'8_COSTES_OPEX'!CB47</f>
        <v>399901.16333333333</v>
      </c>
      <c r="CC25" s="36">
        <f>'8_COSTES_OPEX'!CC47</f>
        <v>428380.16333333333</v>
      </c>
      <c r="CD25" s="36">
        <f>'8_COSTES_OPEX'!CD47</f>
        <v>459139.16333333333</v>
      </c>
      <c r="CE25" s="36">
        <f>'8_COSTES_OPEX'!CE47</f>
        <v>492358.16333333333</v>
      </c>
      <c r="CF25" s="36">
        <f>'8_COSTES_OPEX'!CF47</f>
        <v>528235.16333333333</v>
      </c>
      <c r="CG25" s="36">
        <f>'8_COSTES_OPEX'!CG47</f>
        <v>566983.16333333333</v>
      </c>
      <c r="CH25" s="36">
        <f>'8_COSTES_OPEX'!CH47</f>
        <v>608830.16333333333</v>
      </c>
      <c r="CI25" s="36">
        <f>'8_COSTES_OPEX'!CI47</f>
        <v>654022.16333333333</v>
      </c>
    </row>
    <row r="26" spans="1:87" ht="16.5">
      <c r="A26" s="6" t="s">
        <v>611</v>
      </c>
      <c r="B26" s="30" t="s">
        <v>465</v>
      </c>
      <c r="C26" s="17" t="s">
        <v>752</v>
      </c>
      <c r="D26" s="33">
        <f>'8_COSTES_OPEX'!D10</f>
        <v>7794.76</v>
      </c>
      <c r="E26" s="33">
        <f>'8_COSTES_OPEX'!E10</f>
        <v>7794.76</v>
      </c>
      <c r="F26" s="33">
        <f>'8_COSTES_OPEX'!F10</f>
        <v>7794.76</v>
      </c>
      <c r="G26" s="33">
        <f>'8_COSTES_OPEX'!G10</f>
        <v>7794.76</v>
      </c>
      <c r="H26" s="33">
        <f>'8_COSTES_OPEX'!H10</f>
        <v>7794.76</v>
      </c>
      <c r="I26" s="33">
        <f>'8_COSTES_OPEX'!I10</f>
        <v>7794.76</v>
      </c>
      <c r="J26" s="33">
        <f>'8_COSTES_OPEX'!J10</f>
        <v>7794.76</v>
      </c>
      <c r="K26" s="33">
        <f>'8_COSTES_OPEX'!K10</f>
        <v>7794.76</v>
      </c>
      <c r="L26" s="33">
        <f>'8_COSTES_OPEX'!L10</f>
        <v>7794.76</v>
      </c>
      <c r="M26" s="33">
        <f>'8_COSTES_OPEX'!M10</f>
        <v>7794.76</v>
      </c>
      <c r="N26" s="33">
        <f>'8_COSTES_OPEX'!N10</f>
        <v>7794.76</v>
      </c>
      <c r="O26" s="33">
        <f>'8_COSTES_OPEX'!O10</f>
        <v>7794.76</v>
      </c>
      <c r="P26" s="33">
        <f>'8_COSTES_OPEX'!P10</f>
        <v>23193.010000000002</v>
      </c>
      <c r="Q26" s="33">
        <f>'8_COSTES_OPEX'!Q10</f>
        <v>23193.010000000002</v>
      </c>
      <c r="R26" s="33">
        <f>'8_COSTES_OPEX'!R10</f>
        <v>23193.010000000002</v>
      </c>
      <c r="S26" s="33">
        <f>'8_COSTES_OPEX'!S10</f>
        <v>23193.010000000002</v>
      </c>
      <c r="T26" s="33">
        <f>'8_COSTES_OPEX'!T10</f>
        <v>23193.010000000002</v>
      </c>
      <c r="U26" s="33">
        <f>'8_COSTES_OPEX'!U10</f>
        <v>23193.010000000002</v>
      </c>
      <c r="V26" s="33">
        <f>'8_COSTES_OPEX'!V10</f>
        <v>26275.343333333334</v>
      </c>
      <c r="W26" s="33">
        <f>'8_COSTES_OPEX'!W10</f>
        <v>26275.343333333334</v>
      </c>
      <c r="X26" s="33">
        <f>'8_COSTES_OPEX'!X10</f>
        <v>26275.343333333334</v>
      </c>
      <c r="Y26" s="33">
        <f>'8_COSTES_OPEX'!Y10</f>
        <v>26275.343333333334</v>
      </c>
      <c r="Z26" s="33">
        <f>'8_COSTES_OPEX'!Z10</f>
        <v>26275.343333333334</v>
      </c>
      <c r="AA26" s="33">
        <f>'8_COSTES_OPEX'!AA10</f>
        <v>26275.343333333334</v>
      </c>
      <c r="AB26" s="33">
        <f>'8_COSTES_OPEX'!AB10</f>
        <v>29775.343333333334</v>
      </c>
      <c r="AC26" s="33">
        <f>'8_COSTES_OPEX'!AC10</f>
        <v>29775.343333333334</v>
      </c>
      <c r="AD26" s="33">
        <f>'8_COSTES_OPEX'!AD10</f>
        <v>29775.343333333334</v>
      </c>
      <c r="AE26" s="33">
        <f>'8_COSTES_OPEX'!AE10</f>
        <v>29775.343333333334</v>
      </c>
      <c r="AF26" s="33">
        <f>'8_COSTES_OPEX'!AF10</f>
        <v>29775.343333333334</v>
      </c>
      <c r="AG26" s="33">
        <f>'8_COSTES_OPEX'!AG10</f>
        <v>29775.343333333334</v>
      </c>
      <c r="AH26" s="33">
        <f>'8_COSTES_OPEX'!AH10</f>
        <v>29775.343333333334</v>
      </c>
      <c r="AI26" s="33">
        <f>'8_COSTES_OPEX'!AI10</f>
        <v>29775.343333333334</v>
      </c>
      <c r="AJ26" s="33">
        <f>'8_COSTES_OPEX'!AJ10</f>
        <v>29775.343333333334</v>
      </c>
      <c r="AK26" s="33">
        <f>'8_COSTES_OPEX'!AK10</f>
        <v>29775.343333333334</v>
      </c>
      <c r="AL26" s="33">
        <f>'8_COSTES_OPEX'!AL10</f>
        <v>29775.343333333334</v>
      </c>
      <c r="AM26" s="33">
        <f>'8_COSTES_OPEX'!AM10</f>
        <v>29775.343333333334</v>
      </c>
      <c r="AN26" s="33">
        <f>'8_COSTES_OPEX'!AN10</f>
        <v>29775.343333333334</v>
      </c>
      <c r="AO26" s="33">
        <f>'8_COSTES_OPEX'!AO10</f>
        <v>29775.343333333334</v>
      </c>
      <c r="AP26" s="33">
        <f>'8_COSTES_OPEX'!AP10</f>
        <v>29775.343333333334</v>
      </c>
      <c r="AQ26" s="33">
        <f>'8_COSTES_OPEX'!AQ10</f>
        <v>29775.343333333334</v>
      </c>
      <c r="AR26" s="33">
        <f>'8_COSTES_OPEX'!AR10</f>
        <v>29775.343333333334</v>
      </c>
      <c r="AS26" s="33">
        <f>'8_COSTES_OPEX'!AS10</f>
        <v>29775.343333333334</v>
      </c>
      <c r="AT26" s="33">
        <f>'8_COSTES_OPEX'!AT10</f>
        <v>29775.343333333334</v>
      </c>
      <c r="AU26" s="33">
        <f>'8_COSTES_OPEX'!AU10</f>
        <v>29775.343333333334</v>
      </c>
      <c r="AV26" s="33">
        <f>'8_COSTES_OPEX'!AV10</f>
        <v>29775.343333333334</v>
      </c>
      <c r="AW26" s="33">
        <f>'8_COSTES_OPEX'!AW10</f>
        <v>29775.343333333334</v>
      </c>
      <c r="AX26" s="33">
        <f>'8_COSTES_OPEX'!AX10</f>
        <v>29775.343333333334</v>
      </c>
      <c r="AY26" s="33">
        <f>'8_COSTES_OPEX'!AY10</f>
        <v>29775.343333333334</v>
      </c>
      <c r="AZ26" s="33">
        <f>'8_COSTES_OPEX'!AZ10</f>
        <v>29775.343333333334</v>
      </c>
      <c r="BA26" s="33">
        <f>'8_COSTES_OPEX'!BA10</f>
        <v>29775.343333333334</v>
      </c>
      <c r="BB26" s="33">
        <f>'8_COSTES_OPEX'!BB10</f>
        <v>29775.343333333334</v>
      </c>
      <c r="BC26" s="33">
        <f>'8_COSTES_OPEX'!BC10</f>
        <v>29775.343333333334</v>
      </c>
      <c r="BD26" s="33">
        <f>'8_COSTES_OPEX'!BD10</f>
        <v>29775.343333333334</v>
      </c>
      <c r="BE26" s="33">
        <f>'8_COSTES_OPEX'!BE10</f>
        <v>29775.343333333334</v>
      </c>
      <c r="BF26" s="33">
        <f>'8_COSTES_OPEX'!BF10</f>
        <v>29775.343333333334</v>
      </c>
      <c r="BG26" s="33">
        <f>'8_COSTES_OPEX'!BG10</f>
        <v>29775.343333333334</v>
      </c>
      <c r="BH26" s="33">
        <f>'8_COSTES_OPEX'!BH10</f>
        <v>29775.343333333334</v>
      </c>
      <c r="BI26" s="33">
        <f>'8_COSTES_OPEX'!BI10</f>
        <v>29775.343333333334</v>
      </c>
      <c r="BJ26" s="33">
        <f>'8_COSTES_OPEX'!BJ10</f>
        <v>29775.343333333334</v>
      </c>
      <c r="BK26" s="33">
        <f>'8_COSTES_OPEX'!BK10</f>
        <v>29775.343333333334</v>
      </c>
      <c r="BL26" s="33">
        <f>'8_COSTES_OPEX'!BL10</f>
        <v>29775.343333333334</v>
      </c>
      <c r="BM26" s="33">
        <f>'8_COSTES_OPEX'!BM10</f>
        <v>29775.343333333334</v>
      </c>
      <c r="BN26" s="33">
        <f>'8_COSTES_OPEX'!BN10</f>
        <v>29775.343333333334</v>
      </c>
      <c r="BO26" s="33">
        <f>'8_COSTES_OPEX'!BO10</f>
        <v>29775.343333333334</v>
      </c>
      <c r="BP26" s="33">
        <f>'8_COSTES_OPEX'!BP10</f>
        <v>29775.343333333334</v>
      </c>
      <c r="BQ26" s="33">
        <f>'8_COSTES_OPEX'!BQ10</f>
        <v>29775.343333333334</v>
      </c>
      <c r="BR26" s="33">
        <f>'8_COSTES_OPEX'!BR10</f>
        <v>29775.343333333334</v>
      </c>
      <c r="BS26" s="33">
        <f>'8_COSTES_OPEX'!BS10</f>
        <v>29775.343333333334</v>
      </c>
      <c r="BT26" s="33">
        <f>'8_COSTES_OPEX'!BT10</f>
        <v>29775.343333333334</v>
      </c>
      <c r="BU26" s="33">
        <f>'8_COSTES_OPEX'!BU10</f>
        <v>29775.343333333334</v>
      </c>
      <c r="BV26" s="33">
        <f>'8_COSTES_OPEX'!BV10</f>
        <v>29775.343333333334</v>
      </c>
      <c r="BW26" s="33">
        <f>'8_COSTES_OPEX'!BW10</f>
        <v>29775.343333333334</v>
      </c>
      <c r="BX26" s="33">
        <f>'8_COSTES_OPEX'!BX10</f>
        <v>29775.343333333334</v>
      </c>
      <c r="BY26" s="33">
        <f>'8_COSTES_OPEX'!BY10</f>
        <v>29775.343333333334</v>
      </c>
      <c r="BZ26" s="33">
        <f>'8_COSTES_OPEX'!BZ10</f>
        <v>29775.343333333334</v>
      </c>
      <c r="CA26" s="33">
        <f>'8_COSTES_OPEX'!CA10</f>
        <v>29775.343333333334</v>
      </c>
      <c r="CB26" s="33">
        <f>'8_COSTES_OPEX'!CB10</f>
        <v>29775.343333333334</v>
      </c>
      <c r="CC26" s="33">
        <f>'8_COSTES_OPEX'!CC10</f>
        <v>29775.343333333334</v>
      </c>
      <c r="CD26" s="33">
        <f>'8_COSTES_OPEX'!CD10</f>
        <v>29775.343333333334</v>
      </c>
      <c r="CE26" s="33">
        <f>'8_COSTES_OPEX'!CE10</f>
        <v>29775.343333333334</v>
      </c>
      <c r="CF26" s="33">
        <f>'8_COSTES_OPEX'!CF10</f>
        <v>29775.343333333334</v>
      </c>
      <c r="CG26" s="33">
        <f>'8_COSTES_OPEX'!CG10</f>
        <v>29775.343333333334</v>
      </c>
      <c r="CH26" s="33">
        <f>'8_COSTES_OPEX'!CH10</f>
        <v>29775.343333333334</v>
      </c>
      <c r="CI26" s="33">
        <f>'8_COSTES_OPEX'!CI10</f>
        <v>29775.343333333334</v>
      </c>
    </row>
    <row r="27" spans="1:87" ht="16.5">
      <c r="A27" s="6" t="s">
        <v>613</v>
      </c>
      <c r="B27" s="30" t="s">
        <v>465</v>
      </c>
      <c r="C27" s="17" t="s">
        <v>753</v>
      </c>
      <c r="D27" s="33">
        <f>'8_COSTES_OPEX'!D11</f>
        <v>2160</v>
      </c>
      <c r="E27" s="33">
        <f>'8_COSTES_OPEX'!E11</f>
        <v>2160</v>
      </c>
      <c r="F27" s="33">
        <f>'8_COSTES_OPEX'!F11</f>
        <v>2160</v>
      </c>
      <c r="G27" s="33">
        <f>'8_COSTES_OPEX'!G11</f>
        <v>2160</v>
      </c>
      <c r="H27" s="33">
        <f>'8_COSTES_OPEX'!H11</f>
        <v>2160</v>
      </c>
      <c r="I27" s="33">
        <f>'8_COSTES_OPEX'!I11</f>
        <v>2160</v>
      </c>
      <c r="J27" s="33">
        <f>'8_COSTES_OPEX'!J11</f>
        <v>2160</v>
      </c>
      <c r="K27" s="33">
        <f>'8_COSTES_OPEX'!K11</f>
        <v>2160</v>
      </c>
      <c r="L27" s="33">
        <f>'8_COSTES_OPEX'!L11</f>
        <v>2160</v>
      </c>
      <c r="M27" s="33">
        <f>'8_COSTES_OPEX'!M11</f>
        <v>2160</v>
      </c>
      <c r="N27" s="33">
        <f>'8_COSTES_OPEX'!N11</f>
        <v>2160</v>
      </c>
      <c r="O27" s="33">
        <f>'8_COSTES_OPEX'!O11</f>
        <v>2160</v>
      </c>
      <c r="P27" s="33">
        <f>'8_COSTES_OPEX'!P11</f>
        <v>2160</v>
      </c>
      <c r="Q27" s="33">
        <f>'8_COSTES_OPEX'!Q11</f>
        <v>2160</v>
      </c>
      <c r="R27" s="33">
        <f>'8_COSTES_OPEX'!R11</f>
        <v>2160</v>
      </c>
      <c r="S27" s="33">
        <f>'8_COSTES_OPEX'!S11</f>
        <v>2160</v>
      </c>
      <c r="T27" s="33">
        <f>'8_COSTES_OPEX'!T11</f>
        <v>2160</v>
      </c>
      <c r="U27" s="33">
        <f>'8_COSTES_OPEX'!U11</f>
        <v>2160</v>
      </c>
      <c r="V27" s="33">
        <f>'8_COSTES_OPEX'!V11</f>
        <v>2160</v>
      </c>
      <c r="W27" s="33">
        <f>'8_COSTES_OPEX'!W11</f>
        <v>2160</v>
      </c>
      <c r="X27" s="33">
        <f>'8_COSTES_OPEX'!X11</f>
        <v>2160</v>
      </c>
      <c r="Y27" s="33">
        <f>'8_COSTES_OPEX'!Y11</f>
        <v>2160</v>
      </c>
      <c r="Z27" s="33">
        <f>'8_COSTES_OPEX'!Z11</f>
        <v>2160</v>
      </c>
      <c r="AA27" s="33">
        <f>'8_COSTES_OPEX'!AA11</f>
        <v>2160</v>
      </c>
      <c r="AB27" s="33">
        <f>'8_COSTES_OPEX'!AB11</f>
        <v>2160</v>
      </c>
      <c r="AC27" s="33">
        <f>'8_COSTES_OPEX'!AC11</f>
        <v>2160</v>
      </c>
      <c r="AD27" s="33">
        <f>'8_COSTES_OPEX'!AD11</f>
        <v>2160</v>
      </c>
      <c r="AE27" s="33">
        <f>'8_COSTES_OPEX'!AE11</f>
        <v>2160</v>
      </c>
      <c r="AF27" s="33">
        <f>'8_COSTES_OPEX'!AF11</f>
        <v>2160</v>
      </c>
      <c r="AG27" s="33">
        <f>'8_COSTES_OPEX'!AG11</f>
        <v>2160</v>
      </c>
      <c r="AH27" s="33">
        <f>'8_COSTES_OPEX'!AH11</f>
        <v>2160</v>
      </c>
      <c r="AI27" s="33">
        <f>'8_COSTES_OPEX'!AI11</f>
        <v>2160</v>
      </c>
      <c r="AJ27" s="33">
        <f>'8_COSTES_OPEX'!AJ11</f>
        <v>2160</v>
      </c>
      <c r="AK27" s="33">
        <f>'8_COSTES_OPEX'!AK11</f>
        <v>2160</v>
      </c>
      <c r="AL27" s="33">
        <f>'8_COSTES_OPEX'!AL11</f>
        <v>2160</v>
      </c>
      <c r="AM27" s="33">
        <f>'8_COSTES_OPEX'!AM11</f>
        <v>2160</v>
      </c>
      <c r="AN27" s="33">
        <f>'8_COSTES_OPEX'!AN11</f>
        <v>2160</v>
      </c>
      <c r="AO27" s="33">
        <f>'8_COSTES_OPEX'!AO11</f>
        <v>2160</v>
      </c>
      <c r="AP27" s="33">
        <f>'8_COSTES_OPEX'!AP11</f>
        <v>2160</v>
      </c>
      <c r="AQ27" s="33">
        <f>'8_COSTES_OPEX'!AQ11</f>
        <v>2160</v>
      </c>
      <c r="AR27" s="33">
        <f>'8_COSTES_OPEX'!AR11</f>
        <v>2160</v>
      </c>
      <c r="AS27" s="33">
        <f>'8_COSTES_OPEX'!AS11</f>
        <v>2160</v>
      </c>
      <c r="AT27" s="33">
        <f>'8_COSTES_OPEX'!AT11</f>
        <v>2160</v>
      </c>
      <c r="AU27" s="33">
        <f>'8_COSTES_OPEX'!AU11</f>
        <v>2160</v>
      </c>
      <c r="AV27" s="33">
        <f>'8_COSTES_OPEX'!AV11</f>
        <v>2160</v>
      </c>
      <c r="AW27" s="33">
        <f>'8_COSTES_OPEX'!AW11</f>
        <v>2160</v>
      </c>
      <c r="AX27" s="33">
        <f>'8_COSTES_OPEX'!AX11</f>
        <v>2160</v>
      </c>
      <c r="AY27" s="33">
        <f>'8_COSTES_OPEX'!AY11</f>
        <v>2160</v>
      </c>
      <c r="AZ27" s="33">
        <f>'8_COSTES_OPEX'!AZ11</f>
        <v>2160</v>
      </c>
      <c r="BA27" s="33">
        <f>'8_COSTES_OPEX'!BA11</f>
        <v>2160</v>
      </c>
      <c r="BB27" s="33">
        <f>'8_COSTES_OPEX'!BB11</f>
        <v>2160</v>
      </c>
      <c r="BC27" s="33">
        <f>'8_COSTES_OPEX'!BC11</f>
        <v>2160</v>
      </c>
      <c r="BD27" s="33">
        <f>'8_COSTES_OPEX'!BD11</f>
        <v>2160</v>
      </c>
      <c r="BE27" s="33">
        <f>'8_COSTES_OPEX'!BE11</f>
        <v>2160</v>
      </c>
      <c r="BF27" s="33">
        <f>'8_COSTES_OPEX'!BF11</f>
        <v>2160</v>
      </c>
      <c r="BG27" s="33">
        <f>'8_COSTES_OPEX'!BG11</f>
        <v>2160</v>
      </c>
      <c r="BH27" s="33">
        <f>'8_COSTES_OPEX'!BH11</f>
        <v>2160</v>
      </c>
      <c r="BI27" s="33">
        <f>'8_COSTES_OPEX'!BI11</f>
        <v>2160</v>
      </c>
      <c r="BJ27" s="33">
        <f>'8_COSTES_OPEX'!BJ11</f>
        <v>2160</v>
      </c>
      <c r="BK27" s="33">
        <f>'8_COSTES_OPEX'!BK11</f>
        <v>2160</v>
      </c>
      <c r="BL27" s="33">
        <f>'8_COSTES_OPEX'!BL11</f>
        <v>2160</v>
      </c>
      <c r="BM27" s="33">
        <f>'8_COSTES_OPEX'!BM11</f>
        <v>2160</v>
      </c>
      <c r="BN27" s="33">
        <f>'8_COSTES_OPEX'!BN11</f>
        <v>2160</v>
      </c>
      <c r="BO27" s="33">
        <f>'8_COSTES_OPEX'!BO11</f>
        <v>2160</v>
      </c>
      <c r="BP27" s="33">
        <f>'8_COSTES_OPEX'!BP11</f>
        <v>2160</v>
      </c>
      <c r="BQ27" s="33">
        <f>'8_COSTES_OPEX'!BQ11</f>
        <v>2160</v>
      </c>
      <c r="BR27" s="33">
        <f>'8_COSTES_OPEX'!BR11</f>
        <v>2160</v>
      </c>
      <c r="BS27" s="33">
        <f>'8_COSTES_OPEX'!BS11</f>
        <v>2160</v>
      </c>
      <c r="BT27" s="33">
        <f>'8_COSTES_OPEX'!BT11</f>
        <v>2160</v>
      </c>
      <c r="BU27" s="33">
        <f>'8_COSTES_OPEX'!BU11</f>
        <v>2160</v>
      </c>
      <c r="BV27" s="33">
        <f>'8_COSTES_OPEX'!BV11</f>
        <v>2160</v>
      </c>
      <c r="BW27" s="33">
        <f>'8_COSTES_OPEX'!BW11</f>
        <v>2160</v>
      </c>
      <c r="BX27" s="33">
        <f>'8_COSTES_OPEX'!BX11</f>
        <v>2160</v>
      </c>
      <c r="BY27" s="33">
        <f>'8_COSTES_OPEX'!BY11</f>
        <v>2160</v>
      </c>
      <c r="BZ27" s="33">
        <f>'8_COSTES_OPEX'!BZ11</f>
        <v>2160</v>
      </c>
      <c r="CA27" s="33">
        <f>'8_COSTES_OPEX'!CA11</f>
        <v>2160</v>
      </c>
      <c r="CB27" s="33">
        <f>'8_COSTES_OPEX'!CB11</f>
        <v>2160</v>
      </c>
      <c r="CC27" s="33">
        <f>'8_COSTES_OPEX'!CC11</f>
        <v>2160</v>
      </c>
      <c r="CD27" s="33">
        <f>'8_COSTES_OPEX'!CD11</f>
        <v>2160</v>
      </c>
      <c r="CE27" s="33">
        <f>'8_COSTES_OPEX'!CE11</f>
        <v>2160</v>
      </c>
      <c r="CF27" s="33">
        <f>'8_COSTES_OPEX'!CF11</f>
        <v>2160</v>
      </c>
      <c r="CG27" s="33">
        <f>'8_COSTES_OPEX'!CG11</f>
        <v>2160</v>
      </c>
      <c r="CH27" s="33">
        <f>'8_COSTES_OPEX'!CH11</f>
        <v>2160</v>
      </c>
      <c r="CI27" s="33">
        <f>'8_COSTES_OPEX'!CI11</f>
        <v>2160</v>
      </c>
    </row>
    <row r="28" spans="1:87" ht="16.5">
      <c r="A28" s="6" t="s">
        <v>754</v>
      </c>
      <c r="B28" s="30" t="s">
        <v>465</v>
      </c>
      <c r="C28" s="17" t="s">
        <v>755</v>
      </c>
      <c r="D28" s="33">
        <f>SUM('8_COSTES_OPEX'!D12:D19)+'8_COSTES_OPEX'!D35</f>
        <v>1722.8600000000001</v>
      </c>
      <c r="E28" s="33">
        <f>SUM('8_COSTES_OPEX'!E12:E19)+'8_COSTES_OPEX'!E35</f>
        <v>1722.8600000000001</v>
      </c>
      <c r="F28" s="33">
        <f>SUM('8_COSTES_OPEX'!F12:F19)+'8_COSTES_OPEX'!F35</f>
        <v>1722.8600000000001</v>
      </c>
      <c r="G28" s="33">
        <f>SUM('8_COSTES_OPEX'!G12:G19)+'8_COSTES_OPEX'!G35</f>
        <v>1722.8600000000001</v>
      </c>
      <c r="H28" s="33">
        <f>SUM('8_COSTES_OPEX'!H12:H19)+'8_COSTES_OPEX'!H35</f>
        <v>1722.8600000000001</v>
      </c>
      <c r="I28" s="33">
        <f>SUM('8_COSTES_OPEX'!I12:I19)+'8_COSTES_OPEX'!I35</f>
        <v>1722.8600000000001</v>
      </c>
      <c r="J28" s="33">
        <f>SUM('8_COSTES_OPEX'!J12:J19)+'8_COSTES_OPEX'!J35</f>
        <v>1722.8600000000001</v>
      </c>
      <c r="K28" s="33">
        <f>SUM('8_COSTES_OPEX'!K12:K19)+'8_COSTES_OPEX'!K35</f>
        <v>1722.8600000000001</v>
      </c>
      <c r="L28" s="33">
        <f>SUM('8_COSTES_OPEX'!L12:L19)+'8_COSTES_OPEX'!L35</f>
        <v>1722.8600000000001</v>
      </c>
      <c r="M28" s="33">
        <f>SUM('8_COSTES_OPEX'!M12:M19)+'8_COSTES_OPEX'!M35</f>
        <v>1722.8600000000001</v>
      </c>
      <c r="N28" s="33">
        <f>SUM('8_COSTES_OPEX'!N12:N19)+'8_COSTES_OPEX'!N35</f>
        <v>1722.8600000000001</v>
      </c>
      <c r="O28" s="33">
        <f>SUM('8_COSTES_OPEX'!O12:O19)+'8_COSTES_OPEX'!O35</f>
        <v>1722.8600000000001</v>
      </c>
      <c r="P28" s="33">
        <f>SUM('8_COSTES_OPEX'!P12:P19)+'8_COSTES_OPEX'!P35</f>
        <v>1722.8600000000001</v>
      </c>
      <c r="Q28" s="33">
        <f>SUM('8_COSTES_OPEX'!Q12:Q19)+'8_COSTES_OPEX'!Q35</f>
        <v>1722.8600000000001</v>
      </c>
      <c r="R28" s="33">
        <f>SUM('8_COSTES_OPEX'!R12:R19)+'8_COSTES_OPEX'!R35</f>
        <v>1722.8600000000001</v>
      </c>
      <c r="S28" s="33">
        <f>SUM('8_COSTES_OPEX'!S12:S19)+'8_COSTES_OPEX'!S35</f>
        <v>1722.8600000000001</v>
      </c>
      <c r="T28" s="33">
        <f>SUM('8_COSTES_OPEX'!T12:T19)+'8_COSTES_OPEX'!T35</f>
        <v>1722.8600000000001</v>
      </c>
      <c r="U28" s="33">
        <f>SUM('8_COSTES_OPEX'!U12:U19)+'8_COSTES_OPEX'!U35</f>
        <v>1722.8600000000001</v>
      </c>
      <c r="V28" s="33">
        <f>SUM('8_COSTES_OPEX'!V12:V19)+'8_COSTES_OPEX'!V35</f>
        <v>1722.8600000000001</v>
      </c>
      <c r="W28" s="33">
        <f>SUM('8_COSTES_OPEX'!W12:W19)+'8_COSTES_OPEX'!W35</f>
        <v>1722.8600000000001</v>
      </c>
      <c r="X28" s="33">
        <f>SUM('8_COSTES_OPEX'!X12:X19)+'8_COSTES_OPEX'!X35</f>
        <v>1722.8600000000001</v>
      </c>
      <c r="Y28" s="33">
        <f>SUM('8_COSTES_OPEX'!Y12:Y19)+'8_COSTES_OPEX'!Y35</f>
        <v>1722.8600000000001</v>
      </c>
      <c r="Z28" s="33">
        <f>SUM('8_COSTES_OPEX'!Z12:Z19)+'8_COSTES_OPEX'!Z35</f>
        <v>1722.8600000000001</v>
      </c>
      <c r="AA28" s="33">
        <f>SUM('8_COSTES_OPEX'!AA12:AA19)+'8_COSTES_OPEX'!AA35</f>
        <v>1722.8600000000001</v>
      </c>
      <c r="AB28" s="33">
        <f>SUM('8_COSTES_OPEX'!AB12:AB19)+'8_COSTES_OPEX'!AB35</f>
        <v>1722.8600000000001</v>
      </c>
      <c r="AC28" s="33">
        <f>SUM('8_COSTES_OPEX'!AC12:AC19)+'8_COSTES_OPEX'!AC35</f>
        <v>1722.8600000000001</v>
      </c>
      <c r="AD28" s="33">
        <f>SUM('8_COSTES_OPEX'!AD12:AD19)+'8_COSTES_OPEX'!AD35</f>
        <v>1722.8600000000001</v>
      </c>
      <c r="AE28" s="33">
        <f>SUM('8_COSTES_OPEX'!AE12:AE19)+'8_COSTES_OPEX'!AE35</f>
        <v>1722.8600000000001</v>
      </c>
      <c r="AF28" s="33">
        <f>SUM('8_COSTES_OPEX'!AF12:AF19)+'8_COSTES_OPEX'!AF35</f>
        <v>1722.8600000000001</v>
      </c>
      <c r="AG28" s="33">
        <f>SUM('8_COSTES_OPEX'!AG12:AG19)+'8_COSTES_OPEX'!AG35</f>
        <v>1722.8600000000001</v>
      </c>
      <c r="AH28" s="33">
        <f>SUM('8_COSTES_OPEX'!AH12:AH19)+'8_COSTES_OPEX'!AH35</f>
        <v>1722.8600000000001</v>
      </c>
      <c r="AI28" s="33">
        <f>SUM('8_COSTES_OPEX'!AI12:AI19)+'8_COSTES_OPEX'!AI35</f>
        <v>1722.8600000000001</v>
      </c>
      <c r="AJ28" s="33">
        <f>SUM('8_COSTES_OPEX'!AJ12:AJ19)+'8_COSTES_OPEX'!AJ35</f>
        <v>1722.8600000000001</v>
      </c>
      <c r="AK28" s="33">
        <f>SUM('8_COSTES_OPEX'!AK12:AK19)+'8_COSTES_OPEX'!AK35</f>
        <v>1722.8600000000001</v>
      </c>
      <c r="AL28" s="33">
        <f>SUM('8_COSTES_OPEX'!AL12:AL19)+'8_COSTES_OPEX'!AL35</f>
        <v>1722.8600000000001</v>
      </c>
      <c r="AM28" s="33">
        <f>SUM('8_COSTES_OPEX'!AM12:AM19)+'8_COSTES_OPEX'!AM35</f>
        <v>1722.8600000000001</v>
      </c>
      <c r="AN28" s="33">
        <f>SUM('8_COSTES_OPEX'!AN12:AN19)+'8_COSTES_OPEX'!AN35</f>
        <v>1722.8600000000001</v>
      </c>
      <c r="AO28" s="33">
        <f>SUM('8_COSTES_OPEX'!AO12:AO19)+'8_COSTES_OPEX'!AO35</f>
        <v>1722.8600000000001</v>
      </c>
      <c r="AP28" s="33">
        <f>SUM('8_COSTES_OPEX'!AP12:AP19)+'8_COSTES_OPEX'!AP35</f>
        <v>1722.8600000000001</v>
      </c>
      <c r="AQ28" s="33">
        <f>SUM('8_COSTES_OPEX'!AQ12:AQ19)+'8_COSTES_OPEX'!AQ35</f>
        <v>1722.8600000000001</v>
      </c>
      <c r="AR28" s="33">
        <f>SUM('8_COSTES_OPEX'!AR12:AR19)+'8_COSTES_OPEX'!AR35</f>
        <v>1722.8600000000001</v>
      </c>
      <c r="AS28" s="33">
        <f>SUM('8_COSTES_OPEX'!AS12:AS19)+'8_COSTES_OPEX'!AS35</f>
        <v>1722.8600000000001</v>
      </c>
      <c r="AT28" s="33">
        <f>SUM('8_COSTES_OPEX'!AT12:AT19)+'8_COSTES_OPEX'!AT35</f>
        <v>1722.8600000000001</v>
      </c>
      <c r="AU28" s="33">
        <f>SUM('8_COSTES_OPEX'!AU12:AU19)+'8_COSTES_OPEX'!AU35</f>
        <v>1722.8600000000001</v>
      </c>
      <c r="AV28" s="33">
        <f>SUM('8_COSTES_OPEX'!AV12:AV19)+'8_COSTES_OPEX'!AV35</f>
        <v>1722.8600000000001</v>
      </c>
      <c r="AW28" s="33">
        <f>SUM('8_COSTES_OPEX'!AW12:AW19)+'8_COSTES_OPEX'!AW35</f>
        <v>1722.8600000000001</v>
      </c>
      <c r="AX28" s="33">
        <f>SUM('8_COSTES_OPEX'!AX12:AX19)+'8_COSTES_OPEX'!AX35</f>
        <v>1722.8600000000001</v>
      </c>
      <c r="AY28" s="33">
        <f>SUM('8_COSTES_OPEX'!AY12:AY19)+'8_COSTES_OPEX'!AY35</f>
        <v>1722.8600000000001</v>
      </c>
      <c r="AZ28" s="33">
        <f>SUM('8_COSTES_OPEX'!AZ12:AZ19)+'8_COSTES_OPEX'!AZ35</f>
        <v>1722.8600000000001</v>
      </c>
      <c r="BA28" s="33">
        <f>SUM('8_COSTES_OPEX'!BA12:BA19)+'8_COSTES_OPEX'!BA35</f>
        <v>1722.8600000000001</v>
      </c>
      <c r="BB28" s="33">
        <f>SUM('8_COSTES_OPEX'!BB12:BB19)+'8_COSTES_OPEX'!BB35</f>
        <v>1722.8600000000001</v>
      </c>
      <c r="BC28" s="33">
        <f>SUM('8_COSTES_OPEX'!BC12:BC19)+'8_COSTES_OPEX'!BC35</f>
        <v>1722.8600000000001</v>
      </c>
      <c r="BD28" s="33">
        <f>SUM('8_COSTES_OPEX'!BD12:BD19)+'8_COSTES_OPEX'!BD35</f>
        <v>1722.8600000000001</v>
      </c>
      <c r="BE28" s="33">
        <f>SUM('8_COSTES_OPEX'!BE12:BE19)+'8_COSTES_OPEX'!BE35</f>
        <v>1722.8600000000001</v>
      </c>
      <c r="BF28" s="33">
        <f>SUM('8_COSTES_OPEX'!BF12:BF19)+'8_COSTES_OPEX'!BF35</f>
        <v>1722.8600000000001</v>
      </c>
      <c r="BG28" s="33">
        <f>SUM('8_COSTES_OPEX'!BG12:BG19)+'8_COSTES_OPEX'!BG35</f>
        <v>1722.8600000000001</v>
      </c>
      <c r="BH28" s="33">
        <f>SUM('8_COSTES_OPEX'!BH12:BH19)+'8_COSTES_OPEX'!BH35</f>
        <v>1722.8600000000001</v>
      </c>
      <c r="BI28" s="33">
        <f>SUM('8_COSTES_OPEX'!BI12:BI19)+'8_COSTES_OPEX'!BI35</f>
        <v>1722.8600000000001</v>
      </c>
      <c r="BJ28" s="33">
        <f>SUM('8_COSTES_OPEX'!BJ12:BJ19)+'8_COSTES_OPEX'!BJ35</f>
        <v>1722.8600000000001</v>
      </c>
      <c r="BK28" s="33">
        <f>SUM('8_COSTES_OPEX'!BK12:BK19)+'8_COSTES_OPEX'!BK35</f>
        <v>1722.8600000000001</v>
      </c>
      <c r="BL28" s="33">
        <f>SUM('8_COSTES_OPEX'!BL12:BL19)+'8_COSTES_OPEX'!BL35</f>
        <v>1722.8600000000001</v>
      </c>
      <c r="BM28" s="33">
        <f>SUM('8_COSTES_OPEX'!BM12:BM19)+'8_COSTES_OPEX'!BM35</f>
        <v>1722.8600000000001</v>
      </c>
      <c r="BN28" s="33">
        <f>SUM('8_COSTES_OPEX'!BN12:BN19)+'8_COSTES_OPEX'!BN35</f>
        <v>1722.8600000000001</v>
      </c>
      <c r="BO28" s="33">
        <f>SUM('8_COSTES_OPEX'!BO12:BO19)+'8_COSTES_OPEX'!BO35</f>
        <v>1722.8600000000001</v>
      </c>
      <c r="BP28" s="33">
        <f>SUM('8_COSTES_OPEX'!BP12:BP19)+'8_COSTES_OPEX'!BP35</f>
        <v>1722.8600000000001</v>
      </c>
      <c r="BQ28" s="33">
        <f>SUM('8_COSTES_OPEX'!BQ12:BQ19)+'8_COSTES_OPEX'!BQ35</f>
        <v>1722.8600000000001</v>
      </c>
      <c r="BR28" s="33">
        <f>SUM('8_COSTES_OPEX'!BR12:BR19)+'8_COSTES_OPEX'!BR35</f>
        <v>1722.8600000000001</v>
      </c>
      <c r="BS28" s="33">
        <f>SUM('8_COSTES_OPEX'!BS12:BS19)+'8_COSTES_OPEX'!BS35</f>
        <v>1722.8600000000001</v>
      </c>
      <c r="BT28" s="33">
        <f>SUM('8_COSTES_OPEX'!BT12:BT19)+'8_COSTES_OPEX'!BT35</f>
        <v>1722.8600000000001</v>
      </c>
      <c r="BU28" s="33">
        <f>SUM('8_COSTES_OPEX'!BU12:BU19)+'8_COSTES_OPEX'!BU35</f>
        <v>1722.8600000000001</v>
      </c>
      <c r="BV28" s="33">
        <f>SUM('8_COSTES_OPEX'!BV12:BV19)+'8_COSTES_OPEX'!BV35</f>
        <v>1722.8600000000001</v>
      </c>
      <c r="BW28" s="33">
        <f>SUM('8_COSTES_OPEX'!BW12:BW19)+'8_COSTES_OPEX'!BW35</f>
        <v>1722.8600000000001</v>
      </c>
      <c r="BX28" s="33">
        <f>SUM('8_COSTES_OPEX'!BX12:BX19)+'8_COSTES_OPEX'!BX35</f>
        <v>1722.8600000000001</v>
      </c>
      <c r="BY28" s="33">
        <f>SUM('8_COSTES_OPEX'!BY12:BY19)+'8_COSTES_OPEX'!BY35</f>
        <v>1722.8600000000001</v>
      </c>
      <c r="BZ28" s="33">
        <f>SUM('8_COSTES_OPEX'!BZ12:BZ19)+'8_COSTES_OPEX'!BZ35</f>
        <v>1722.8600000000001</v>
      </c>
      <c r="CA28" s="33">
        <f>SUM('8_COSTES_OPEX'!CA12:CA19)+'8_COSTES_OPEX'!CA35</f>
        <v>1722.8600000000001</v>
      </c>
      <c r="CB28" s="33">
        <f>SUM('8_COSTES_OPEX'!CB12:CB19)+'8_COSTES_OPEX'!CB35</f>
        <v>1722.8600000000001</v>
      </c>
      <c r="CC28" s="33">
        <f>SUM('8_COSTES_OPEX'!CC12:CC19)+'8_COSTES_OPEX'!CC35</f>
        <v>1722.8600000000001</v>
      </c>
      <c r="CD28" s="33">
        <f>SUM('8_COSTES_OPEX'!CD12:CD19)+'8_COSTES_OPEX'!CD35</f>
        <v>1722.8600000000001</v>
      </c>
      <c r="CE28" s="33">
        <f>SUM('8_COSTES_OPEX'!CE12:CE19)+'8_COSTES_OPEX'!CE35</f>
        <v>1722.8600000000001</v>
      </c>
      <c r="CF28" s="33">
        <f>SUM('8_COSTES_OPEX'!CF12:CF19)+'8_COSTES_OPEX'!CF35</f>
        <v>1722.8600000000001</v>
      </c>
      <c r="CG28" s="33">
        <f>SUM('8_COSTES_OPEX'!CG12:CG19)+'8_COSTES_OPEX'!CG35</f>
        <v>1722.8600000000001</v>
      </c>
      <c r="CH28" s="33">
        <f>SUM('8_COSTES_OPEX'!CH12:CH19)+'8_COSTES_OPEX'!CH35</f>
        <v>1722.8600000000001</v>
      </c>
      <c r="CI28" s="33">
        <f>SUM('8_COSTES_OPEX'!CI12:CI19)+'8_COSTES_OPEX'!CI35</f>
        <v>1722.8600000000001</v>
      </c>
    </row>
    <row r="29" spans="1:87" ht="16.5">
      <c r="A29" s="6" t="s">
        <v>631</v>
      </c>
      <c r="B29" s="30" t="s">
        <v>465</v>
      </c>
      <c r="C29" s="17" t="s">
        <v>756</v>
      </c>
      <c r="D29" s="33">
        <f>'8_COSTES_OPEX'!D20</f>
        <v>2955</v>
      </c>
      <c r="E29" s="33">
        <f>'8_COSTES_OPEX'!E20</f>
        <v>2955</v>
      </c>
      <c r="F29" s="33">
        <f>'8_COSTES_OPEX'!F20</f>
        <v>2955</v>
      </c>
      <c r="G29" s="33">
        <f>'8_COSTES_OPEX'!G20</f>
        <v>2955</v>
      </c>
      <c r="H29" s="33">
        <f>'8_COSTES_OPEX'!H20</f>
        <v>2955</v>
      </c>
      <c r="I29" s="33">
        <f>'8_COSTES_OPEX'!I20</f>
        <v>2955</v>
      </c>
      <c r="J29" s="33">
        <f>'8_COSTES_OPEX'!J20</f>
        <v>2955</v>
      </c>
      <c r="K29" s="33">
        <f>'8_COSTES_OPEX'!K20</f>
        <v>2955</v>
      </c>
      <c r="L29" s="33">
        <f>'8_COSTES_OPEX'!L20</f>
        <v>2955</v>
      </c>
      <c r="M29" s="33">
        <f>'8_COSTES_OPEX'!M20</f>
        <v>2955</v>
      </c>
      <c r="N29" s="33">
        <f>'8_COSTES_OPEX'!N20</f>
        <v>2955</v>
      </c>
      <c r="O29" s="33">
        <f>'8_COSTES_OPEX'!O20</f>
        <v>2955</v>
      </c>
      <c r="P29" s="33">
        <f>'8_COSTES_OPEX'!P20</f>
        <v>2955</v>
      </c>
      <c r="Q29" s="33">
        <f>'8_COSTES_OPEX'!Q20</f>
        <v>2955</v>
      </c>
      <c r="R29" s="33">
        <f>'8_COSTES_OPEX'!R20</f>
        <v>2955</v>
      </c>
      <c r="S29" s="33">
        <f>'8_COSTES_OPEX'!S20</f>
        <v>2955</v>
      </c>
      <c r="T29" s="33">
        <f>'8_COSTES_OPEX'!T20</f>
        <v>2955</v>
      </c>
      <c r="U29" s="33">
        <f>'8_COSTES_OPEX'!U20</f>
        <v>2955</v>
      </c>
      <c r="V29" s="33">
        <f>'8_COSTES_OPEX'!V20</f>
        <v>2955</v>
      </c>
      <c r="W29" s="33">
        <f>'8_COSTES_OPEX'!W20</f>
        <v>2955</v>
      </c>
      <c r="X29" s="33">
        <f>'8_COSTES_OPEX'!X20</f>
        <v>2955</v>
      </c>
      <c r="Y29" s="33">
        <f>'8_COSTES_OPEX'!Y20</f>
        <v>2955</v>
      </c>
      <c r="Z29" s="33">
        <f>'8_COSTES_OPEX'!Z20</f>
        <v>2955</v>
      </c>
      <c r="AA29" s="33">
        <f>'8_COSTES_OPEX'!AA20</f>
        <v>2955</v>
      </c>
      <c r="AB29" s="33">
        <f>'8_COSTES_OPEX'!AB20</f>
        <v>2955</v>
      </c>
      <c r="AC29" s="33">
        <f>'8_COSTES_OPEX'!AC20</f>
        <v>2955</v>
      </c>
      <c r="AD29" s="33">
        <f>'8_COSTES_OPEX'!AD20</f>
        <v>2955</v>
      </c>
      <c r="AE29" s="33">
        <f>'8_COSTES_OPEX'!AE20</f>
        <v>2955</v>
      </c>
      <c r="AF29" s="33">
        <f>'8_COSTES_OPEX'!AF20</f>
        <v>2955</v>
      </c>
      <c r="AG29" s="33">
        <f>'8_COSTES_OPEX'!AG20</f>
        <v>2955</v>
      </c>
      <c r="AH29" s="33">
        <f>'8_COSTES_OPEX'!AH20</f>
        <v>2955</v>
      </c>
      <c r="AI29" s="33">
        <f>'8_COSTES_OPEX'!AI20</f>
        <v>2955</v>
      </c>
      <c r="AJ29" s="33">
        <f>'8_COSTES_OPEX'!AJ20</f>
        <v>2955</v>
      </c>
      <c r="AK29" s="33">
        <f>'8_COSTES_OPEX'!AK20</f>
        <v>2955</v>
      </c>
      <c r="AL29" s="33">
        <f>'8_COSTES_OPEX'!AL20</f>
        <v>2955</v>
      </c>
      <c r="AM29" s="33">
        <f>'8_COSTES_OPEX'!AM20</f>
        <v>2955</v>
      </c>
      <c r="AN29" s="33">
        <f>'8_COSTES_OPEX'!AN20</f>
        <v>2955</v>
      </c>
      <c r="AO29" s="33">
        <f>'8_COSTES_OPEX'!AO20</f>
        <v>2955</v>
      </c>
      <c r="AP29" s="33">
        <f>'8_COSTES_OPEX'!AP20</f>
        <v>2955</v>
      </c>
      <c r="AQ29" s="33">
        <f>'8_COSTES_OPEX'!AQ20</f>
        <v>2955</v>
      </c>
      <c r="AR29" s="33">
        <f>'8_COSTES_OPEX'!AR20</f>
        <v>2955</v>
      </c>
      <c r="AS29" s="33">
        <f>'8_COSTES_OPEX'!AS20</f>
        <v>2955</v>
      </c>
      <c r="AT29" s="33">
        <f>'8_COSTES_OPEX'!AT20</f>
        <v>2955</v>
      </c>
      <c r="AU29" s="33">
        <f>'8_COSTES_OPEX'!AU20</f>
        <v>2955</v>
      </c>
      <c r="AV29" s="33">
        <f>'8_COSTES_OPEX'!AV20</f>
        <v>2955</v>
      </c>
      <c r="AW29" s="33">
        <f>'8_COSTES_OPEX'!AW20</f>
        <v>2955</v>
      </c>
      <c r="AX29" s="33">
        <f>'8_COSTES_OPEX'!AX20</f>
        <v>2955</v>
      </c>
      <c r="AY29" s="33">
        <f>'8_COSTES_OPEX'!AY20</f>
        <v>2955</v>
      </c>
      <c r="AZ29" s="33">
        <f>'8_COSTES_OPEX'!AZ20</f>
        <v>2955</v>
      </c>
      <c r="BA29" s="33">
        <f>'8_COSTES_OPEX'!BA20</f>
        <v>2955</v>
      </c>
      <c r="BB29" s="33">
        <f>'8_COSTES_OPEX'!BB20</f>
        <v>2955</v>
      </c>
      <c r="BC29" s="33">
        <f>'8_COSTES_OPEX'!BC20</f>
        <v>2955</v>
      </c>
      <c r="BD29" s="33">
        <f>'8_COSTES_OPEX'!BD20</f>
        <v>2955</v>
      </c>
      <c r="BE29" s="33">
        <f>'8_COSTES_OPEX'!BE20</f>
        <v>2955</v>
      </c>
      <c r="BF29" s="33">
        <f>'8_COSTES_OPEX'!BF20</f>
        <v>2955</v>
      </c>
      <c r="BG29" s="33">
        <f>'8_COSTES_OPEX'!BG20</f>
        <v>2955</v>
      </c>
      <c r="BH29" s="33">
        <f>'8_COSTES_OPEX'!BH20</f>
        <v>2955</v>
      </c>
      <c r="BI29" s="33">
        <f>'8_COSTES_OPEX'!BI20</f>
        <v>2955</v>
      </c>
      <c r="BJ29" s="33">
        <f>'8_COSTES_OPEX'!BJ20</f>
        <v>2955</v>
      </c>
      <c r="BK29" s="33">
        <f>'8_COSTES_OPEX'!BK20</f>
        <v>2955</v>
      </c>
      <c r="BL29" s="33">
        <f>'8_COSTES_OPEX'!BL20</f>
        <v>2955</v>
      </c>
      <c r="BM29" s="33">
        <f>'8_COSTES_OPEX'!BM20</f>
        <v>2955</v>
      </c>
      <c r="BN29" s="33">
        <f>'8_COSTES_OPEX'!BN20</f>
        <v>2955</v>
      </c>
      <c r="BO29" s="33">
        <f>'8_COSTES_OPEX'!BO20</f>
        <v>2955</v>
      </c>
      <c r="BP29" s="33">
        <f>'8_COSTES_OPEX'!BP20</f>
        <v>2955</v>
      </c>
      <c r="BQ29" s="33">
        <f>'8_COSTES_OPEX'!BQ20</f>
        <v>2955</v>
      </c>
      <c r="BR29" s="33">
        <f>'8_COSTES_OPEX'!BR20</f>
        <v>2955</v>
      </c>
      <c r="BS29" s="33">
        <f>'8_COSTES_OPEX'!BS20</f>
        <v>2955</v>
      </c>
      <c r="BT29" s="33">
        <f>'8_COSTES_OPEX'!BT20</f>
        <v>2955</v>
      </c>
      <c r="BU29" s="33">
        <f>'8_COSTES_OPEX'!BU20</f>
        <v>2955</v>
      </c>
      <c r="BV29" s="33">
        <f>'8_COSTES_OPEX'!BV20</f>
        <v>2955</v>
      </c>
      <c r="BW29" s="33">
        <f>'8_COSTES_OPEX'!BW20</f>
        <v>2955</v>
      </c>
      <c r="BX29" s="33">
        <f>'8_COSTES_OPEX'!BX20</f>
        <v>2955</v>
      </c>
      <c r="BY29" s="33">
        <f>'8_COSTES_OPEX'!BY20</f>
        <v>2955</v>
      </c>
      <c r="BZ29" s="33">
        <f>'8_COSTES_OPEX'!BZ20</f>
        <v>2955</v>
      </c>
      <c r="CA29" s="33">
        <f>'8_COSTES_OPEX'!CA20</f>
        <v>2955</v>
      </c>
      <c r="CB29" s="33">
        <f>'8_COSTES_OPEX'!CB20</f>
        <v>2955</v>
      </c>
      <c r="CC29" s="33">
        <f>'8_COSTES_OPEX'!CC20</f>
        <v>2955</v>
      </c>
      <c r="CD29" s="33">
        <f>'8_COSTES_OPEX'!CD20</f>
        <v>2955</v>
      </c>
      <c r="CE29" s="33">
        <f>'8_COSTES_OPEX'!CE20</f>
        <v>2955</v>
      </c>
      <c r="CF29" s="33">
        <f>'8_COSTES_OPEX'!CF20</f>
        <v>2955</v>
      </c>
      <c r="CG29" s="33">
        <f>'8_COSTES_OPEX'!CG20</f>
        <v>2955</v>
      </c>
      <c r="CH29" s="33">
        <f>'8_COSTES_OPEX'!CH20</f>
        <v>2955</v>
      </c>
      <c r="CI29" s="33">
        <f>'8_COSTES_OPEX'!CI20</f>
        <v>2955</v>
      </c>
    </row>
    <row r="30" spans="1:87" ht="16.5">
      <c r="A30" s="6" t="s">
        <v>757</v>
      </c>
      <c r="B30" s="30" t="s">
        <v>465</v>
      </c>
      <c r="C30" s="17" t="s">
        <v>758</v>
      </c>
      <c r="D30" s="33">
        <f>SUM('8_COSTES_OPEX'!D21:D24)</f>
        <v>1450.1</v>
      </c>
      <c r="E30" s="33">
        <f>SUM('8_COSTES_OPEX'!E21:E24)</f>
        <v>1450.1</v>
      </c>
      <c r="F30" s="33">
        <f>SUM('8_COSTES_OPEX'!F21:F24)</f>
        <v>1450.1</v>
      </c>
      <c r="G30" s="33">
        <f>SUM('8_COSTES_OPEX'!G21:G24)</f>
        <v>1450.1</v>
      </c>
      <c r="H30" s="33">
        <f>SUM('8_COSTES_OPEX'!H21:H24)</f>
        <v>1450.1</v>
      </c>
      <c r="I30" s="33">
        <f>SUM('8_COSTES_OPEX'!I21:I24)</f>
        <v>1450.1</v>
      </c>
      <c r="J30" s="33">
        <f>SUM('8_COSTES_OPEX'!J21:J24)</f>
        <v>1450.1</v>
      </c>
      <c r="K30" s="33">
        <f>SUM('8_COSTES_OPEX'!K21:K24)</f>
        <v>1450.1</v>
      </c>
      <c r="L30" s="33">
        <f>SUM('8_COSTES_OPEX'!L21:L24)</f>
        <v>1450.1</v>
      </c>
      <c r="M30" s="33">
        <f>SUM('8_COSTES_OPEX'!M21:M24)</f>
        <v>1450.1</v>
      </c>
      <c r="N30" s="33">
        <f>SUM('8_COSTES_OPEX'!N21:N24)</f>
        <v>1450.1</v>
      </c>
      <c r="O30" s="33">
        <f>SUM('8_COSTES_OPEX'!O21:O24)</f>
        <v>1450.1</v>
      </c>
      <c r="P30" s="33">
        <f>SUM('8_COSTES_OPEX'!P21:P24)</f>
        <v>1450.1</v>
      </c>
      <c r="Q30" s="33">
        <f>SUM('8_COSTES_OPEX'!Q21:Q24)</f>
        <v>1450.1</v>
      </c>
      <c r="R30" s="33">
        <f>SUM('8_COSTES_OPEX'!R21:R24)</f>
        <v>1450.1</v>
      </c>
      <c r="S30" s="33">
        <f>SUM('8_COSTES_OPEX'!S21:S24)</f>
        <v>1450.1</v>
      </c>
      <c r="T30" s="33">
        <f>SUM('8_COSTES_OPEX'!T21:T24)</f>
        <v>1450.1</v>
      </c>
      <c r="U30" s="33">
        <f>SUM('8_COSTES_OPEX'!U21:U24)</f>
        <v>1450.1</v>
      </c>
      <c r="V30" s="33">
        <f>SUM('8_COSTES_OPEX'!V21:V24)</f>
        <v>1450.1</v>
      </c>
      <c r="W30" s="33">
        <f>SUM('8_COSTES_OPEX'!W21:W24)</f>
        <v>1450.1</v>
      </c>
      <c r="X30" s="33">
        <f>SUM('8_COSTES_OPEX'!X21:X24)</f>
        <v>1450.1</v>
      </c>
      <c r="Y30" s="33">
        <f>SUM('8_COSTES_OPEX'!Y21:Y24)</f>
        <v>1450.1</v>
      </c>
      <c r="Z30" s="33">
        <f>SUM('8_COSTES_OPEX'!Z21:Z24)</f>
        <v>1450.1</v>
      </c>
      <c r="AA30" s="33">
        <f>SUM('8_COSTES_OPEX'!AA21:AA24)</f>
        <v>1450.1</v>
      </c>
      <c r="AB30" s="33">
        <f>SUM('8_COSTES_OPEX'!AB21:AB24)</f>
        <v>1450.1</v>
      </c>
      <c r="AC30" s="33">
        <f>SUM('8_COSTES_OPEX'!AC21:AC24)</f>
        <v>1450.1</v>
      </c>
      <c r="AD30" s="33">
        <f>SUM('8_COSTES_OPEX'!AD21:AD24)</f>
        <v>1450.1</v>
      </c>
      <c r="AE30" s="33">
        <f>SUM('8_COSTES_OPEX'!AE21:AE24)</f>
        <v>1450.1</v>
      </c>
      <c r="AF30" s="33">
        <f>SUM('8_COSTES_OPEX'!AF21:AF24)</f>
        <v>1450.1</v>
      </c>
      <c r="AG30" s="33">
        <f>SUM('8_COSTES_OPEX'!AG21:AG24)</f>
        <v>1450.1</v>
      </c>
      <c r="AH30" s="33">
        <f>SUM('8_COSTES_OPEX'!AH21:AH24)</f>
        <v>1450.1</v>
      </c>
      <c r="AI30" s="33">
        <f>SUM('8_COSTES_OPEX'!AI21:AI24)</f>
        <v>1450.1</v>
      </c>
      <c r="AJ30" s="33">
        <f>SUM('8_COSTES_OPEX'!AJ21:AJ24)</f>
        <v>1450.1</v>
      </c>
      <c r="AK30" s="33">
        <f>SUM('8_COSTES_OPEX'!AK21:AK24)</f>
        <v>1450.1</v>
      </c>
      <c r="AL30" s="33">
        <f>SUM('8_COSTES_OPEX'!AL21:AL24)</f>
        <v>1450.1</v>
      </c>
      <c r="AM30" s="33">
        <f>SUM('8_COSTES_OPEX'!AM21:AM24)</f>
        <v>1450.1</v>
      </c>
      <c r="AN30" s="33">
        <f>SUM('8_COSTES_OPEX'!AN21:AN24)</f>
        <v>1450.1</v>
      </c>
      <c r="AO30" s="33">
        <f>SUM('8_COSTES_OPEX'!AO21:AO24)</f>
        <v>1450.1</v>
      </c>
      <c r="AP30" s="33">
        <f>SUM('8_COSTES_OPEX'!AP21:AP24)</f>
        <v>1450.1</v>
      </c>
      <c r="AQ30" s="33">
        <f>SUM('8_COSTES_OPEX'!AQ21:AQ24)</f>
        <v>1450.1</v>
      </c>
      <c r="AR30" s="33">
        <f>SUM('8_COSTES_OPEX'!AR21:AR24)</f>
        <v>1450.1</v>
      </c>
      <c r="AS30" s="33">
        <f>SUM('8_COSTES_OPEX'!AS21:AS24)</f>
        <v>1450.1</v>
      </c>
      <c r="AT30" s="33">
        <f>SUM('8_COSTES_OPEX'!AT21:AT24)</f>
        <v>1450.1</v>
      </c>
      <c r="AU30" s="33">
        <f>SUM('8_COSTES_OPEX'!AU21:AU24)</f>
        <v>1450.1</v>
      </c>
      <c r="AV30" s="33">
        <f>SUM('8_COSTES_OPEX'!AV21:AV24)</f>
        <v>1450.1</v>
      </c>
      <c r="AW30" s="33">
        <f>SUM('8_COSTES_OPEX'!AW21:AW24)</f>
        <v>1450.1</v>
      </c>
      <c r="AX30" s="33">
        <f>SUM('8_COSTES_OPEX'!AX21:AX24)</f>
        <v>1450.1</v>
      </c>
      <c r="AY30" s="33">
        <f>SUM('8_COSTES_OPEX'!AY21:AY24)</f>
        <v>1450.1</v>
      </c>
      <c r="AZ30" s="33">
        <f>SUM('8_COSTES_OPEX'!AZ21:AZ24)</f>
        <v>1450.1</v>
      </c>
      <c r="BA30" s="33">
        <f>SUM('8_COSTES_OPEX'!BA21:BA24)</f>
        <v>1450.1</v>
      </c>
      <c r="BB30" s="33">
        <f>SUM('8_COSTES_OPEX'!BB21:BB24)</f>
        <v>1450.1</v>
      </c>
      <c r="BC30" s="33">
        <f>SUM('8_COSTES_OPEX'!BC21:BC24)</f>
        <v>1450.1</v>
      </c>
      <c r="BD30" s="33">
        <f>SUM('8_COSTES_OPEX'!BD21:BD24)</f>
        <v>1450.1</v>
      </c>
      <c r="BE30" s="33">
        <f>SUM('8_COSTES_OPEX'!BE21:BE24)</f>
        <v>1450.1</v>
      </c>
      <c r="BF30" s="33">
        <f>SUM('8_COSTES_OPEX'!BF21:BF24)</f>
        <v>1450.1</v>
      </c>
      <c r="BG30" s="33">
        <f>SUM('8_COSTES_OPEX'!BG21:BG24)</f>
        <v>1450.1</v>
      </c>
      <c r="BH30" s="33">
        <f>SUM('8_COSTES_OPEX'!BH21:BH24)</f>
        <v>1450.1</v>
      </c>
      <c r="BI30" s="33">
        <f>SUM('8_COSTES_OPEX'!BI21:BI24)</f>
        <v>1450.1</v>
      </c>
      <c r="BJ30" s="33">
        <f>SUM('8_COSTES_OPEX'!BJ21:BJ24)</f>
        <v>1450.1</v>
      </c>
      <c r="BK30" s="33">
        <f>SUM('8_COSTES_OPEX'!BK21:BK24)</f>
        <v>1450.1</v>
      </c>
      <c r="BL30" s="33">
        <f>SUM('8_COSTES_OPEX'!BL21:BL24)</f>
        <v>1450.1</v>
      </c>
      <c r="BM30" s="33">
        <f>SUM('8_COSTES_OPEX'!BM21:BM24)</f>
        <v>1450.1</v>
      </c>
      <c r="BN30" s="33">
        <f>SUM('8_COSTES_OPEX'!BN21:BN24)</f>
        <v>1450.1</v>
      </c>
      <c r="BO30" s="33">
        <f>SUM('8_COSTES_OPEX'!BO21:BO24)</f>
        <v>1450.1</v>
      </c>
      <c r="BP30" s="33">
        <f>SUM('8_COSTES_OPEX'!BP21:BP24)</f>
        <v>1450.1</v>
      </c>
      <c r="BQ30" s="33">
        <f>SUM('8_COSTES_OPEX'!BQ21:BQ24)</f>
        <v>1450.1</v>
      </c>
      <c r="BR30" s="33">
        <f>SUM('8_COSTES_OPEX'!BR21:BR24)</f>
        <v>1450.1</v>
      </c>
      <c r="BS30" s="33">
        <f>SUM('8_COSTES_OPEX'!BS21:BS24)</f>
        <v>1450.1</v>
      </c>
      <c r="BT30" s="33">
        <f>SUM('8_COSTES_OPEX'!BT21:BT24)</f>
        <v>1450.1</v>
      </c>
      <c r="BU30" s="33">
        <f>SUM('8_COSTES_OPEX'!BU21:BU24)</f>
        <v>1450.1</v>
      </c>
      <c r="BV30" s="33">
        <f>SUM('8_COSTES_OPEX'!BV21:BV24)</f>
        <v>1450.1</v>
      </c>
      <c r="BW30" s="33">
        <f>SUM('8_COSTES_OPEX'!BW21:BW24)</f>
        <v>1450.1</v>
      </c>
      <c r="BX30" s="33">
        <f>SUM('8_COSTES_OPEX'!BX21:BX24)</f>
        <v>1450.1</v>
      </c>
      <c r="BY30" s="33">
        <f>SUM('8_COSTES_OPEX'!BY21:BY24)</f>
        <v>1450.1</v>
      </c>
      <c r="BZ30" s="33">
        <f>SUM('8_COSTES_OPEX'!BZ21:BZ24)</f>
        <v>1450.1</v>
      </c>
      <c r="CA30" s="33">
        <f>SUM('8_COSTES_OPEX'!CA21:CA24)</f>
        <v>1450.1</v>
      </c>
      <c r="CB30" s="33">
        <f>SUM('8_COSTES_OPEX'!CB21:CB24)</f>
        <v>1450.1</v>
      </c>
      <c r="CC30" s="33">
        <f>SUM('8_COSTES_OPEX'!CC21:CC24)</f>
        <v>1450.1</v>
      </c>
      <c r="CD30" s="33">
        <f>SUM('8_COSTES_OPEX'!CD21:CD24)</f>
        <v>1450.1</v>
      </c>
      <c r="CE30" s="33">
        <f>SUM('8_COSTES_OPEX'!CE21:CE24)</f>
        <v>1450.1</v>
      </c>
      <c r="CF30" s="33">
        <f>SUM('8_COSTES_OPEX'!CF21:CF24)</f>
        <v>1450.1</v>
      </c>
      <c r="CG30" s="33">
        <f>SUM('8_COSTES_OPEX'!CG21:CG24)</f>
        <v>1450.1</v>
      </c>
      <c r="CH30" s="33">
        <f>SUM('8_COSTES_OPEX'!CH21:CH24)</f>
        <v>1450.1</v>
      </c>
      <c r="CI30" s="33">
        <f>SUM('8_COSTES_OPEX'!CI21:CI24)</f>
        <v>1450.1</v>
      </c>
    </row>
    <row r="31" spans="1:87" ht="16.5">
      <c r="A31" s="6" t="s">
        <v>759</v>
      </c>
      <c r="B31" s="30" t="s">
        <v>465</v>
      </c>
      <c r="C31" s="17" t="s">
        <v>760</v>
      </c>
      <c r="D31" s="33">
        <f>'8_COSTES_OPEX'!D25</f>
        <v>550</v>
      </c>
      <c r="E31" s="33">
        <f>'8_COSTES_OPEX'!E25</f>
        <v>550</v>
      </c>
      <c r="F31" s="33">
        <f>'8_COSTES_OPEX'!F25</f>
        <v>550</v>
      </c>
      <c r="G31" s="33">
        <f>'8_COSTES_OPEX'!G25</f>
        <v>550</v>
      </c>
      <c r="H31" s="33">
        <f>'8_COSTES_OPEX'!H25</f>
        <v>550</v>
      </c>
      <c r="I31" s="33">
        <f>'8_COSTES_OPEX'!I25</f>
        <v>550</v>
      </c>
      <c r="J31" s="33">
        <f>'8_COSTES_OPEX'!J25</f>
        <v>550</v>
      </c>
      <c r="K31" s="33">
        <f>'8_COSTES_OPEX'!K25</f>
        <v>550</v>
      </c>
      <c r="L31" s="33">
        <f>'8_COSTES_OPEX'!L25</f>
        <v>550</v>
      </c>
      <c r="M31" s="33">
        <f>'8_COSTES_OPEX'!M25</f>
        <v>550</v>
      </c>
      <c r="N31" s="33">
        <f>'8_COSTES_OPEX'!N25</f>
        <v>550</v>
      </c>
      <c r="O31" s="33">
        <f>'8_COSTES_OPEX'!O25</f>
        <v>550</v>
      </c>
      <c r="P31" s="33">
        <f>'8_COSTES_OPEX'!P25</f>
        <v>550</v>
      </c>
      <c r="Q31" s="33">
        <f>'8_COSTES_OPEX'!Q25</f>
        <v>550</v>
      </c>
      <c r="R31" s="33">
        <f>'8_COSTES_OPEX'!R25</f>
        <v>550</v>
      </c>
      <c r="S31" s="33">
        <f>'8_COSTES_OPEX'!S25</f>
        <v>550</v>
      </c>
      <c r="T31" s="33">
        <f>'8_COSTES_OPEX'!T25</f>
        <v>550</v>
      </c>
      <c r="U31" s="33">
        <f>'8_COSTES_OPEX'!U25</f>
        <v>550</v>
      </c>
      <c r="V31" s="33">
        <f>'8_COSTES_OPEX'!V25</f>
        <v>550</v>
      </c>
      <c r="W31" s="33">
        <f>'8_COSTES_OPEX'!W25</f>
        <v>550</v>
      </c>
      <c r="X31" s="33">
        <f>'8_COSTES_OPEX'!X25</f>
        <v>550</v>
      </c>
      <c r="Y31" s="33">
        <f>'8_COSTES_OPEX'!Y25</f>
        <v>550</v>
      </c>
      <c r="Z31" s="33">
        <f>'8_COSTES_OPEX'!Z25</f>
        <v>550</v>
      </c>
      <c r="AA31" s="33">
        <f>'8_COSTES_OPEX'!AA25</f>
        <v>550</v>
      </c>
      <c r="AB31" s="33">
        <f>'8_COSTES_OPEX'!AB25</f>
        <v>550</v>
      </c>
      <c r="AC31" s="33">
        <f>'8_COSTES_OPEX'!AC25</f>
        <v>550</v>
      </c>
      <c r="AD31" s="33">
        <f>'8_COSTES_OPEX'!AD25</f>
        <v>550</v>
      </c>
      <c r="AE31" s="33">
        <f>'8_COSTES_OPEX'!AE25</f>
        <v>550</v>
      </c>
      <c r="AF31" s="33">
        <f>'8_COSTES_OPEX'!AF25</f>
        <v>550</v>
      </c>
      <c r="AG31" s="33">
        <f>'8_COSTES_OPEX'!AG25</f>
        <v>550</v>
      </c>
      <c r="AH31" s="33">
        <f>'8_COSTES_OPEX'!AH25</f>
        <v>550</v>
      </c>
      <c r="AI31" s="33">
        <f>'8_COSTES_OPEX'!AI25</f>
        <v>550</v>
      </c>
      <c r="AJ31" s="33">
        <f>'8_COSTES_OPEX'!AJ25</f>
        <v>550</v>
      </c>
      <c r="AK31" s="33">
        <f>'8_COSTES_OPEX'!AK25</f>
        <v>550</v>
      </c>
      <c r="AL31" s="33">
        <f>'8_COSTES_OPEX'!AL25</f>
        <v>550</v>
      </c>
      <c r="AM31" s="33">
        <f>'8_COSTES_OPEX'!AM25</f>
        <v>550</v>
      </c>
      <c r="AN31" s="33">
        <f>'8_COSTES_OPEX'!AN25</f>
        <v>550</v>
      </c>
      <c r="AO31" s="33">
        <f>'8_COSTES_OPEX'!AO25</f>
        <v>550</v>
      </c>
      <c r="AP31" s="33">
        <f>'8_COSTES_OPEX'!AP25</f>
        <v>550</v>
      </c>
      <c r="AQ31" s="33">
        <f>'8_COSTES_OPEX'!AQ25</f>
        <v>550</v>
      </c>
      <c r="AR31" s="33">
        <f>'8_COSTES_OPEX'!AR25</f>
        <v>550</v>
      </c>
      <c r="AS31" s="33">
        <f>'8_COSTES_OPEX'!AS25</f>
        <v>550</v>
      </c>
      <c r="AT31" s="33">
        <f>'8_COSTES_OPEX'!AT25</f>
        <v>550</v>
      </c>
      <c r="AU31" s="33">
        <f>'8_COSTES_OPEX'!AU25</f>
        <v>550</v>
      </c>
      <c r="AV31" s="33">
        <f>'8_COSTES_OPEX'!AV25</f>
        <v>550</v>
      </c>
      <c r="AW31" s="33">
        <f>'8_COSTES_OPEX'!AW25</f>
        <v>550</v>
      </c>
      <c r="AX31" s="33">
        <f>'8_COSTES_OPEX'!AX25</f>
        <v>550</v>
      </c>
      <c r="AY31" s="33">
        <f>'8_COSTES_OPEX'!AY25</f>
        <v>550</v>
      </c>
      <c r="AZ31" s="33">
        <f>'8_COSTES_OPEX'!AZ25</f>
        <v>550</v>
      </c>
      <c r="BA31" s="33">
        <f>'8_COSTES_OPEX'!BA25</f>
        <v>550</v>
      </c>
      <c r="BB31" s="33">
        <f>'8_COSTES_OPEX'!BB25</f>
        <v>550</v>
      </c>
      <c r="BC31" s="33">
        <f>'8_COSTES_OPEX'!BC25</f>
        <v>550</v>
      </c>
      <c r="BD31" s="33">
        <f>'8_COSTES_OPEX'!BD25</f>
        <v>550</v>
      </c>
      <c r="BE31" s="33">
        <f>'8_COSTES_OPEX'!BE25</f>
        <v>550</v>
      </c>
      <c r="BF31" s="33">
        <f>'8_COSTES_OPEX'!BF25</f>
        <v>550</v>
      </c>
      <c r="BG31" s="33">
        <f>'8_COSTES_OPEX'!BG25</f>
        <v>550</v>
      </c>
      <c r="BH31" s="33">
        <f>'8_COSTES_OPEX'!BH25</f>
        <v>550</v>
      </c>
      <c r="BI31" s="33">
        <f>'8_COSTES_OPEX'!BI25</f>
        <v>550</v>
      </c>
      <c r="BJ31" s="33">
        <f>'8_COSTES_OPEX'!BJ25</f>
        <v>550</v>
      </c>
      <c r="BK31" s="33">
        <f>'8_COSTES_OPEX'!BK25</f>
        <v>550</v>
      </c>
      <c r="BL31" s="33">
        <f>'8_COSTES_OPEX'!BL25</f>
        <v>550</v>
      </c>
      <c r="BM31" s="33">
        <f>'8_COSTES_OPEX'!BM25</f>
        <v>550</v>
      </c>
      <c r="BN31" s="33">
        <f>'8_COSTES_OPEX'!BN25</f>
        <v>550</v>
      </c>
      <c r="BO31" s="33">
        <f>'8_COSTES_OPEX'!BO25</f>
        <v>550</v>
      </c>
      <c r="BP31" s="33">
        <f>'8_COSTES_OPEX'!BP25</f>
        <v>550</v>
      </c>
      <c r="BQ31" s="33">
        <f>'8_COSTES_OPEX'!BQ25</f>
        <v>550</v>
      </c>
      <c r="BR31" s="33">
        <f>'8_COSTES_OPEX'!BR25</f>
        <v>550</v>
      </c>
      <c r="BS31" s="33">
        <f>'8_COSTES_OPEX'!BS25</f>
        <v>550</v>
      </c>
      <c r="BT31" s="33">
        <f>'8_COSTES_OPEX'!BT25</f>
        <v>550</v>
      </c>
      <c r="BU31" s="33">
        <f>'8_COSTES_OPEX'!BU25</f>
        <v>550</v>
      </c>
      <c r="BV31" s="33">
        <f>'8_COSTES_OPEX'!BV25</f>
        <v>550</v>
      </c>
      <c r="BW31" s="33">
        <f>'8_COSTES_OPEX'!BW25</f>
        <v>550</v>
      </c>
      <c r="BX31" s="33">
        <f>'8_COSTES_OPEX'!BX25</f>
        <v>550</v>
      </c>
      <c r="BY31" s="33">
        <f>'8_COSTES_OPEX'!BY25</f>
        <v>550</v>
      </c>
      <c r="BZ31" s="33">
        <f>'8_COSTES_OPEX'!BZ25</f>
        <v>550</v>
      </c>
      <c r="CA31" s="33">
        <f>'8_COSTES_OPEX'!CA25</f>
        <v>550</v>
      </c>
      <c r="CB31" s="33">
        <f>'8_COSTES_OPEX'!CB25</f>
        <v>550</v>
      </c>
      <c r="CC31" s="33">
        <f>'8_COSTES_OPEX'!CC25</f>
        <v>550</v>
      </c>
      <c r="CD31" s="33">
        <f>'8_COSTES_OPEX'!CD25</f>
        <v>550</v>
      </c>
      <c r="CE31" s="33">
        <f>'8_COSTES_OPEX'!CE25</f>
        <v>550</v>
      </c>
      <c r="CF31" s="33">
        <f>'8_COSTES_OPEX'!CF25</f>
        <v>550</v>
      </c>
      <c r="CG31" s="33">
        <f>'8_COSTES_OPEX'!CG25</f>
        <v>550</v>
      </c>
      <c r="CH31" s="33">
        <f>'8_COSTES_OPEX'!CH25</f>
        <v>550</v>
      </c>
      <c r="CI31" s="33">
        <f>'8_COSTES_OPEX'!CI25</f>
        <v>550</v>
      </c>
    </row>
    <row r="32" spans="1:87" ht="16.5">
      <c r="A32" s="6" t="s">
        <v>761</v>
      </c>
      <c r="B32" s="30" t="s">
        <v>465</v>
      </c>
      <c r="C32" s="17" t="s">
        <v>762</v>
      </c>
      <c r="D32" s="33">
        <f>SUM('8_COSTES_OPEX'!D26:D28)</f>
        <v>1380</v>
      </c>
      <c r="E32" s="33">
        <f>SUM('8_COSTES_OPEX'!E26:E28)</f>
        <v>1380</v>
      </c>
      <c r="F32" s="33">
        <f>SUM('8_COSTES_OPEX'!F26:F28)</f>
        <v>1380</v>
      </c>
      <c r="G32" s="33">
        <f>SUM('8_COSTES_OPEX'!G26:G28)</f>
        <v>1380</v>
      </c>
      <c r="H32" s="33">
        <f>SUM('8_COSTES_OPEX'!H26:H28)</f>
        <v>1380</v>
      </c>
      <c r="I32" s="33">
        <f>SUM('8_COSTES_OPEX'!I26:I28)</f>
        <v>1380</v>
      </c>
      <c r="J32" s="33">
        <f>SUM('8_COSTES_OPEX'!J26:J28)</f>
        <v>1380</v>
      </c>
      <c r="K32" s="33">
        <f>SUM('8_COSTES_OPEX'!K26:K28)</f>
        <v>1380</v>
      </c>
      <c r="L32" s="33">
        <f>SUM('8_COSTES_OPEX'!L26:L28)</f>
        <v>1380</v>
      </c>
      <c r="M32" s="33">
        <f>SUM('8_COSTES_OPEX'!M26:M28)</f>
        <v>1380</v>
      </c>
      <c r="N32" s="33">
        <f>SUM('8_COSTES_OPEX'!N26:N28)</f>
        <v>1380</v>
      </c>
      <c r="O32" s="33">
        <f>SUM('8_COSTES_OPEX'!O26:O28)</f>
        <v>1380</v>
      </c>
      <c r="P32" s="33">
        <f>SUM('8_COSTES_OPEX'!P26:P28)</f>
        <v>1380</v>
      </c>
      <c r="Q32" s="33">
        <f>SUM('8_COSTES_OPEX'!Q26:Q28)</f>
        <v>1380</v>
      </c>
      <c r="R32" s="33">
        <f>SUM('8_COSTES_OPEX'!R26:R28)</f>
        <v>1380</v>
      </c>
      <c r="S32" s="33">
        <f>SUM('8_COSTES_OPEX'!S26:S28)</f>
        <v>1380</v>
      </c>
      <c r="T32" s="33">
        <f>SUM('8_COSTES_OPEX'!T26:T28)</f>
        <v>1380</v>
      </c>
      <c r="U32" s="33">
        <f>SUM('8_COSTES_OPEX'!U26:U28)</f>
        <v>1380</v>
      </c>
      <c r="V32" s="33">
        <f>SUM('8_COSTES_OPEX'!V26:V28)</f>
        <v>1380</v>
      </c>
      <c r="W32" s="33">
        <f>SUM('8_COSTES_OPEX'!W26:W28)</f>
        <v>1380</v>
      </c>
      <c r="X32" s="33">
        <f>SUM('8_COSTES_OPEX'!X26:X28)</f>
        <v>1380</v>
      </c>
      <c r="Y32" s="33">
        <f>SUM('8_COSTES_OPEX'!Y26:Y28)</f>
        <v>1380</v>
      </c>
      <c r="Z32" s="33">
        <f>SUM('8_COSTES_OPEX'!Z26:Z28)</f>
        <v>1380</v>
      </c>
      <c r="AA32" s="33">
        <f>SUM('8_COSTES_OPEX'!AA26:AA28)</f>
        <v>1380</v>
      </c>
      <c r="AB32" s="33">
        <f>SUM('8_COSTES_OPEX'!AB26:AB28)</f>
        <v>1380</v>
      </c>
      <c r="AC32" s="33">
        <f>SUM('8_COSTES_OPEX'!AC26:AC28)</f>
        <v>1380</v>
      </c>
      <c r="AD32" s="33">
        <f>SUM('8_COSTES_OPEX'!AD26:AD28)</f>
        <v>1380</v>
      </c>
      <c r="AE32" s="33">
        <f>SUM('8_COSTES_OPEX'!AE26:AE28)</f>
        <v>1380</v>
      </c>
      <c r="AF32" s="33">
        <f>SUM('8_COSTES_OPEX'!AF26:AF28)</f>
        <v>1380</v>
      </c>
      <c r="AG32" s="33">
        <f>SUM('8_COSTES_OPEX'!AG26:AG28)</f>
        <v>1380</v>
      </c>
      <c r="AH32" s="33">
        <f>SUM('8_COSTES_OPEX'!AH26:AH28)</f>
        <v>1380</v>
      </c>
      <c r="AI32" s="33">
        <f>SUM('8_COSTES_OPEX'!AI26:AI28)</f>
        <v>1380</v>
      </c>
      <c r="AJ32" s="33">
        <f>SUM('8_COSTES_OPEX'!AJ26:AJ28)</f>
        <v>1380</v>
      </c>
      <c r="AK32" s="33">
        <f>SUM('8_COSTES_OPEX'!AK26:AK28)</f>
        <v>1380</v>
      </c>
      <c r="AL32" s="33">
        <f>SUM('8_COSTES_OPEX'!AL26:AL28)</f>
        <v>1380</v>
      </c>
      <c r="AM32" s="33">
        <f>SUM('8_COSTES_OPEX'!AM26:AM28)</f>
        <v>1380</v>
      </c>
      <c r="AN32" s="33">
        <f>SUM('8_COSTES_OPEX'!AN26:AN28)</f>
        <v>1380</v>
      </c>
      <c r="AO32" s="33">
        <f>SUM('8_COSTES_OPEX'!AO26:AO28)</f>
        <v>1380</v>
      </c>
      <c r="AP32" s="33">
        <f>SUM('8_COSTES_OPEX'!AP26:AP28)</f>
        <v>1380</v>
      </c>
      <c r="AQ32" s="33">
        <f>SUM('8_COSTES_OPEX'!AQ26:AQ28)</f>
        <v>1380</v>
      </c>
      <c r="AR32" s="33">
        <f>SUM('8_COSTES_OPEX'!AR26:AR28)</f>
        <v>1380</v>
      </c>
      <c r="AS32" s="33">
        <f>SUM('8_COSTES_OPEX'!AS26:AS28)</f>
        <v>1380</v>
      </c>
      <c r="AT32" s="33">
        <f>SUM('8_COSTES_OPEX'!AT26:AT28)</f>
        <v>1380</v>
      </c>
      <c r="AU32" s="33">
        <f>SUM('8_COSTES_OPEX'!AU26:AU28)</f>
        <v>1380</v>
      </c>
      <c r="AV32" s="33">
        <f>SUM('8_COSTES_OPEX'!AV26:AV28)</f>
        <v>1380</v>
      </c>
      <c r="AW32" s="33">
        <f>SUM('8_COSTES_OPEX'!AW26:AW28)</f>
        <v>1380</v>
      </c>
      <c r="AX32" s="33">
        <f>SUM('8_COSTES_OPEX'!AX26:AX28)</f>
        <v>1380</v>
      </c>
      <c r="AY32" s="33">
        <f>SUM('8_COSTES_OPEX'!AY26:AY28)</f>
        <v>1380</v>
      </c>
      <c r="AZ32" s="33">
        <f>SUM('8_COSTES_OPEX'!AZ26:AZ28)</f>
        <v>1380</v>
      </c>
      <c r="BA32" s="33">
        <f>SUM('8_COSTES_OPEX'!BA26:BA28)</f>
        <v>1380</v>
      </c>
      <c r="BB32" s="33">
        <f>SUM('8_COSTES_OPEX'!BB26:BB28)</f>
        <v>1380</v>
      </c>
      <c r="BC32" s="33">
        <f>SUM('8_COSTES_OPEX'!BC26:BC28)</f>
        <v>1380</v>
      </c>
      <c r="BD32" s="33">
        <f>SUM('8_COSTES_OPEX'!BD26:BD28)</f>
        <v>1380</v>
      </c>
      <c r="BE32" s="33">
        <f>SUM('8_COSTES_OPEX'!BE26:BE28)</f>
        <v>1380</v>
      </c>
      <c r="BF32" s="33">
        <f>SUM('8_COSTES_OPEX'!BF26:BF28)</f>
        <v>1380</v>
      </c>
      <c r="BG32" s="33">
        <f>SUM('8_COSTES_OPEX'!BG26:BG28)</f>
        <v>1380</v>
      </c>
      <c r="BH32" s="33">
        <f>SUM('8_COSTES_OPEX'!BH26:BH28)</f>
        <v>1380</v>
      </c>
      <c r="BI32" s="33">
        <f>SUM('8_COSTES_OPEX'!BI26:BI28)</f>
        <v>1380</v>
      </c>
      <c r="BJ32" s="33">
        <f>SUM('8_COSTES_OPEX'!BJ26:BJ28)</f>
        <v>1380</v>
      </c>
      <c r="BK32" s="33">
        <f>SUM('8_COSTES_OPEX'!BK26:BK28)</f>
        <v>1380</v>
      </c>
      <c r="BL32" s="33">
        <f>SUM('8_COSTES_OPEX'!BL26:BL28)</f>
        <v>1380</v>
      </c>
      <c r="BM32" s="33">
        <f>SUM('8_COSTES_OPEX'!BM26:BM28)</f>
        <v>1380</v>
      </c>
      <c r="BN32" s="33">
        <f>SUM('8_COSTES_OPEX'!BN26:BN28)</f>
        <v>1380</v>
      </c>
      <c r="BO32" s="33">
        <f>SUM('8_COSTES_OPEX'!BO26:BO28)</f>
        <v>1380</v>
      </c>
      <c r="BP32" s="33">
        <f>SUM('8_COSTES_OPEX'!BP26:BP28)</f>
        <v>1380</v>
      </c>
      <c r="BQ32" s="33">
        <f>SUM('8_COSTES_OPEX'!BQ26:BQ28)</f>
        <v>1380</v>
      </c>
      <c r="BR32" s="33">
        <f>SUM('8_COSTES_OPEX'!BR26:BR28)</f>
        <v>1380</v>
      </c>
      <c r="BS32" s="33">
        <f>SUM('8_COSTES_OPEX'!BS26:BS28)</f>
        <v>1380</v>
      </c>
      <c r="BT32" s="33">
        <f>SUM('8_COSTES_OPEX'!BT26:BT28)</f>
        <v>1380</v>
      </c>
      <c r="BU32" s="33">
        <f>SUM('8_COSTES_OPEX'!BU26:BU28)</f>
        <v>1380</v>
      </c>
      <c r="BV32" s="33">
        <f>SUM('8_COSTES_OPEX'!BV26:BV28)</f>
        <v>1380</v>
      </c>
      <c r="BW32" s="33">
        <f>SUM('8_COSTES_OPEX'!BW26:BW28)</f>
        <v>1380</v>
      </c>
      <c r="BX32" s="33">
        <f>SUM('8_COSTES_OPEX'!BX26:BX28)</f>
        <v>1380</v>
      </c>
      <c r="BY32" s="33">
        <f>SUM('8_COSTES_OPEX'!BY26:BY28)</f>
        <v>1380</v>
      </c>
      <c r="BZ32" s="33">
        <f>SUM('8_COSTES_OPEX'!BZ26:BZ28)</f>
        <v>1380</v>
      </c>
      <c r="CA32" s="33">
        <f>SUM('8_COSTES_OPEX'!CA26:CA28)</f>
        <v>1380</v>
      </c>
      <c r="CB32" s="33">
        <f>SUM('8_COSTES_OPEX'!CB26:CB28)</f>
        <v>1380</v>
      </c>
      <c r="CC32" s="33">
        <f>SUM('8_COSTES_OPEX'!CC26:CC28)</f>
        <v>1380</v>
      </c>
      <c r="CD32" s="33">
        <f>SUM('8_COSTES_OPEX'!CD26:CD28)</f>
        <v>1380</v>
      </c>
      <c r="CE32" s="33">
        <f>SUM('8_COSTES_OPEX'!CE26:CE28)</f>
        <v>1380</v>
      </c>
      <c r="CF32" s="33">
        <f>SUM('8_COSTES_OPEX'!CF26:CF28)</f>
        <v>1380</v>
      </c>
      <c r="CG32" s="33">
        <f>SUM('8_COSTES_OPEX'!CG26:CG28)</f>
        <v>1380</v>
      </c>
      <c r="CH32" s="33">
        <f>SUM('8_COSTES_OPEX'!CH26:CH28)</f>
        <v>1380</v>
      </c>
      <c r="CI32" s="33">
        <f>SUM('8_COSTES_OPEX'!CI26:CI28)</f>
        <v>1380</v>
      </c>
    </row>
    <row r="33" spans="1:87" ht="16.5">
      <c r="A33" s="6" t="s">
        <v>763</v>
      </c>
      <c r="B33" s="30" t="s">
        <v>465</v>
      </c>
      <c r="C33" s="17" t="s">
        <v>764</v>
      </c>
      <c r="D33" s="33">
        <f>SUM('8_COSTES_OPEX'!D29:D32)+SUM('8_COSTES_OPEX'!D33:D34)</f>
        <v>2833.05</v>
      </c>
      <c r="E33" s="33">
        <f>SUM('8_COSTES_OPEX'!E29:E32)+SUM('8_COSTES_OPEX'!E33:E34)</f>
        <v>2833.05</v>
      </c>
      <c r="F33" s="33">
        <f>SUM('8_COSTES_OPEX'!F29:F32)+SUM('8_COSTES_OPEX'!F33:F34)</f>
        <v>2833.05</v>
      </c>
      <c r="G33" s="33">
        <f>SUM('8_COSTES_OPEX'!G29:G32)+SUM('8_COSTES_OPEX'!G33:G34)</f>
        <v>2833.05</v>
      </c>
      <c r="H33" s="33">
        <f>SUM('8_COSTES_OPEX'!H29:H32)+SUM('8_COSTES_OPEX'!H33:H34)</f>
        <v>2833.05</v>
      </c>
      <c r="I33" s="33">
        <f>SUM('8_COSTES_OPEX'!I29:I32)+SUM('8_COSTES_OPEX'!I33:I34)</f>
        <v>2833.05</v>
      </c>
      <c r="J33" s="33">
        <f>SUM('8_COSTES_OPEX'!J29:J32)+SUM('8_COSTES_OPEX'!J33:J34)</f>
        <v>2833.05</v>
      </c>
      <c r="K33" s="33">
        <f>SUM('8_COSTES_OPEX'!K29:K32)+SUM('8_COSTES_OPEX'!K33:K34)</f>
        <v>2833.05</v>
      </c>
      <c r="L33" s="33">
        <f>SUM('8_COSTES_OPEX'!L29:L32)+SUM('8_COSTES_OPEX'!L33:L34)</f>
        <v>2833.05</v>
      </c>
      <c r="M33" s="33">
        <f>SUM('8_COSTES_OPEX'!M29:M32)+SUM('8_COSTES_OPEX'!M33:M34)</f>
        <v>2833.05</v>
      </c>
      <c r="N33" s="33">
        <f>SUM('8_COSTES_OPEX'!N29:N32)+SUM('8_COSTES_OPEX'!N33:N34)</f>
        <v>2833.05</v>
      </c>
      <c r="O33" s="33">
        <f>SUM('8_COSTES_OPEX'!O29:O32)+SUM('8_COSTES_OPEX'!O33:O34)</f>
        <v>2833.05</v>
      </c>
      <c r="P33" s="33">
        <f>SUM('8_COSTES_OPEX'!P29:P32)+SUM('8_COSTES_OPEX'!P33:P34)</f>
        <v>2833.05</v>
      </c>
      <c r="Q33" s="33">
        <f>SUM('8_COSTES_OPEX'!Q29:Q32)+SUM('8_COSTES_OPEX'!Q33:Q34)</f>
        <v>2833.05</v>
      </c>
      <c r="R33" s="33">
        <f>SUM('8_COSTES_OPEX'!R29:R32)+SUM('8_COSTES_OPEX'!R33:R34)</f>
        <v>2833.05</v>
      </c>
      <c r="S33" s="33">
        <f>SUM('8_COSTES_OPEX'!S29:S32)+SUM('8_COSTES_OPEX'!S33:S34)</f>
        <v>2833.05</v>
      </c>
      <c r="T33" s="33">
        <f>SUM('8_COSTES_OPEX'!T29:T32)+SUM('8_COSTES_OPEX'!T33:T34)</f>
        <v>2833.05</v>
      </c>
      <c r="U33" s="33">
        <f>SUM('8_COSTES_OPEX'!U29:U32)+SUM('8_COSTES_OPEX'!U33:U34)</f>
        <v>2833.05</v>
      </c>
      <c r="V33" s="33">
        <f>SUM('8_COSTES_OPEX'!V29:V32)+SUM('8_COSTES_OPEX'!V33:V34)</f>
        <v>2833.05</v>
      </c>
      <c r="W33" s="33">
        <f>SUM('8_COSTES_OPEX'!W29:W32)+SUM('8_COSTES_OPEX'!W33:W34)</f>
        <v>2833.05</v>
      </c>
      <c r="X33" s="33">
        <f>SUM('8_COSTES_OPEX'!X29:X32)+SUM('8_COSTES_OPEX'!X33:X34)</f>
        <v>2833.05</v>
      </c>
      <c r="Y33" s="33">
        <f>SUM('8_COSTES_OPEX'!Y29:Y32)+SUM('8_COSTES_OPEX'!Y33:Y34)</f>
        <v>2833.05</v>
      </c>
      <c r="Z33" s="33">
        <f>SUM('8_COSTES_OPEX'!Z29:Z32)+SUM('8_COSTES_OPEX'!Z33:Z34)</f>
        <v>2833.05</v>
      </c>
      <c r="AA33" s="33">
        <f>SUM('8_COSTES_OPEX'!AA29:AA32)+SUM('8_COSTES_OPEX'!AA33:AA34)</f>
        <v>2833.05</v>
      </c>
      <c r="AB33" s="33">
        <f>SUM('8_COSTES_OPEX'!AB29:AB32)+SUM('8_COSTES_OPEX'!AB33:AB34)</f>
        <v>2833.05</v>
      </c>
      <c r="AC33" s="33">
        <f>SUM('8_COSTES_OPEX'!AC29:AC32)+SUM('8_COSTES_OPEX'!AC33:AC34)</f>
        <v>2833.05</v>
      </c>
      <c r="AD33" s="33">
        <f>SUM('8_COSTES_OPEX'!AD29:AD32)+SUM('8_COSTES_OPEX'!AD33:AD34)</f>
        <v>2833.05</v>
      </c>
      <c r="AE33" s="33">
        <f>SUM('8_COSTES_OPEX'!AE29:AE32)+SUM('8_COSTES_OPEX'!AE33:AE34)</f>
        <v>2833.05</v>
      </c>
      <c r="AF33" s="33">
        <f>SUM('8_COSTES_OPEX'!AF29:AF32)+SUM('8_COSTES_OPEX'!AF33:AF34)</f>
        <v>2833.05</v>
      </c>
      <c r="AG33" s="33">
        <f>SUM('8_COSTES_OPEX'!AG29:AG32)+SUM('8_COSTES_OPEX'!AG33:AG34)</f>
        <v>2833.05</v>
      </c>
      <c r="AH33" s="33">
        <f>SUM('8_COSTES_OPEX'!AH29:AH32)+SUM('8_COSTES_OPEX'!AH33:AH34)</f>
        <v>2833.05</v>
      </c>
      <c r="AI33" s="33">
        <f>SUM('8_COSTES_OPEX'!AI29:AI32)+SUM('8_COSTES_OPEX'!AI33:AI34)</f>
        <v>2833.05</v>
      </c>
      <c r="AJ33" s="33">
        <f>SUM('8_COSTES_OPEX'!AJ29:AJ32)+SUM('8_COSTES_OPEX'!AJ33:AJ34)</f>
        <v>2833.05</v>
      </c>
      <c r="AK33" s="33">
        <f>SUM('8_COSTES_OPEX'!AK29:AK32)+SUM('8_COSTES_OPEX'!AK33:AK34)</f>
        <v>2833.05</v>
      </c>
      <c r="AL33" s="33">
        <f>SUM('8_COSTES_OPEX'!AL29:AL32)+SUM('8_COSTES_OPEX'!AL33:AL34)</f>
        <v>2833.05</v>
      </c>
      <c r="AM33" s="33">
        <f>SUM('8_COSTES_OPEX'!AM29:AM32)+SUM('8_COSTES_OPEX'!AM33:AM34)</f>
        <v>2833.05</v>
      </c>
      <c r="AN33" s="33">
        <f>SUM('8_COSTES_OPEX'!AN29:AN32)+SUM('8_COSTES_OPEX'!AN33:AN34)</f>
        <v>2833.05</v>
      </c>
      <c r="AO33" s="33">
        <f>SUM('8_COSTES_OPEX'!AO29:AO32)+SUM('8_COSTES_OPEX'!AO33:AO34)</f>
        <v>2833.05</v>
      </c>
      <c r="AP33" s="33">
        <f>SUM('8_COSTES_OPEX'!AP29:AP32)+SUM('8_COSTES_OPEX'!AP33:AP34)</f>
        <v>2833.05</v>
      </c>
      <c r="AQ33" s="33">
        <f>SUM('8_COSTES_OPEX'!AQ29:AQ32)+SUM('8_COSTES_OPEX'!AQ33:AQ34)</f>
        <v>2833.05</v>
      </c>
      <c r="AR33" s="33">
        <f>SUM('8_COSTES_OPEX'!AR29:AR32)+SUM('8_COSTES_OPEX'!AR33:AR34)</f>
        <v>2833.05</v>
      </c>
      <c r="AS33" s="33">
        <f>SUM('8_COSTES_OPEX'!AS29:AS32)+SUM('8_COSTES_OPEX'!AS33:AS34)</f>
        <v>2833.05</v>
      </c>
      <c r="AT33" s="33">
        <f>SUM('8_COSTES_OPEX'!AT29:AT32)+SUM('8_COSTES_OPEX'!AT33:AT34)</f>
        <v>2833.05</v>
      </c>
      <c r="AU33" s="33">
        <f>SUM('8_COSTES_OPEX'!AU29:AU32)+SUM('8_COSTES_OPEX'!AU33:AU34)</f>
        <v>2833.05</v>
      </c>
      <c r="AV33" s="33">
        <f>SUM('8_COSTES_OPEX'!AV29:AV32)+SUM('8_COSTES_OPEX'!AV33:AV34)</f>
        <v>2833.05</v>
      </c>
      <c r="AW33" s="33">
        <f>SUM('8_COSTES_OPEX'!AW29:AW32)+SUM('8_COSTES_OPEX'!AW33:AW34)</f>
        <v>2833.05</v>
      </c>
      <c r="AX33" s="33">
        <f>SUM('8_COSTES_OPEX'!AX29:AX32)+SUM('8_COSTES_OPEX'!AX33:AX34)</f>
        <v>2833.05</v>
      </c>
      <c r="AY33" s="33">
        <f>SUM('8_COSTES_OPEX'!AY29:AY32)+SUM('8_COSTES_OPEX'!AY33:AY34)</f>
        <v>2833.05</v>
      </c>
      <c r="AZ33" s="33">
        <f>SUM('8_COSTES_OPEX'!AZ29:AZ32)+SUM('8_COSTES_OPEX'!AZ33:AZ34)</f>
        <v>2833.05</v>
      </c>
      <c r="BA33" s="33">
        <f>SUM('8_COSTES_OPEX'!BA29:BA32)+SUM('8_COSTES_OPEX'!BA33:BA34)</f>
        <v>2833.05</v>
      </c>
      <c r="BB33" s="33">
        <f>SUM('8_COSTES_OPEX'!BB29:BB32)+SUM('8_COSTES_OPEX'!BB33:BB34)</f>
        <v>2833.05</v>
      </c>
      <c r="BC33" s="33">
        <f>SUM('8_COSTES_OPEX'!BC29:BC32)+SUM('8_COSTES_OPEX'!BC33:BC34)</f>
        <v>2833.05</v>
      </c>
      <c r="BD33" s="33">
        <f>SUM('8_COSTES_OPEX'!BD29:BD32)+SUM('8_COSTES_OPEX'!BD33:BD34)</f>
        <v>2833.05</v>
      </c>
      <c r="BE33" s="33">
        <f>SUM('8_COSTES_OPEX'!BE29:BE32)+SUM('8_COSTES_OPEX'!BE33:BE34)</f>
        <v>2833.05</v>
      </c>
      <c r="BF33" s="33">
        <f>SUM('8_COSTES_OPEX'!BF29:BF32)+SUM('8_COSTES_OPEX'!BF33:BF34)</f>
        <v>2833.05</v>
      </c>
      <c r="BG33" s="33">
        <f>SUM('8_COSTES_OPEX'!BG29:BG32)+SUM('8_COSTES_OPEX'!BG33:BG34)</f>
        <v>2833.05</v>
      </c>
      <c r="BH33" s="33">
        <f>SUM('8_COSTES_OPEX'!BH29:BH32)+SUM('8_COSTES_OPEX'!BH33:BH34)</f>
        <v>2833.05</v>
      </c>
      <c r="BI33" s="33">
        <f>SUM('8_COSTES_OPEX'!BI29:BI32)+SUM('8_COSTES_OPEX'!BI33:BI34)</f>
        <v>2833.05</v>
      </c>
      <c r="BJ33" s="33">
        <f>SUM('8_COSTES_OPEX'!BJ29:BJ32)+SUM('8_COSTES_OPEX'!BJ33:BJ34)</f>
        <v>2833.05</v>
      </c>
      <c r="BK33" s="33">
        <f>SUM('8_COSTES_OPEX'!BK29:BK32)+SUM('8_COSTES_OPEX'!BK33:BK34)</f>
        <v>2833.05</v>
      </c>
      <c r="BL33" s="33">
        <f>SUM('8_COSTES_OPEX'!BL29:BL32)+SUM('8_COSTES_OPEX'!BL33:BL34)</f>
        <v>2833.05</v>
      </c>
      <c r="BM33" s="33">
        <f>SUM('8_COSTES_OPEX'!BM29:BM32)+SUM('8_COSTES_OPEX'!BM33:BM34)</f>
        <v>2833.05</v>
      </c>
      <c r="BN33" s="33">
        <f>SUM('8_COSTES_OPEX'!BN29:BN32)+SUM('8_COSTES_OPEX'!BN33:BN34)</f>
        <v>2833.05</v>
      </c>
      <c r="BO33" s="33">
        <f>SUM('8_COSTES_OPEX'!BO29:BO32)+SUM('8_COSTES_OPEX'!BO33:BO34)</f>
        <v>2833.05</v>
      </c>
      <c r="BP33" s="33">
        <f>SUM('8_COSTES_OPEX'!BP29:BP32)+SUM('8_COSTES_OPEX'!BP33:BP34)</f>
        <v>2833.05</v>
      </c>
      <c r="BQ33" s="33">
        <f>SUM('8_COSTES_OPEX'!BQ29:BQ32)+SUM('8_COSTES_OPEX'!BQ33:BQ34)</f>
        <v>2833.05</v>
      </c>
      <c r="BR33" s="33">
        <f>SUM('8_COSTES_OPEX'!BR29:BR32)+SUM('8_COSTES_OPEX'!BR33:BR34)</f>
        <v>2833.05</v>
      </c>
      <c r="BS33" s="33">
        <f>SUM('8_COSTES_OPEX'!BS29:BS32)+SUM('8_COSTES_OPEX'!BS33:BS34)</f>
        <v>2833.05</v>
      </c>
      <c r="BT33" s="33">
        <f>SUM('8_COSTES_OPEX'!BT29:BT32)+SUM('8_COSTES_OPEX'!BT33:BT34)</f>
        <v>2833.05</v>
      </c>
      <c r="BU33" s="33">
        <f>SUM('8_COSTES_OPEX'!BU29:BU32)+SUM('8_COSTES_OPEX'!BU33:BU34)</f>
        <v>2833.05</v>
      </c>
      <c r="BV33" s="33">
        <f>SUM('8_COSTES_OPEX'!BV29:BV32)+SUM('8_COSTES_OPEX'!BV33:BV34)</f>
        <v>2833.05</v>
      </c>
      <c r="BW33" s="33">
        <f>SUM('8_COSTES_OPEX'!BW29:BW32)+SUM('8_COSTES_OPEX'!BW33:BW34)</f>
        <v>2833.05</v>
      </c>
      <c r="BX33" s="33">
        <f>SUM('8_COSTES_OPEX'!BX29:BX32)+SUM('8_COSTES_OPEX'!BX33:BX34)</f>
        <v>2833.05</v>
      </c>
      <c r="BY33" s="33">
        <f>SUM('8_COSTES_OPEX'!BY29:BY32)+SUM('8_COSTES_OPEX'!BY33:BY34)</f>
        <v>2833.05</v>
      </c>
      <c r="BZ33" s="33">
        <f>SUM('8_COSTES_OPEX'!BZ29:BZ32)+SUM('8_COSTES_OPEX'!BZ33:BZ34)</f>
        <v>2833.05</v>
      </c>
      <c r="CA33" s="33">
        <f>SUM('8_COSTES_OPEX'!CA29:CA32)+SUM('8_COSTES_OPEX'!CA33:CA34)</f>
        <v>2833.05</v>
      </c>
      <c r="CB33" s="33">
        <f>SUM('8_COSTES_OPEX'!CB29:CB32)+SUM('8_COSTES_OPEX'!CB33:CB34)</f>
        <v>2833.05</v>
      </c>
      <c r="CC33" s="33">
        <f>SUM('8_COSTES_OPEX'!CC29:CC32)+SUM('8_COSTES_OPEX'!CC33:CC34)</f>
        <v>2833.05</v>
      </c>
      <c r="CD33" s="33">
        <f>SUM('8_COSTES_OPEX'!CD29:CD32)+SUM('8_COSTES_OPEX'!CD33:CD34)</f>
        <v>2833.05</v>
      </c>
      <c r="CE33" s="33">
        <f>SUM('8_COSTES_OPEX'!CE29:CE32)+SUM('8_COSTES_OPEX'!CE33:CE34)</f>
        <v>2833.05</v>
      </c>
      <c r="CF33" s="33">
        <f>SUM('8_COSTES_OPEX'!CF29:CF32)+SUM('8_COSTES_OPEX'!CF33:CF34)</f>
        <v>2833.05</v>
      </c>
      <c r="CG33" s="33">
        <f>SUM('8_COSTES_OPEX'!CG29:CG32)+SUM('8_COSTES_OPEX'!CG33:CG34)</f>
        <v>2833.05</v>
      </c>
      <c r="CH33" s="33">
        <f>SUM('8_COSTES_OPEX'!CH29:CH32)+SUM('8_COSTES_OPEX'!CH33:CH34)</f>
        <v>2833.05</v>
      </c>
      <c r="CI33" s="33">
        <f>SUM('8_COSTES_OPEX'!CI29:CI32)+SUM('8_COSTES_OPEX'!CI33:CI34)</f>
        <v>2833.05</v>
      </c>
    </row>
    <row r="34" spans="1:87" ht="16.5">
      <c r="A34" s="6" t="s">
        <v>765</v>
      </c>
      <c r="B34" s="30" t="s">
        <v>465</v>
      </c>
      <c r="C34" s="17" t="s">
        <v>766</v>
      </c>
      <c r="D34" s="33">
        <f>'8_COSTES_OPEX'!D41+'8_COSTES_OPEX'!D42</f>
        <v>407.14</v>
      </c>
      <c r="E34" s="33">
        <f>'8_COSTES_OPEX'!E41+'8_COSTES_OPEX'!E42</f>
        <v>548.14</v>
      </c>
      <c r="F34" s="33">
        <f>'8_COSTES_OPEX'!F41+'8_COSTES_OPEX'!F42</f>
        <v>692.14</v>
      </c>
      <c r="G34" s="33">
        <f>'8_COSTES_OPEX'!G41+'8_COSTES_OPEX'!G42</f>
        <v>839.14</v>
      </c>
      <c r="H34" s="33">
        <f>'8_COSTES_OPEX'!H41+'8_COSTES_OPEX'!H42</f>
        <v>992.14</v>
      </c>
      <c r="I34" s="33">
        <f>'8_COSTES_OPEX'!I41+'8_COSTES_OPEX'!I42</f>
        <v>1151.1399999999999</v>
      </c>
      <c r="J34" s="33">
        <f>'8_COSTES_OPEX'!J41+'8_COSTES_OPEX'!J42</f>
        <v>1316.1399999999999</v>
      </c>
      <c r="K34" s="33">
        <f>'8_COSTES_OPEX'!K41+'8_COSTES_OPEX'!K42</f>
        <v>1487.1399999999999</v>
      </c>
      <c r="L34" s="33">
        <f>'8_COSTES_OPEX'!L41+'8_COSTES_OPEX'!L42</f>
        <v>1670.1399999999999</v>
      </c>
      <c r="M34" s="33">
        <f>'8_COSTES_OPEX'!M41+'8_COSTES_OPEX'!M42</f>
        <v>1862.1399999999999</v>
      </c>
      <c r="N34" s="33">
        <f>'8_COSTES_OPEX'!N41+'8_COSTES_OPEX'!N42</f>
        <v>2066.14</v>
      </c>
      <c r="O34" s="33">
        <f>'8_COSTES_OPEX'!O41+'8_COSTES_OPEX'!O42</f>
        <v>2279.14</v>
      </c>
      <c r="P34" s="33">
        <f>'8_COSTES_OPEX'!P41+'8_COSTES_OPEX'!P42</f>
        <v>2504.14</v>
      </c>
      <c r="Q34" s="33">
        <f>'8_COSTES_OPEX'!Q41+'8_COSTES_OPEX'!Q42</f>
        <v>2741.14</v>
      </c>
      <c r="R34" s="33">
        <f>'8_COSTES_OPEX'!R41+'8_COSTES_OPEX'!R42</f>
        <v>2993.14</v>
      </c>
      <c r="S34" s="33">
        <f>'8_COSTES_OPEX'!S41+'8_COSTES_OPEX'!S42</f>
        <v>3263.14</v>
      </c>
      <c r="T34" s="33">
        <f>'8_COSTES_OPEX'!T41+'8_COSTES_OPEX'!T42</f>
        <v>3551.14</v>
      </c>
      <c r="U34" s="33">
        <f>'8_COSTES_OPEX'!U41+'8_COSTES_OPEX'!U42</f>
        <v>3857.14</v>
      </c>
      <c r="V34" s="33">
        <f>'8_COSTES_OPEX'!V41+'8_COSTES_OPEX'!V42</f>
        <v>4187.1400000000003</v>
      </c>
      <c r="W34" s="33">
        <f>'8_COSTES_OPEX'!W41+'8_COSTES_OPEX'!W42</f>
        <v>4538.1400000000003</v>
      </c>
      <c r="X34" s="33">
        <f>'8_COSTES_OPEX'!X41+'8_COSTES_OPEX'!X42</f>
        <v>4916.1400000000003</v>
      </c>
      <c r="Y34" s="33">
        <f>'8_COSTES_OPEX'!Y41+'8_COSTES_OPEX'!Y42</f>
        <v>5321.14</v>
      </c>
      <c r="Z34" s="33">
        <f>'8_COSTES_OPEX'!Z41+'8_COSTES_OPEX'!Z42</f>
        <v>5753.14</v>
      </c>
      <c r="AA34" s="33">
        <f>'8_COSTES_OPEX'!AA41+'8_COSTES_OPEX'!AA42</f>
        <v>6218.14</v>
      </c>
      <c r="AB34" s="33">
        <f>'8_COSTES_OPEX'!AB41+'8_COSTES_OPEX'!AB42</f>
        <v>6719.14</v>
      </c>
      <c r="AC34" s="33">
        <f>'8_COSTES_OPEX'!AC41+'8_COSTES_OPEX'!AC42</f>
        <v>7259.14</v>
      </c>
      <c r="AD34" s="33">
        <f>'8_COSTES_OPEX'!AD41+'8_COSTES_OPEX'!AD42</f>
        <v>7838.14</v>
      </c>
      <c r="AE34" s="33">
        <f>'8_COSTES_OPEX'!AE41+'8_COSTES_OPEX'!AE42</f>
        <v>8462.14</v>
      </c>
      <c r="AF34" s="33">
        <f>'8_COSTES_OPEX'!AF41+'8_COSTES_OPEX'!AF42</f>
        <v>9134.14</v>
      </c>
      <c r="AG34" s="33">
        <f>'8_COSTES_OPEX'!AG41+'8_COSTES_OPEX'!AG42</f>
        <v>9857.14</v>
      </c>
      <c r="AH34" s="33">
        <f>'8_COSTES_OPEX'!AH41+'8_COSTES_OPEX'!AH42</f>
        <v>10637.14</v>
      </c>
      <c r="AI34" s="33">
        <f>'8_COSTES_OPEX'!AI41+'8_COSTES_OPEX'!AI42</f>
        <v>11477.14</v>
      </c>
      <c r="AJ34" s="33">
        <f>'8_COSTES_OPEX'!AJ41+'8_COSTES_OPEX'!AJ42</f>
        <v>12383.14</v>
      </c>
      <c r="AK34" s="33">
        <f>'8_COSTES_OPEX'!AK41+'8_COSTES_OPEX'!AK42</f>
        <v>13358.14</v>
      </c>
      <c r="AL34" s="33">
        <f>'8_COSTES_OPEX'!AL41+'8_COSTES_OPEX'!AL42</f>
        <v>14411.14</v>
      </c>
      <c r="AM34" s="33">
        <f>'8_COSTES_OPEX'!AM41+'8_COSTES_OPEX'!AM42</f>
        <v>15545.14</v>
      </c>
      <c r="AN34" s="33">
        <f>'8_COSTES_OPEX'!AN41+'8_COSTES_OPEX'!AN42</f>
        <v>16769.14</v>
      </c>
      <c r="AO34" s="33">
        <f>'8_COSTES_OPEX'!AO41+'8_COSTES_OPEX'!AO42</f>
        <v>18089.14</v>
      </c>
      <c r="AP34" s="33">
        <f>'8_COSTES_OPEX'!AP41+'8_COSTES_OPEX'!AP42</f>
        <v>19514.14</v>
      </c>
      <c r="AQ34" s="33">
        <f>'8_COSTES_OPEX'!AQ41+'8_COSTES_OPEX'!AQ42</f>
        <v>21050.14</v>
      </c>
      <c r="AR34" s="33">
        <f>'8_COSTES_OPEX'!AR41+'8_COSTES_OPEX'!AR42</f>
        <v>22712.14</v>
      </c>
      <c r="AS34" s="33">
        <f>'8_COSTES_OPEX'!AS41+'8_COSTES_OPEX'!AS42</f>
        <v>24503.14</v>
      </c>
      <c r="AT34" s="33">
        <f>'8_COSTES_OPEX'!AT41+'8_COSTES_OPEX'!AT42</f>
        <v>26435.14</v>
      </c>
      <c r="AU34" s="33">
        <f>'8_COSTES_OPEX'!AU41+'8_COSTES_OPEX'!AU42</f>
        <v>28520.14</v>
      </c>
      <c r="AV34" s="33">
        <f>'8_COSTES_OPEX'!AV41+'8_COSTES_OPEX'!AV42</f>
        <v>30773.14</v>
      </c>
      <c r="AW34" s="33">
        <f>'8_COSTES_OPEX'!AW41+'8_COSTES_OPEX'!AW42</f>
        <v>33206.14</v>
      </c>
      <c r="AX34" s="33">
        <f>'8_COSTES_OPEX'!AX41+'8_COSTES_OPEX'!AX42</f>
        <v>35834.14</v>
      </c>
      <c r="AY34" s="33">
        <f>'8_COSTES_OPEX'!AY41+'8_COSTES_OPEX'!AY42</f>
        <v>38669.14</v>
      </c>
      <c r="AZ34" s="33">
        <f>'8_COSTES_OPEX'!AZ41+'8_COSTES_OPEX'!AZ42</f>
        <v>41732.14</v>
      </c>
      <c r="BA34" s="33">
        <f>'8_COSTES_OPEX'!BA41+'8_COSTES_OPEX'!BA42</f>
        <v>45041.14</v>
      </c>
      <c r="BB34" s="33">
        <f>'8_COSTES_OPEX'!BB41+'8_COSTES_OPEX'!BB42</f>
        <v>48611.14</v>
      </c>
      <c r="BC34" s="33">
        <f>'8_COSTES_OPEX'!BC41+'8_COSTES_OPEX'!BC42</f>
        <v>52469.14</v>
      </c>
      <c r="BD34" s="33">
        <f>'8_COSTES_OPEX'!BD41+'8_COSTES_OPEX'!BD42</f>
        <v>56633.14</v>
      </c>
      <c r="BE34" s="33">
        <f>'8_COSTES_OPEX'!BE41+'8_COSTES_OPEX'!BE42</f>
        <v>61127.14</v>
      </c>
      <c r="BF34" s="33">
        <f>'8_COSTES_OPEX'!BF41+'8_COSTES_OPEX'!BF42</f>
        <v>65981.14</v>
      </c>
      <c r="BG34" s="33">
        <f>'8_COSTES_OPEX'!BG41+'8_COSTES_OPEX'!BG42</f>
        <v>71225.14</v>
      </c>
      <c r="BH34" s="33">
        <f>'8_COSTES_OPEX'!BH41+'8_COSTES_OPEX'!BH42</f>
        <v>76886.14</v>
      </c>
      <c r="BI34" s="33">
        <f>'8_COSTES_OPEX'!BI41+'8_COSTES_OPEX'!BI42</f>
        <v>83000.14</v>
      </c>
      <c r="BJ34" s="33">
        <f>'8_COSTES_OPEX'!BJ41+'8_COSTES_OPEX'!BJ42</f>
        <v>89600.14</v>
      </c>
      <c r="BK34" s="33">
        <f>'8_COSTES_OPEX'!BK41+'8_COSTES_OPEX'!BK42</f>
        <v>96731.14</v>
      </c>
      <c r="BL34" s="33">
        <f>'8_COSTES_OPEX'!BL41+'8_COSTES_OPEX'!BL42</f>
        <v>104432.14</v>
      </c>
      <c r="BM34" s="33">
        <f>'8_COSTES_OPEX'!BM41+'8_COSTES_OPEX'!BM42</f>
        <v>112745.14</v>
      </c>
      <c r="BN34" s="33">
        <f>'8_COSTES_OPEX'!BN41+'8_COSTES_OPEX'!BN42</f>
        <v>121724.14</v>
      </c>
      <c r="BO34" s="33">
        <f>'8_COSTES_OPEX'!BO41+'8_COSTES_OPEX'!BO42</f>
        <v>131423.14000000001</v>
      </c>
      <c r="BP34" s="33">
        <f>'8_COSTES_OPEX'!BP41+'8_COSTES_OPEX'!BP42</f>
        <v>141899.14000000001</v>
      </c>
      <c r="BQ34" s="33">
        <f>'8_COSTES_OPEX'!BQ41+'8_COSTES_OPEX'!BQ42</f>
        <v>153212.14000000001</v>
      </c>
      <c r="BR34" s="33">
        <f>'8_COSTES_OPEX'!BR41+'8_COSTES_OPEX'!BR42</f>
        <v>165428.14000000001</v>
      </c>
      <c r="BS34" s="33">
        <f>'8_COSTES_OPEX'!BS41+'8_COSTES_OPEX'!BS42</f>
        <v>178619.14</v>
      </c>
      <c r="BT34" s="33">
        <f>'8_COSTES_OPEX'!BT41+'8_COSTES_OPEX'!BT42</f>
        <v>192866.14</v>
      </c>
      <c r="BU34" s="33">
        <f>'8_COSTES_OPEX'!BU41+'8_COSTES_OPEX'!BU42</f>
        <v>208253.14</v>
      </c>
      <c r="BV34" s="33">
        <f>'8_COSTES_OPEX'!BV41+'8_COSTES_OPEX'!BV42</f>
        <v>224870.14</v>
      </c>
      <c r="BW34" s="33">
        <f>'8_COSTES_OPEX'!BW41+'8_COSTES_OPEX'!BW42</f>
        <v>242816.14</v>
      </c>
      <c r="BX34" s="33">
        <f>'8_COSTES_OPEX'!BX41+'8_COSTES_OPEX'!BX42</f>
        <v>262199.14</v>
      </c>
      <c r="BY34" s="33">
        <f>'8_COSTES_OPEX'!BY41+'8_COSTES_OPEX'!BY42</f>
        <v>283133.14</v>
      </c>
      <c r="BZ34" s="33">
        <f>'8_COSTES_OPEX'!BZ41+'8_COSTES_OPEX'!BZ42</f>
        <v>305741.14</v>
      </c>
      <c r="CA34" s="33">
        <f>'8_COSTES_OPEX'!CA41+'8_COSTES_OPEX'!CA42</f>
        <v>330158.14</v>
      </c>
      <c r="CB34" s="33">
        <f>'8_COSTES_OPEX'!CB41+'8_COSTES_OPEX'!CB42</f>
        <v>356528.14</v>
      </c>
      <c r="CC34" s="33">
        <f>'8_COSTES_OPEX'!CC41+'8_COSTES_OPEX'!CC42</f>
        <v>385007.14</v>
      </c>
      <c r="CD34" s="33">
        <f>'8_COSTES_OPEX'!CD41+'8_COSTES_OPEX'!CD42</f>
        <v>415766.14</v>
      </c>
      <c r="CE34" s="33">
        <f>'8_COSTES_OPEX'!CE41+'8_COSTES_OPEX'!CE42</f>
        <v>448985.14</v>
      </c>
      <c r="CF34" s="33">
        <f>'8_COSTES_OPEX'!CF41+'8_COSTES_OPEX'!CF42</f>
        <v>484862.14</v>
      </c>
      <c r="CG34" s="33">
        <f>'8_COSTES_OPEX'!CG41+'8_COSTES_OPEX'!CG42</f>
        <v>523610.14</v>
      </c>
      <c r="CH34" s="33">
        <f>'8_COSTES_OPEX'!CH41+'8_COSTES_OPEX'!CH42</f>
        <v>565457.14</v>
      </c>
      <c r="CI34" s="33">
        <f>'8_COSTES_OPEX'!CI41+'8_COSTES_OPEX'!CI42</f>
        <v>610649.14</v>
      </c>
    </row>
    <row r="35" spans="1:87" ht="16.5">
      <c r="A35" s="6" t="s">
        <v>767</v>
      </c>
      <c r="B35" s="30" t="s">
        <v>465</v>
      </c>
      <c r="C35" s="17" t="s">
        <v>768</v>
      </c>
      <c r="D35" s="33">
        <f>SUM('8_COSTES_OPEX'!D43:D45)</f>
        <v>0</v>
      </c>
      <c r="E35" s="33">
        <f>SUM('8_COSTES_OPEX'!E43:E45)</f>
        <v>3865</v>
      </c>
      <c r="F35" s="33">
        <f>SUM('8_COSTES_OPEX'!F43:F45)</f>
        <v>3146.85</v>
      </c>
      <c r="G35" s="33">
        <f>SUM('8_COSTES_OPEX'!G43:G45)</f>
        <v>0</v>
      </c>
      <c r="H35" s="33">
        <f>SUM('8_COSTES_OPEX'!H43:H45)</f>
        <v>0</v>
      </c>
      <c r="I35" s="33">
        <f>SUM('8_COSTES_OPEX'!I43:I45)</f>
        <v>0</v>
      </c>
      <c r="J35" s="33">
        <f>SUM('8_COSTES_OPEX'!J43:J45)</f>
        <v>0</v>
      </c>
      <c r="K35" s="33">
        <f>SUM('8_COSTES_OPEX'!K43:K45)</f>
        <v>0</v>
      </c>
      <c r="L35" s="33">
        <f>SUM('8_COSTES_OPEX'!L43:L45)</f>
        <v>0</v>
      </c>
      <c r="M35" s="33">
        <f>SUM('8_COSTES_OPEX'!M43:M45)</f>
        <v>1800</v>
      </c>
      <c r="N35" s="33">
        <f>SUM('8_COSTES_OPEX'!N43:N45)</f>
        <v>0</v>
      </c>
      <c r="O35" s="33">
        <f>SUM('8_COSTES_OPEX'!O43:O45)</f>
        <v>0</v>
      </c>
      <c r="P35" s="33">
        <f>SUM('8_COSTES_OPEX'!P43:P45)</f>
        <v>0</v>
      </c>
      <c r="Q35" s="33">
        <f>SUM('8_COSTES_OPEX'!Q43:Q45)</f>
        <v>0</v>
      </c>
      <c r="R35" s="33">
        <f>SUM('8_COSTES_OPEX'!R43:R45)</f>
        <v>0</v>
      </c>
      <c r="S35" s="33">
        <f>SUM('8_COSTES_OPEX'!S43:S45)</f>
        <v>0</v>
      </c>
      <c r="T35" s="33">
        <f>SUM('8_COSTES_OPEX'!T43:T45)</f>
        <v>0</v>
      </c>
      <c r="U35" s="33">
        <f>SUM('8_COSTES_OPEX'!U43:U45)</f>
        <v>0</v>
      </c>
      <c r="V35" s="33">
        <f>SUM('8_COSTES_OPEX'!V43:V45)</f>
        <v>0</v>
      </c>
      <c r="W35" s="33">
        <f>SUM('8_COSTES_OPEX'!W43:W45)</f>
        <v>0</v>
      </c>
      <c r="X35" s="33">
        <f>SUM('8_COSTES_OPEX'!X43:X45)</f>
        <v>0</v>
      </c>
      <c r="Y35" s="33">
        <f>SUM('8_COSTES_OPEX'!Y43:Y45)</f>
        <v>0</v>
      </c>
      <c r="Z35" s="33">
        <f>SUM('8_COSTES_OPEX'!Z43:Z45)</f>
        <v>0</v>
      </c>
      <c r="AA35" s="33">
        <f>SUM('8_COSTES_OPEX'!AA43:AA45)</f>
        <v>0</v>
      </c>
      <c r="AB35" s="33">
        <f>SUM('8_COSTES_OPEX'!AB43:AB45)</f>
        <v>0</v>
      </c>
      <c r="AC35" s="33">
        <f>SUM('8_COSTES_OPEX'!AC43:AC45)</f>
        <v>0</v>
      </c>
      <c r="AD35" s="33">
        <f>SUM('8_COSTES_OPEX'!AD43:AD45)</f>
        <v>0</v>
      </c>
      <c r="AE35" s="33">
        <f>SUM('8_COSTES_OPEX'!AE43:AE45)</f>
        <v>0</v>
      </c>
      <c r="AF35" s="33">
        <f>SUM('8_COSTES_OPEX'!AF43:AF45)</f>
        <v>0</v>
      </c>
      <c r="AG35" s="33">
        <f>SUM('8_COSTES_OPEX'!AG43:AG45)</f>
        <v>0</v>
      </c>
      <c r="AH35" s="33">
        <f>SUM('8_COSTES_OPEX'!AH43:AH45)</f>
        <v>0</v>
      </c>
      <c r="AI35" s="33">
        <f>SUM('8_COSTES_OPEX'!AI43:AI45)</f>
        <v>0</v>
      </c>
      <c r="AJ35" s="33">
        <f>SUM('8_COSTES_OPEX'!AJ43:AJ45)</f>
        <v>0</v>
      </c>
      <c r="AK35" s="33">
        <f>SUM('8_COSTES_OPEX'!AK43:AK45)</f>
        <v>0</v>
      </c>
      <c r="AL35" s="33">
        <f>SUM('8_COSTES_OPEX'!AL43:AL45)</f>
        <v>0</v>
      </c>
      <c r="AM35" s="33">
        <f>SUM('8_COSTES_OPEX'!AM43:AM45)</f>
        <v>0</v>
      </c>
      <c r="AN35" s="33">
        <f>SUM('8_COSTES_OPEX'!AN43:AN45)</f>
        <v>0</v>
      </c>
      <c r="AO35" s="33">
        <f>SUM('8_COSTES_OPEX'!AO43:AO45)</f>
        <v>0</v>
      </c>
      <c r="AP35" s="33">
        <f>SUM('8_COSTES_OPEX'!AP43:AP45)</f>
        <v>0</v>
      </c>
      <c r="AQ35" s="33">
        <f>SUM('8_COSTES_OPEX'!AQ43:AQ45)</f>
        <v>0</v>
      </c>
      <c r="AR35" s="33">
        <f>SUM('8_COSTES_OPEX'!AR43:AR45)</f>
        <v>0</v>
      </c>
      <c r="AS35" s="33">
        <f>SUM('8_COSTES_OPEX'!AS43:AS45)</f>
        <v>0</v>
      </c>
      <c r="AT35" s="33">
        <f>SUM('8_COSTES_OPEX'!AT43:AT45)</f>
        <v>0</v>
      </c>
      <c r="AU35" s="33">
        <f>SUM('8_COSTES_OPEX'!AU43:AU45)</f>
        <v>0</v>
      </c>
      <c r="AV35" s="33">
        <f>SUM('8_COSTES_OPEX'!AV43:AV45)</f>
        <v>0</v>
      </c>
      <c r="AW35" s="33">
        <f>SUM('8_COSTES_OPEX'!AW43:AW45)</f>
        <v>0</v>
      </c>
      <c r="AX35" s="33">
        <f>SUM('8_COSTES_OPEX'!AX43:AX45)</f>
        <v>0</v>
      </c>
      <c r="AY35" s="33">
        <f>SUM('8_COSTES_OPEX'!AY43:AY45)</f>
        <v>0</v>
      </c>
      <c r="AZ35" s="33">
        <f>SUM('8_COSTES_OPEX'!AZ43:AZ45)</f>
        <v>0</v>
      </c>
      <c r="BA35" s="33">
        <f>SUM('8_COSTES_OPEX'!BA43:BA45)</f>
        <v>0</v>
      </c>
      <c r="BB35" s="33">
        <f>SUM('8_COSTES_OPEX'!BB43:BB45)</f>
        <v>0</v>
      </c>
      <c r="BC35" s="33">
        <f>SUM('8_COSTES_OPEX'!BC43:BC45)</f>
        <v>0</v>
      </c>
      <c r="BD35" s="33">
        <f>SUM('8_COSTES_OPEX'!BD43:BD45)</f>
        <v>0</v>
      </c>
      <c r="BE35" s="33">
        <f>SUM('8_COSTES_OPEX'!BE43:BE45)</f>
        <v>0</v>
      </c>
      <c r="BF35" s="33">
        <f>SUM('8_COSTES_OPEX'!BF43:BF45)</f>
        <v>0</v>
      </c>
      <c r="BG35" s="33">
        <f>SUM('8_COSTES_OPEX'!BG43:BG45)</f>
        <v>0</v>
      </c>
      <c r="BH35" s="33">
        <f>SUM('8_COSTES_OPEX'!BH43:BH45)</f>
        <v>0</v>
      </c>
      <c r="BI35" s="33">
        <f>SUM('8_COSTES_OPEX'!BI43:BI45)</f>
        <v>0</v>
      </c>
      <c r="BJ35" s="33">
        <f>SUM('8_COSTES_OPEX'!BJ43:BJ45)</f>
        <v>0</v>
      </c>
      <c r="BK35" s="33">
        <f>SUM('8_COSTES_OPEX'!BK43:BK45)</f>
        <v>0</v>
      </c>
      <c r="BL35" s="33">
        <f>SUM('8_COSTES_OPEX'!BL43:BL45)</f>
        <v>0</v>
      </c>
      <c r="BM35" s="33">
        <f>SUM('8_COSTES_OPEX'!BM43:BM45)</f>
        <v>0</v>
      </c>
      <c r="BN35" s="33">
        <f>SUM('8_COSTES_OPEX'!BN43:BN45)</f>
        <v>0</v>
      </c>
      <c r="BO35" s="33">
        <f>SUM('8_COSTES_OPEX'!BO43:BO45)</f>
        <v>0</v>
      </c>
      <c r="BP35" s="33">
        <f>SUM('8_COSTES_OPEX'!BP43:BP45)</f>
        <v>0</v>
      </c>
      <c r="BQ35" s="33">
        <f>SUM('8_COSTES_OPEX'!BQ43:BQ45)</f>
        <v>0</v>
      </c>
      <c r="BR35" s="33">
        <f>SUM('8_COSTES_OPEX'!BR43:BR45)</f>
        <v>0</v>
      </c>
      <c r="BS35" s="33">
        <f>SUM('8_COSTES_OPEX'!BS43:BS45)</f>
        <v>0</v>
      </c>
      <c r="BT35" s="33">
        <f>SUM('8_COSTES_OPEX'!BT43:BT45)</f>
        <v>0</v>
      </c>
      <c r="BU35" s="33">
        <f>SUM('8_COSTES_OPEX'!BU43:BU45)</f>
        <v>0</v>
      </c>
      <c r="BV35" s="33">
        <f>SUM('8_COSTES_OPEX'!BV43:BV45)</f>
        <v>0</v>
      </c>
      <c r="BW35" s="33">
        <f>SUM('8_COSTES_OPEX'!BW43:BW45)</f>
        <v>0</v>
      </c>
      <c r="BX35" s="33">
        <f>SUM('8_COSTES_OPEX'!BX43:BX45)</f>
        <v>0</v>
      </c>
      <c r="BY35" s="33">
        <f>SUM('8_COSTES_OPEX'!BY43:BY45)</f>
        <v>0</v>
      </c>
      <c r="BZ35" s="33">
        <f>SUM('8_COSTES_OPEX'!BZ43:BZ45)</f>
        <v>0</v>
      </c>
      <c r="CA35" s="33">
        <f>SUM('8_COSTES_OPEX'!CA43:CA45)</f>
        <v>0</v>
      </c>
      <c r="CB35" s="33">
        <f>SUM('8_COSTES_OPEX'!CB43:CB45)</f>
        <v>0</v>
      </c>
      <c r="CC35" s="33">
        <f>SUM('8_COSTES_OPEX'!CC43:CC45)</f>
        <v>0</v>
      </c>
      <c r="CD35" s="33">
        <f>SUM('8_COSTES_OPEX'!CD43:CD45)</f>
        <v>0</v>
      </c>
      <c r="CE35" s="33">
        <f>SUM('8_COSTES_OPEX'!CE43:CE45)</f>
        <v>0</v>
      </c>
      <c r="CF35" s="33">
        <f>SUM('8_COSTES_OPEX'!CF43:CF45)</f>
        <v>0</v>
      </c>
      <c r="CG35" s="33">
        <f>SUM('8_COSTES_OPEX'!CG43:CG45)</f>
        <v>0</v>
      </c>
      <c r="CH35" s="33">
        <f>SUM('8_COSTES_OPEX'!CH43:CH45)</f>
        <v>0</v>
      </c>
      <c r="CI35" s="33">
        <f>SUM('8_COSTES_OPEX'!CI43:CI45)</f>
        <v>0</v>
      </c>
    </row>
    <row r="36" spans="1:87" ht="16.5">
      <c r="A36" s="6" t="s">
        <v>769</v>
      </c>
      <c r="B36" s="30" t="s">
        <v>465</v>
      </c>
      <c r="C36" s="17" t="s">
        <v>770</v>
      </c>
      <c r="D36" s="33">
        <f>SUM('8_COSTES_OPEX'!D36:D40)</f>
        <v>546.66999999999996</v>
      </c>
      <c r="E36" s="33">
        <f>SUM('8_COSTES_OPEX'!E36:E40)</f>
        <v>546.66999999999996</v>
      </c>
      <c r="F36" s="33">
        <f>SUM('8_COSTES_OPEX'!F36:F40)</f>
        <v>546.66999999999996</v>
      </c>
      <c r="G36" s="33">
        <f>SUM('8_COSTES_OPEX'!G36:G40)</f>
        <v>546.66999999999996</v>
      </c>
      <c r="H36" s="33">
        <f>SUM('8_COSTES_OPEX'!H36:H40)</f>
        <v>546.66999999999996</v>
      </c>
      <c r="I36" s="33">
        <f>SUM('8_COSTES_OPEX'!I36:I40)</f>
        <v>546.66999999999996</v>
      </c>
      <c r="J36" s="33">
        <f>SUM('8_COSTES_OPEX'!J36:J40)</f>
        <v>546.66999999999996</v>
      </c>
      <c r="K36" s="33">
        <f>SUM('8_COSTES_OPEX'!K36:K40)</f>
        <v>546.66999999999996</v>
      </c>
      <c r="L36" s="33">
        <f>SUM('8_COSTES_OPEX'!L36:L40)</f>
        <v>546.66999999999996</v>
      </c>
      <c r="M36" s="33">
        <f>SUM('8_COSTES_OPEX'!M36:M40)</f>
        <v>546.66999999999996</v>
      </c>
      <c r="N36" s="33">
        <f>SUM('8_COSTES_OPEX'!N36:N40)</f>
        <v>546.66999999999996</v>
      </c>
      <c r="O36" s="33">
        <f>SUM('8_COSTES_OPEX'!O36:O40)</f>
        <v>546.66999999999996</v>
      </c>
      <c r="P36" s="33">
        <f>SUM('8_COSTES_OPEX'!P36:P40)</f>
        <v>546.66999999999996</v>
      </c>
      <c r="Q36" s="33">
        <f>SUM('8_COSTES_OPEX'!Q36:Q40)</f>
        <v>546.66999999999996</v>
      </c>
      <c r="R36" s="33">
        <f>SUM('8_COSTES_OPEX'!R36:R40)</f>
        <v>546.66999999999996</v>
      </c>
      <c r="S36" s="33">
        <f>SUM('8_COSTES_OPEX'!S36:S40)</f>
        <v>546.66999999999996</v>
      </c>
      <c r="T36" s="33">
        <f>SUM('8_COSTES_OPEX'!T36:T40)</f>
        <v>546.66999999999996</v>
      </c>
      <c r="U36" s="33">
        <f>SUM('8_COSTES_OPEX'!U36:U40)</f>
        <v>546.66999999999996</v>
      </c>
      <c r="V36" s="33">
        <f>SUM('8_COSTES_OPEX'!V36:V40)</f>
        <v>546.66999999999996</v>
      </c>
      <c r="W36" s="33">
        <f>SUM('8_COSTES_OPEX'!W36:W40)</f>
        <v>546.66999999999996</v>
      </c>
      <c r="X36" s="33">
        <f>SUM('8_COSTES_OPEX'!X36:X40)</f>
        <v>546.66999999999996</v>
      </c>
      <c r="Y36" s="33">
        <f>SUM('8_COSTES_OPEX'!Y36:Y40)</f>
        <v>546.66999999999996</v>
      </c>
      <c r="Z36" s="33">
        <f>SUM('8_COSTES_OPEX'!Z36:Z40)</f>
        <v>546.66999999999996</v>
      </c>
      <c r="AA36" s="33">
        <f>SUM('8_COSTES_OPEX'!AA36:AA40)</f>
        <v>546.66999999999996</v>
      </c>
      <c r="AB36" s="33">
        <f>SUM('8_COSTES_OPEX'!AB36:AB40)</f>
        <v>546.66999999999996</v>
      </c>
      <c r="AC36" s="33">
        <f>SUM('8_COSTES_OPEX'!AC36:AC40)</f>
        <v>546.66999999999996</v>
      </c>
      <c r="AD36" s="33">
        <f>SUM('8_COSTES_OPEX'!AD36:AD40)</f>
        <v>546.66999999999996</v>
      </c>
      <c r="AE36" s="33">
        <f>SUM('8_COSTES_OPEX'!AE36:AE40)</f>
        <v>546.66999999999996</v>
      </c>
      <c r="AF36" s="33">
        <f>SUM('8_COSTES_OPEX'!AF36:AF40)</f>
        <v>546.66999999999996</v>
      </c>
      <c r="AG36" s="33">
        <f>SUM('8_COSTES_OPEX'!AG36:AG40)</f>
        <v>546.66999999999996</v>
      </c>
      <c r="AH36" s="33">
        <f>SUM('8_COSTES_OPEX'!AH36:AH40)</f>
        <v>546.66999999999996</v>
      </c>
      <c r="AI36" s="33">
        <f>SUM('8_COSTES_OPEX'!AI36:AI40)</f>
        <v>546.66999999999996</v>
      </c>
      <c r="AJ36" s="33">
        <f>SUM('8_COSTES_OPEX'!AJ36:AJ40)</f>
        <v>546.66999999999996</v>
      </c>
      <c r="AK36" s="33">
        <f>SUM('8_COSTES_OPEX'!AK36:AK40)</f>
        <v>546.66999999999996</v>
      </c>
      <c r="AL36" s="33">
        <f>SUM('8_COSTES_OPEX'!AL36:AL40)</f>
        <v>546.66999999999996</v>
      </c>
      <c r="AM36" s="33">
        <f>SUM('8_COSTES_OPEX'!AM36:AM40)</f>
        <v>546.66999999999996</v>
      </c>
      <c r="AN36" s="33">
        <f>SUM('8_COSTES_OPEX'!AN36:AN40)</f>
        <v>546.66999999999996</v>
      </c>
      <c r="AO36" s="33">
        <f>SUM('8_COSTES_OPEX'!AO36:AO40)</f>
        <v>546.66999999999996</v>
      </c>
      <c r="AP36" s="33">
        <f>SUM('8_COSTES_OPEX'!AP36:AP40)</f>
        <v>546.66999999999996</v>
      </c>
      <c r="AQ36" s="33">
        <f>SUM('8_COSTES_OPEX'!AQ36:AQ40)</f>
        <v>546.66999999999996</v>
      </c>
      <c r="AR36" s="33">
        <f>SUM('8_COSTES_OPEX'!AR36:AR40)</f>
        <v>546.66999999999996</v>
      </c>
      <c r="AS36" s="33">
        <f>SUM('8_COSTES_OPEX'!AS36:AS40)</f>
        <v>546.66999999999996</v>
      </c>
      <c r="AT36" s="33">
        <f>SUM('8_COSTES_OPEX'!AT36:AT40)</f>
        <v>546.66999999999996</v>
      </c>
      <c r="AU36" s="33">
        <f>SUM('8_COSTES_OPEX'!AU36:AU40)</f>
        <v>546.66999999999996</v>
      </c>
      <c r="AV36" s="33">
        <f>SUM('8_COSTES_OPEX'!AV36:AV40)</f>
        <v>546.66999999999996</v>
      </c>
      <c r="AW36" s="33">
        <f>SUM('8_COSTES_OPEX'!AW36:AW40)</f>
        <v>546.66999999999996</v>
      </c>
      <c r="AX36" s="33">
        <f>SUM('8_COSTES_OPEX'!AX36:AX40)</f>
        <v>546.66999999999996</v>
      </c>
      <c r="AY36" s="33">
        <f>SUM('8_COSTES_OPEX'!AY36:AY40)</f>
        <v>546.66999999999996</v>
      </c>
      <c r="AZ36" s="33">
        <f>SUM('8_COSTES_OPEX'!AZ36:AZ40)</f>
        <v>546.66999999999996</v>
      </c>
      <c r="BA36" s="33">
        <f>SUM('8_COSTES_OPEX'!BA36:BA40)</f>
        <v>546.66999999999996</v>
      </c>
      <c r="BB36" s="33">
        <f>SUM('8_COSTES_OPEX'!BB36:BB40)</f>
        <v>546.66999999999996</v>
      </c>
      <c r="BC36" s="33">
        <f>SUM('8_COSTES_OPEX'!BC36:BC40)</f>
        <v>546.66999999999996</v>
      </c>
      <c r="BD36" s="33">
        <f>SUM('8_COSTES_OPEX'!BD36:BD40)</f>
        <v>546.66999999999996</v>
      </c>
      <c r="BE36" s="33">
        <f>SUM('8_COSTES_OPEX'!BE36:BE40)</f>
        <v>546.66999999999996</v>
      </c>
      <c r="BF36" s="33">
        <f>SUM('8_COSTES_OPEX'!BF36:BF40)</f>
        <v>546.66999999999996</v>
      </c>
      <c r="BG36" s="33">
        <f>SUM('8_COSTES_OPEX'!BG36:BG40)</f>
        <v>546.66999999999996</v>
      </c>
      <c r="BH36" s="33">
        <f>SUM('8_COSTES_OPEX'!BH36:BH40)</f>
        <v>546.66999999999996</v>
      </c>
      <c r="BI36" s="33">
        <f>SUM('8_COSTES_OPEX'!BI36:BI40)</f>
        <v>546.66999999999996</v>
      </c>
      <c r="BJ36" s="33">
        <f>SUM('8_COSTES_OPEX'!BJ36:BJ40)</f>
        <v>546.66999999999996</v>
      </c>
      <c r="BK36" s="33">
        <f>SUM('8_COSTES_OPEX'!BK36:BK40)</f>
        <v>546.66999999999996</v>
      </c>
      <c r="BL36" s="33">
        <f>SUM('8_COSTES_OPEX'!BL36:BL40)</f>
        <v>546.66999999999996</v>
      </c>
      <c r="BM36" s="33">
        <f>SUM('8_COSTES_OPEX'!BM36:BM40)</f>
        <v>546.66999999999996</v>
      </c>
      <c r="BN36" s="33">
        <f>SUM('8_COSTES_OPEX'!BN36:BN40)</f>
        <v>546.66999999999996</v>
      </c>
      <c r="BO36" s="33">
        <f>SUM('8_COSTES_OPEX'!BO36:BO40)</f>
        <v>546.66999999999996</v>
      </c>
      <c r="BP36" s="33">
        <f>SUM('8_COSTES_OPEX'!BP36:BP40)</f>
        <v>546.66999999999996</v>
      </c>
      <c r="BQ36" s="33">
        <f>SUM('8_COSTES_OPEX'!BQ36:BQ40)</f>
        <v>546.66999999999996</v>
      </c>
      <c r="BR36" s="33">
        <f>SUM('8_COSTES_OPEX'!BR36:BR40)</f>
        <v>546.66999999999996</v>
      </c>
      <c r="BS36" s="33">
        <f>SUM('8_COSTES_OPEX'!BS36:BS40)</f>
        <v>546.66999999999996</v>
      </c>
      <c r="BT36" s="33">
        <f>SUM('8_COSTES_OPEX'!BT36:BT40)</f>
        <v>546.66999999999996</v>
      </c>
      <c r="BU36" s="33">
        <f>SUM('8_COSTES_OPEX'!BU36:BU40)</f>
        <v>546.66999999999996</v>
      </c>
      <c r="BV36" s="33">
        <f>SUM('8_COSTES_OPEX'!BV36:BV40)</f>
        <v>546.66999999999996</v>
      </c>
      <c r="BW36" s="33">
        <f>SUM('8_COSTES_OPEX'!BW36:BW40)</f>
        <v>546.66999999999996</v>
      </c>
      <c r="BX36" s="33">
        <f>SUM('8_COSTES_OPEX'!BX36:BX40)</f>
        <v>546.66999999999996</v>
      </c>
      <c r="BY36" s="33">
        <f>SUM('8_COSTES_OPEX'!BY36:BY40)</f>
        <v>546.66999999999996</v>
      </c>
      <c r="BZ36" s="33">
        <f>SUM('8_COSTES_OPEX'!BZ36:BZ40)</f>
        <v>546.66999999999996</v>
      </c>
      <c r="CA36" s="33">
        <f>SUM('8_COSTES_OPEX'!CA36:CA40)</f>
        <v>546.66999999999996</v>
      </c>
      <c r="CB36" s="33">
        <f>SUM('8_COSTES_OPEX'!CB36:CB40)</f>
        <v>546.66999999999996</v>
      </c>
      <c r="CC36" s="33">
        <f>SUM('8_COSTES_OPEX'!CC36:CC40)</f>
        <v>546.66999999999996</v>
      </c>
      <c r="CD36" s="33">
        <f>SUM('8_COSTES_OPEX'!CD36:CD40)</f>
        <v>546.66999999999996</v>
      </c>
      <c r="CE36" s="33">
        <f>SUM('8_COSTES_OPEX'!CE36:CE40)</f>
        <v>546.66999999999996</v>
      </c>
      <c r="CF36" s="33">
        <f>SUM('8_COSTES_OPEX'!CF36:CF40)</f>
        <v>546.66999999999996</v>
      </c>
      <c r="CG36" s="33">
        <f>SUM('8_COSTES_OPEX'!CG36:CG40)</f>
        <v>546.66999999999996</v>
      </c>
      <c r="CH36" s="33">
        <f>SUM('8_COSTES_OPEX'!CH36:CH40)</f>
        <v>546.66999999999996</v>
      </c>
      <c r="CI36" s="33">
        <f>SUM('8_COSTES_OPEX'!CI36:CI40)</f>
        <v>546.66999999999996</v>
      </c>
    </row>
    <row r="37" spans="1:87" ht="16.5">
      <c r="A37" s="5" t="s">
        <v>771</v>
      </c>
      <c r="B37" s="30" t="s">
        <v>465</v>
      </c>
      <c r="C37" s="17" t="s">
        <v>772</v>
      </c>
      <c r="D37" s="36">
        <f t="shared" ref="D37:AI37" si="6">D23-D25</f>
        <v>-12039.400632499994</v>
      </c>
      <c r="E37" s="36">
        <f t="shared" si="6"/>
        <v>-14215.227627499993</v>
      </c>
      <c r="F37" s="36">
        <f t="shared" si="6"/>
        <v>-11785.238496099992</v>
      </c>
      <c r="G37" s="36">
        <f t="shared" si="6"/>
        <v>-6764.2167251879946</v>
      </c>
      <c r="H37" s="36">
        <f t="shared" si="6"/>
        <v>-4873.4328306030329</v>
      </c>
      <c r="I37" s="36">
        <f t="shared" si="6"/>
        <v>-2907.9767414512789</v>
      </c>
      <c r="J37" s="36">
        <f t="shared" si="6"/>
        <v>-867.50376616738504</v>
      </c>
      <c r="K37" s="36">
        <f t="shared" si="6"/>
        <v>1322.4428921392318</v>
      </c>
      <c r="L37" s="36">
        <f t="shared" si="6"/>
        <v>3631.022904110363</v>
      </c>
      <c r="M37" s="36">
        <f t="shared" si="6"/>
        <v>4263.1632750391982</v>
      </c>
      <c r="N37" s="36">
        <f t="shared" si="6"/>
        <v>8624.2881826423327</v>
      </c>
      <c r="O37" s="36">
        <f t="shared" si="6"/>
        <v>11379.091476853719</v>
      </c>
      <c r="P37" s="36">
        <f t="shared" si="6"/>
        <v>-1154.7260973979937</v>
      </c>
      <c r="Q37" s="36">
        <f t="shared" si="6"/>
        <v>1795.9200574101633</v>
      </c>
      <c r="R37" s="36">
        <f t="shared" si="6"/>
        <v>5013.2307716029754</v>
      </c>
      <c r="S37" s="36">
        <f t="shared" si="6"/>
        <v>8370.5853499312216</v>
      </c>
      <c r="T37" s="36">
        <f t="shared" si="6"/>
        <v>11892.307264525713</v>
      </c>
      <c r="U37" s="36">
        <f t="shared" si="6"/>
        <v>15628.228365287767</v>
      </c>
      <c r="V37" s="36">
        <f t="shared" si="6"/>
        <v>16553.215641777453</v>
      </c>
      <c r="W37" s="36">
        <f t="shared" si="6"/>
        <v>20808.514105386319</v>
      </c>
      <c r="X37" s="36">
        <f t="shared" si="6"/>
        <v>25434.899387083897</v>
      </c>
      <c r="Y37" s="36">
        <f t="shared" si="6"/>
        <v>30358.755564317275</v>
      </c>
      <c r="Z37" s="36">
        <f t="shared" si="6"/>
        <v>35585.743690729338</v>
      </c>
      <c r="AA37" s="36">
        <f t="shared" si="6"/>
        <v>41296.975879254336</v>
      </c>
      <c r="AB37" s="36">
        <f t="shared" si="6"/>
        <v>43958.36775786135</v>
      </c>
      <c r="AC37" s="36">
        <f t="shared" si="6"/>
        <v>50584.533302756936</v>
      </c>
      <c r="AD37" s="36">
        <f t="shared" si="6"/>
        <v>57695.495056244159</v>
      </c>
      <c r="AE37" s="36">
        <f t="shared" si="6"/>
        <v>65317.889914010353</v>
      </c>
      <c r="AF37" s="36">
        <f t="shared" si="6"/>
        <v>73567.198394397856</v>
      </c>
      <c r="AG37" s="36">
        <f t="shared" si="6"/>
        <v>82455.407055216347</v>
      </c>
      <c r="AH37" s="36">
        <f t="shared" si="6"/>
        <v>92045.468376900302</v>
      </c>
      <c r="AI37" s="36">
        <f t="shared" si="6"/>
        <v>102344.046209319</v>
      </c>
      <c r="AJ37" s="36">
        <f t="shared" ref="AJ37:BO37" si="7">AJ23-AJ25</f>
        <v>113496.66325833122</v>
      </c>
      <c r="AK37" s="36">
        <f t="shared" si="7"/>
        <v>125443.21359226436</v>
      </c>
      <c r="AL37" s="36">
        <f t="shared" si="7"/>
        <v>138402.84482791214</v>
      </c>
      <c r="AM37" s="36">
        <f t="shared" si="7"/>
        <v>152338.36538541183</v>
      </c>
      <c r="AN37" s="36">
        <f t="shared" si="7"/>
        <v>167453.95538151145</v>
      </c>
      <c r="AO37" s="36">
        <f t="shared" si="7"/>
        <v>183660.04336129903</v>
      </c>
      <c r="AP37" s="36">
        <f t="shared" si="7"/>
        <v>201259.36549946963</v>
      </c>
      <c r="AQ37" s="36">
        <f t="shared" si="7"/>
        <v>220151.79650869383</v>
      </c>
      <c r="AR37" s="36">
        <f t="shared" si="7"/>
        <v>240664.111974656</v>
      </c>
      <c r="AS37" s="36">
        <f t="shared" si="7"/>
        <v>262715.40616989508</v>
      </c>
      <c r="AT37" s="36">
        <f t="shared" si="7"/>
        <v>286446.83795675344</v>
      </c>
      <c r="AU37" s="36">
        <f t="shared" si="7"/>
        <v>312184.01554856042</v>
      </c>
      <c r="AV37" s="36">
        <f t="shared" si="7"/>
        <v>339977.64373271185</v>
      </c>
      <c r="AW37" s="36">
        <f t="shared" si="7"/>
        <v>369934.61414459546</v>
      </c>
      <c r="AX37" s="36">
        <f t="shared" si="7"/>
        <v>402314.74891742982</v>
      </c>
      <c r="AY37" s="36">
        <f t="shared" si="7"/>
        <v>437247.09829509084</v>
      </c>
      <c r="AZ37" s="36">
        <f t="shared" si="7"/>
        <v>475013.46763296472</v>
      </c>
      <c r="BA37" s="36">
        <f t="shared" si="7"/>
        <v>515854.5973758687</v>
      </c>
      <c r="BB37" s="36">
        <f t="shared" si="7"/>
        <v>559775.07526720478</v>
      </c>
      <c r="BC37" s="36">
        <f t="shared" si="7"/>
        <v>607383.51103484782</v>
      </c>
      <c r="BD37" s="36">
        <f t="shared" si="7"/>
        <v>658662.80711690232</v>
      </c>
      <c r="BE37" s="36">
        <f t="shared" si="7"/>
        <v>714087.96503452118</v>
      </c>
      <c r="BF37" s="36">
        <f t="shared" si="7"/>
        <v>773963.38601454953</v>
      </c>
      <c r="BG37" s="36">
        <f t="shared" si="7"/>
        <v>838563.86561197997</v>
      </c>
      <c r="BH37" s="36">
        <f t="shared" si="7"/>
        <v>908336.49773120531</v>
      </c>
      <c r="BI37" s="36">
        <f t="shared" si="7"/>
        <v>983763.46787096816</v>
      </c>
      <c r="BJ37" s="36">
        <f t="shared" si="7"/>
        <v>1065101.7831459122</v>
      </c>
      <c r="BK37" s="36">
        <f t="shared" si="7"/>
        <v>1153045.9655428522</v>
      </c>
      <c r="BL37" s="36">
        <f t="shared" si="7"/>
        <v>1247946.405227547</v>
      </c>
      <c r="BM37" s="36">
        <f t="shared" si="7"/>
        <v>1350449.1467530171</v>
      </c>
      <c r="BN37" s="36">
        <f t="shared" si="7"/>
        <v>1461200.7290835255</v>
      </c>
      <c r="BO37" s="36">
        <f t="shared" si="7"/>
        <v>1580741.9323144741</v>
      </c>
      <c r="BP37" s="36">
        <f t="shared" ref="BP37:CI37" si="8">BP23-BP25</f>
        <v>1709908.276362899</v>
      </c>
      <c r="BQ37" s="36">
        <f t="shared" si="8"/>
        <v>1849421.4358761976</v>
      </c>
      <c r="BR37" s="36">
        <f t="shared" si="8"/>
        <v>1999999.2727335601</v>
      </c>
      <c r="BS37" s="36">
        <f t="shared" si="8"/>
        <v>2162647.1299705114</v>
      </c>
      <c r="BT37" s="36">
        <f t="shared" si="8"/>
        <v>2338346.4479924184</v>
      </c>
      <c r="BU37" s="36">
        <f t="shared" si="8"/>
        <v>2528087.8182330788</v>
      </c>
      <c r="BV37" s="36">
        <f t="shared" si="8"/>
        <v>2732931.7647349918</v>
      </c>
      <c r="BW37" s="36">
        <f t="shared" si="8"/>
        <v>2954199.8208540576</v>
      </c>
      <c r="BX37" s="36">
        <f t="shared" si="8"/>
        <v>3193224.4659236502</v>
      </c>
      <c r="BY37" s="36">
        <f t="shared" si="8"/>
        <v>3451340.4699518075</v>
      </c>
      <c r="BZ37" s="36">
        <f t="shared" si="8"/>
        <v>3730082.7845962187</v>
      </c>
      <c r="CA37" s="36">
        <f t="shared" si="8"/>
        <v>4031151.1248901831</v>
      </c>
      <c r="CB37" s="36">
        <f t="shared" si="8"/>
        <v>4356287.0581796644</v>
      </c>
      <c r="CC37" s="36">
        <f t="shared" si="8"/>
        <v>4707416.190752306</v>
      </c>
      <c r="CD37" s="36">
        <f t="shared" si="8"/>
        <v>5086696.6126197558</v>
      </c>
      <c r="CE37" s="36">
        <f t="shared" si="8"/>
        <v>5496321.9185306029</v>
      </c>
      <c r="CF37" s="36">
        <f t="shared" si="8"/>
        <v>5938655.5005933186</v>
      </c>
      <c r="CG37" s="36">
        <f t="shared" si="8"/>
        <v>6416418.0007530507</v>
      </c>
      <c r="CH37" s="36">
        <f t="shared" si="8"/>
        <v>6932408.106893559</v>
      </c>
      <c r="CI37" s="36">
        <f t="shared" si="8"/>
        <v>7489620.1170273134</v>
      </c>
    </row>
    <row r="38" spans="1:87" ht="16.5">
      <c r="A38" s="6" t="s">
        <v>773</v>
      </c>
      <c r="B38" s="30" t="s">
        <v>455</v>
      </c>
      <c r="C38" s="17" t="s">
        <v>774</v>
      </c>
      <c r="D38" s="31">
        <f t="shared" ref="D38:AI38" si="9">IF(D10&gt;0, D37/D10, 0)</f>
        <v>-0.99361900871451325</v>
      </c>
      <c r="E38" s="31">
        <f t="shared" si="9"/>
        <v>-1.0033143446929584</v>
      </c>
      <c r="F38" s="31">
        <f t="shared" si="9"/>
        <v>-0.72537311140289917</v>
      </c>
      <c r="G38" s="31">
        <f t="shared" si="9"/>
        <v>-0.36486137226557119</v>
      </c>
      <c r="H38" s="31">
        <f t="shared" si="9"/>
        <v>-0.23366689769402524</v>
      </c>
      <c r="I38" s="31">
        <f t="shared" si="9"/>
        <v>-0.12480156579824771</v>
      </c>
      <c r="J38" s="31">
        <f t="shared" si="9"/>
        <v>-3.3640082659121433E-2</v>
      </c>
      <c r="K38" s="31">
        <f t="shared" si="9"/>
        <v>4.6436025328640225E-2</v>
      </c>
      <c r="L38" s="31">
        <f t="shared" si="9"/>
        <v>0.11582080288155173</v>
      </c>
      <c r="M38" s="31">
        <f t="shared" si="9"/>
        <v>0.12407042445849091</v>
      </c>
      <c r="N38" s="31">
        <f t="shared" si="9"/>
        <v>0.22959860076724317</v>
      </c>
      <c r="O38" s="31">
        <f t="shared" si="9"/>
        <v>0.27770852280199038</v>
      </c>
      <c r="P38" s="31">
        <f t="shared" si="9"/>
        <v>-2.5939482498005734E-2</v>
      </c>
      <c r="Q38" s="31">
        <f t="shared" si="9"/>
        <v>3.7256160941099348E-2</v>
      </c>
      <c r="R38" s="31">
        <f t="shared" si="9"/>
        <v>9.5984549632194466E-2</v>
      </c>
      <c r="S38" s="31">
        <f t="shared" si="9"/>
        <v>0.14824351531502611</v>
      </c>
      <c r="T38" s="31">
        <f t="shared" si="9"/>
        <v>0.19529631675934814</v>
      </c>
      <c r="U38" s="31">
        <f t="shared" si="9"/>
        <v>0.23820286811528257</v>
      </c>
      <c r="V38" s="31">
        <f t="shared" si="9"/>
        <v>0.23420724924822267</v>
      </c>
      <c r="W38" s="31">
        <f t="shared" si="9"/>
        <v>0.27353788174110394</v>
      </c>
      <c r="X38" s="31">
        <f t="shared" si="9"/>
        <v>0.31046287272585776</v>
      </c>
      <c r="Y38" s="31">
        <f t="shared" si="9"/>
        <v>0.34434413086563481</v>
      </c>
      <c r="Z38" s="31">
        <f t="shared" si="9"/>
        <v>0.37540723240707874</v>
      </c>
      <c r="AA38" s="31">
        <f t="shared" si="9"/>
        <v>0.40468452096816365</v>
      </c>
      <c r="AB38" s="31">
        <f t="shared" si="9"/>
        <v>0.40014747708270731</v>
      </c>
      <c r="AC38" s="31">
        <f t="shared" si="9"/>
        <v>0.42767399785507737</v>
      </c>
      <c r="AD38" s="31">
        <f t="shared" si="9"/>
        <v>0.45324665326868396</v>
      </c>
      <c r="AE38" s="31">
        <f t="shared" si="9"/>
        <v>0.47684209109051301</v>
      </c>
      <c r="AF38" s="31">
        <f t="shared" si="9"/>
        <v>0.49889696121118859</v>
      </c>
      <c r="AG38" s="31">
        <f t="shared" si="9"/>
        <v>0.51940769472514703</v>
      </c>
      <c r="AH38" s="31">
        <f t="shared" si="9"/>
        <v>0.53852807676606484</v>
      </c>
      <c r="AI38" s="31">
        <f t="shared" si="9"/>
        <v>0.55613354183635666</v>
      </c>
      <c r="AJ38" s="31">
        <f t="shared" ref="AJ38:BO38" si="10">IF(AJ10&gt;0, AJ37/AJ10, 0)</f>
        <v>0.57267798551958216</v>
      </c>
      <c r="AK38" s="31">
        <f t="shared" si="10"/>
        <v>0.58788791337807134</v>
      </c>
      <c r="AL38" s="31">
        <f t="shared" si="10"/>
        <v>0.60215538464140106</v>
      </c>
      <c r="AM38" s="31">
        <f t="shared" si="10"/>
        <v>0.61538290442284571</v>
      </c>
      <c r="AN38" s="31">
        <f t="shared" si="10"/>
        <v>0.6277371667977244</v>
      </c>
      <c r="AO38" s="31">
        <f t="shared" si="10"/>
        <v>0.63907401141649178</v>
      </c>
      <c r="AP38" s="31">
        <f t="shared" si="10"/>
        <v>0.64974166379487486</v>
      </c>
      <c r="AQ38" s="31">
        <f t="shared" si="10"/>
        <v>0.6595945681971499</v>
      </c>
      <c r="AR38" s="31">
        <f t="shared" si="10"/>
        <v>0.66874987566954758</v>
      </c>
      <c r="AS38" s="31">
        <f t="shared" si="10"/>
        <v>0.67727839317735783</v>
      </c>
      <c r="AT38" s="31">
        <f t="shared" si="10"/>
        <v>0.68512260282227844</v>
      </c>
      <c r="AU38" s="31">
        <f t="shared" si="10"/>
        <v>0.69249116572487746</v>
      </c>
      <c r="AV38" s="31">
        <f t="shared" si="10"/>
        <v>0.69930448002032064</v>
      </c>
      <c r="AW38" s="31">
        <f t="shared" si="10"/>
        <v>0.70560655527916338</v>
      </c>
      <c r="AX38" s="31">
        <f t="shared" si="10"/>
        <v>0.71145351438484028</v>
      </c>
      <c r="AY38" s="31">
        <f t="shared" si="10"/>
        <v>0.7169356266135507</v>
      </c>
      <c r="AZ38" s="31">
        <f t="shared" si="10"/>
        <v>0.72198655485887875</v>
      </c>
      <c r="BA38" s="31">
        <f t="shared" si="10"/>
        <v>0.72667749721731767</v>
      </c>
      <c r="BB38" s="31">
        <f t="shared" si="10"/>
        <v>0.73103251051706986</v>
      </c>
      <c r="BC38" s="31">
        <f t="shared" si="10"/>
        <v>0.73505532796879547</v>
      </c>
      <c r="BD38" s="31">
        <f t="shared" si="10"/>
        <v>0.73879532906783074</v>
      </c>
      <c r="BE38" s="31">
        <f t="shared" si="10"/>
        <v>0.74228287714849639</v>
      </c>
      <c r="BF38" s="31">
        <f t="shared" si="10"/>
        <v>0.74549508540280207</v>
      </c>
      <c r="BG38" s="31">
        <f t="shared" si="10"/>
        <v>0.74846895419851223</v>
      </c>
      <c r="BH38" s="31">
        <f t="shared" si="10"/>
        <v>0.75124437189033866</v>
      </c>
      <c r="BI38" s="31">
        <f t="shared" si="10"/>
        <v>0.75380185426903223</v>
      </c>
      <c r="BJ38" s="31">
        <f t="shared" si="10"/>
        <v>0.75618636315800325</v>
      </c>
      <c r="BK38" s="31">
        <f t="shared" si="10"/>
        <v>0.7583840603679286</v>
      </c>
      <c r="BL38" s="31">
        <f t="shared" si="10"/>
        <v>0.76042174458063827</v>
      </c>
      <c r="BM38" s="31">
        <f t="shared" si="10"/>
        <v>0.76232000533945299</v>
      </c>
      <c r="BN38" s="31">
        <f t="shared" si="10"/>
        <v>0.76407145813219823</v>
      </c>
      <c r="BO38" s="31">
        <f t="shared" si="10"/>
        <v>0.76569266956628579</v>
      </c>
      <c r="BP38" s="31">
        <f t="shared" ref="BP38:CU38" si="11">IF(BP10&gt;0, BP37/BP10, 0)</f>
        <v>0.76719521295995452</v>
      </c>
      <c r="BQ38" s="31">
        <f t="shared" si="11"/>
        <v>0.76859075306521751</v>
      </c>
      <c r="BR38" s="31">
        <f t="shared" si="11"/>
        <v>0.76988638227564021</v>
      </c>
      <c r="BS38" s="31">
        <f t="shared" si="11"/>
        <v>0.77108437357204906</v>
      </c>
      <c r="BT38" s="31">
        <f t="shared" si="11"/>
        <v>0.77219332936440455</v>
      </c>
      <c r="BU38" s="31">
        <f t="shared" si="11"/>
        <v>0.77322015457129967</v>
      </c>
      <c r="BV38" s="31">
        <f t="shared" si="11"/>
        <v>0.77417319710510346</v>
      </c>
      <c r="BW38" s="31">
        <f t="shared" si="11"/>
        <v>0.77505368940904684</v>
      </c>
      <c r="BX38" s="31">
        <f t="shared" si="11"/>
        <v>0.77586949666194238</v>
      </c>
      <c r="BY38" s="31">
        <f t="shared" si="11"/>
        <v>0.776625774704087</v>
      </c>
      <c r="BZ38" s="31">
        <f t="shared" si="11"/>
        <v>0.77732659814223959</v>
      </c>
      <c r="CA38" s="31">
        <f t="shared" si="11"/>
        <v>0.7779731396965438</v>
      </c>
      <c r="CB38" s="31">
        <f t="shared" si="11"/>
        <v>0.77857851814615486</v>
      </c>
      <c r="CC38" s="31">
        <f t="shared" si="11"/>
        <v>0.77913480343377184</v>
      </c>
      <c r="CD38" s="31">
        <f t="shared" si="11"/>
        <v>0.77964655057250376</v>
      </c>
      <c r="CE38" s="31">
        <f t="shared" si="11"/>
        <v>0.78012671789469967</v>
      </c>
      <c r="CF38" s="31">
        <f t="shared" si="11"/>
        <v>0.78056956538353817</v>
      </c>
      <c r="CG38" s="31">
        <f t="shared" si="11"/>
        <v>0.78097803305849411</v>
      </c>
      <c r="CH38" s="31">
        <f t="shared" si="11"/>
        <v>0.78135836934564318</v>
      </c>
      <c r="CI38" s="31">
        <f t="shared" si="11"/>
        <v>0.78171055427311498</v>
      </c>
    </row>
    <row r="39" spans="1:87" ht="16.5">
      <c r="A39" s="6" t="s">
        <v>775</v>
      </c>
      <c r="B39" s="30" t="s">
        <v>465</v>
      </c>
      <c r="C39" s="17" t="s">
        <v>776</v>
      </c>
      <c r="D39" s="33">
        <f>'8_COSTES_OPEX'!D46</f>
        <v>0</v>
      </c>
      <c r="E39" s="33">
        <f>'8_COSTES_OPEX'!E46</f>
        <v>0</v>
      </c>
      <c r="F39" s="33">
        <f>'8_COSTES_OPEX'!F46</f>
        <v>0</v>
      </c>
      <c r="G39" s="33">
        <f>'8_COSTES_OPEX'!G46</f>
        <v>0</v>
      </c>
      <c r="H39" s="33">
        <f>'8_COSTES_OPEX'!H46</f>
        <v>0</v>
      </c>
      <c r="I39" s="33">
        <f>'8_COSTES_OPEX'!I46</f>
        <v>0</v>
      </c>
      <c r="J39" s="33">
        <f>'8_COSTES_OPEX'!J46</f>
        <v>0</v>
      </c>
      <c r="K39" s="33">
        <f>'8_COSTES_OPEX'!K46</f>
        <v>0</v>
      </c>
      <c r="L39" s="33">
        <f>'8_COSTES_OPEX'!L46</f>
        <v>0</v>
      </c>
      <c r="M39" s="33">
        <f>'8_COSTES_OPEX'!M46</f>
        <v>0</v>
      </c>
      <c r="N39" s="33">
        <f>'8_COSTES_OPEX'!N46</f>
        <v>0</v>
      </c>
      <c r="O39" s="33">
        <f>'8_COSTES_OPEX'!O46</f>
        <v>0</v>
      </c>
      <c r="P39" s="33">
        <f>'8_COSTES_OPEX'!P46</f>
        <v>0</v>
      </c>
      <c r="Q39" s="33">
        <f>'8_COSTES_OPEX'!Q46</f>
        <v>0</v>
      </c>
      <c r="R39" s="33">
        <f>'8_COSTES_OPEX'!R46</f>
        <v>0</v>
      </c>
      <c r="S39" s="33">
        <f>'8_COSTES_OPEX'!S46</f>
        <v>0</v>
      </c>
      <c r="T39" s="33">
        <f>'8_COSTES_OPEX'!T46</f>
        <v>0</v>
      </c>
      <c r="U39" s="33">
        <f>'8_COSTES_OPEX'!U46</f>
        <v>0</v>
      </c>
      <c r="V39" s="33">
        <f>'8_COSTES_OPEX'!V46</f>
        <v>0</v>
      </c>
      <c r="W39" s="33">
        <f>'8_COSTES_OPEX'!W46</f>
        <v>0</v>
      </c>
      <c r="X39" s="33">
        <f>'8_COSTES_OPEX'!X46</f>
        <v>0</v>
      </c>
      <c r="Y39" s="33">
        <f>'8_COSTES_OPEX'!Y46</f>
        <v>0</v>
      </c>
      <c r="Z39" s="33">
        <f>'8_COSTES_OPEX'!Z46</f>
        <v>0</v>
      </c>
      <c r="AA39" s="33">
        <f>'8_COSTES_OPEX'!AA46</f>
        <v>0</v>
      </c>
      <c r="AB39" s="33">
        <f>'8_COSTES_OPEX'!AB46</f>
        <v>0</v>
      </c>
      <c r="AC39" s="33">
        <f>'8_COSTES_OPEX'!AC46</f>
        <v>0</v>
      </c>
      <c r="AD39" s="33">
        <f>'8_COSTES_OPEX'!AD46</f>
        <v>0</v>
      </c>
      <c r="AE39" s="33">
        <f>'8_COSTES_OPEX'!AE46</f>
        <v>0</v>
      </c>
      <c r="AF39" s="33">
        <f>'8_COSTES_OPEX'!AF46</f>
        <v>0</v>
      </c>
      <c r="AG39" s="33">
        <f>'8_COSTES_OPEX'!AG46</f>
        <v>0</v>
      </c>
      <c r="AH39" s="33">
        <f>'8_COSTES_OPEX'!AH46</f>
        <v>0</v>
      </c>
      <c r="AI39" s="33">
        <f>'8_COSTES_OPEX'!AI46</f>
        <v>0</v>
      </c>
      <c r="AJ39" s="33">
        <f>'8_COSTES_OPEX'!AJ46</f>
        <v>0</v>
      </c>
      <c r="AK39" s="33">
        <f>'8_COSTES_OPEX'!AK46</f>
        <v>0</v>
      </c>
      <c r="AL39" s="33">
        <f>'8_COSTES_OPEX'!AL46</f>
        <v>0</v>
      </c>
      <c r="AM39" s="33">
        <f>'8_COSTES_OPEX'!AM46</f>
        <v>0</v>
      </c>
      <c r="AN39" s="33">
        <f>'8_COSTES_OPEX'!AN46</f>
        <v>0</v>
      </c>
      <c r="AO39" s="33">
        <f>'8_COSTES_OPEX'!AO46</f>
        <v>0</v>
      </c>
      <c r="AP39" s="33">
        <f>'8_COSTES_OPEX'!AP46</f>
        <v>0</v>
      </c>
      <c r="AQ39" s="33">
        <f>'8_COSTES_OPEX'!AQ46</f>
        <v>0</v>
      </c>
      <c r="AR39" s="33">
        <f>'8_COSTES_OPEX'!AR46</f>
        <v>0</v>
      </c>
      <c r="AS39" s="33">
        <f>'8_COSTES_OPEX'!AS46</f>
        <v>0</v>
      </c>
      <c r="AT39" s="33">
        <f>'8_COSTES_OPEX'!AT46</f>
        <v>0</v>
      </c>
      <c r="AU39" s="33">
        <f>'8_COSTES_OPEX'!AU46</f>
        <v>0</v>
      </c>
      <c r="AV39" s="33">
        <f>'8_COSTES_OPEX'!AV46</f>
        <v>0</v>
      </c>
      <c r="AW39" s="33">
        <f>'8_COSTES_OPEX'!AW46</f>
        <v>0</v>
      </c>
      <c r="AX39" s="33">
        <f>'8_COSTES_OPEX'!AX46</f>
        <v>0</v>
      </c>
      <c r="AY39" s="33">
        <f>'8_COSTES_OPEX'!AY46</f>
        <v>0</v>
      </c>
      <c r="AZ39" s="33">
        <f>'8_COSTES_OPEX'!AZ46</f>
        <v>0</v>
      </c>
      <c r="BA39" s="33">
        <f>'8_COSTES_OPEX'!BA46</f>
        <v>0</v>
      </c>
      <c r="BB39" s="33">
        <f>'8_COSTES_OPEX'!BB46</f>
        <v>0</v>
      </c>
      <c r="BC39" s="33">
        <f>'8_COSTES_OPEX'!BC46</f>
        <v>0</v>
      </c>
      <c r="BD39" s="33">
        <f>'8_COSTES_OPEX'!BD46</f>
        <v>0</v>
      </c>
      <c r="BE39" s="33">
        <f>'8_COSTES_OPEX'!BE46</f>
        <v>0</v>
      </c>
      <c r="BF39" s="33">
        <f>'8_COSTES_OPEX'!BF46</f>
        <v>0</v>
      </c>
      <c r="BG39" s="33">
        <f>'8_COSTES_OPEX'!BG46</f>
        <v>0</v>
      </c>
      <c r="BH39" s="33">
        <f>'8_COSTES_OPEX'!BH46</f>
        <v>0</v>
      </c>
      <c r="BI39" s="33">
        <f>'8_COSTES_OPEX'!BI46</f>
        <v>0</v>
      </c>
      <c r="BJ39" s="33">
        <f>'8_COSTES_OPEX'!BJ46</f>
        <v>0</v>
      </c>
      <c r="BK39" s="33">
        <f>'8_COSTES_OPEX'!BK46</f>
        <v>0</v>
      </c>
      <c r="BL39" s="33">
        <f>'8_COSTES_OPEX'!BL46</f>
        <v>0</v>
      </c>
      <c r="BM39" s="33">
        <f>'8_COSTES_OPEX'!BM46</f>
        <v>0</v>
      </c>
      <c r="BN39" s="33">
        <f>'8_COSTES_OPEX'!BN46</f>
        <v>0</v>
      </c>
      <c r="BO39" s="33">
        <f>'8_COSTES_OPEX'!BO46</f>
        <v>0</v>
      </c>
      <c r="BP39" s="33">
        <f>'8_COSTES_OPEX'!BP46</f>
        <v>0</v>
      </c>
      <c r="BQ39" s="33">
        <f>'8_COSTES_OPEX'!BQ46</f>
        <v>0</v>
      </c>
      <c r="BR39" s="33">
        <f>'8_COSTES_OPEX'!BR46</f>
        <v>0</v>
      </c>
      <c r="BS39" s="33">
        <f>'8_COSTES_OPEX'!BS46</f>
        <v>0</v>
      </c>
      <c r="BT39" s="33">
        <f>'8_COSTES_OPEX'!BT46</f>
        <v>0</v>
      </c>
      <c r="BU39" s="33">
        <f>'8_COSTES_OPEX'!BU46</f>
        <v>0</v>
      </c>
      <c r="BV39" s="33">
        <f>'8_COSTES_OPEX'!BV46</f>
        <v>0</v>
      </c>
      <c r="BW39" s="33">
        <f>'8_COSTES_OPEX'!BW46</f>
        <v>0</v>
      </c>
      <c r="BX39" s="33">
        <f>'8_COSTES_OPEX'!BX46</f>
        <v>0</v>
      </c>
      <c r="BY39" s="33">
        <f>'8_COSTES_OPEX'!BY46</f>
        <v>0</v>
      </c>
      <c r="BZ39" s="33">
        <f>'8_COSTES_OPEX'!BZ46</f>
        <v>0</v>
      </c>
      <c r="CA39" s="33">
        <f>'8_COSTES_OPEX'!CA46</f>
        <v>0</v>
      </c>
      <c r="CB39" s="33">
        <f>'8_COSTES_OPEX'!CB46</f>
        <v>0</v>
      </c>
      <c r="CC39" s="33">
        <f>'8_COSTES_OPEX'!CC46</f>
        <v>0</v>
      </c>
      <c r="CD39" s="33">
        <f>'8_COSTES_OPEX'!CD46</f>
        <v>0</v>
      </c>
      <c r="CE39" s="33">
        <f>'8_COSTES_OPEX'!CE46</f>
        <v>0</v>
      </c>
      <c r="CF39" s="33">
        <f>'8_COSTES_OPEX'!CF46</f>
        <v>0</v>
      </c>
      <c r="CG39" s="33">
        <f>'8_COSTES_OPEX'!CG46</f>
        <v>0</v>
      </c>
      <c r="CH39" s="33">
        <f>'8_COSTES_OPEX'!CH46</f>
        <v>0</v>
      </c>
      <c r="CI39" s="33">
        <f>'8_COSTES_OPEX'!CI46</f>
        <v>0</v>
      </c>
    </row>
    <row r="40" spans="1:87" ht="16.5">
      <c r="A40" s="5" t="s">
        <v>777</v>
      </c>
      <c r="B40" s="30" t="s">
        <v>465</v>
      </c>
      <c r="C40" s="17" t="s">
        <v>778</v>
      </c>
      <c r="D40" s="36">
        <f t="shared" ref="D40:AI40" si="12">D37-D39</f>
        <v>-12039.400632499994</v>
      </c>
      <c r="E40" s="36">
        <f t="shared" si="12"/>
        <v>-14215.227627499993</v>
      </c>
      <c r="F40" s="36">
        <f t="shared" si="12"/>
        <v>-11785.238496099992</v>
      </c>
      <c r="G40" s="36">
        <f t="shared" si="12"/>
        <v>-6764.2167251879946</v>
      </c>
      <c r="H40" s="36">
        <f t="shared" si="12"/>
        <v>-4873.4328306030329</v>
      </c>
      <c r="I40" s="36">
        <f t="shared" si="12"/>
        <v>-2907.9767414512789</v>
      </c>
      <c r="J40" s="36">
        <f t="shared" si="12"/>
        <v>-867.50376616738504</v>
      </c>
      <c r="K40" s="36">
        <f t="shared" si="12"/>
        <v>1322.4428921392318</v>
      </c>
      <c r="L40" s="36">
        <f t="shared" si="12"/>
        <v>3631.022904110363</v>
      </c>
      <c r="M40" s="36">
        <f t="shared" si="12"/>
        <v>4263.1632750391982</v>
      </c>
      <c r="N40" s="36">
        <f t="shared" si="12"/>
        <v>8624.2881826423327</v>
      </c>
      <c r="O40" s="36">
        <f t="shared" si="12"/>
        <v>11379.091476853719</v>
      </c>
      <c r="P40" s="36">
        <f t="shared" si="12"/>
        <v>-1154.7260973979937</v>
      </c>
      <c r="Q40" s="36">
        <f t="shared" si="12"/>
        <v>1795.9200574101633</v>
      </c>
      <c r="R40" s="36">
        <f t="shared" si="12"/>
        <v>5013.2307716029754</v>
      </c>
      <c r="S40" s="36">
        <f t="shared" si="12"/>
        <v>8370.5853499312216</v>
      </c>
      <c r="T40" s="36">
        <f t="shared" si="12"/>
        <v>11892.307264525713</v>
      </c>
      <c r="U40" s="36">
        <f t="shared" si="12"/>
        <v>15628.228365287767</v>
      </c>
      <c r="V40" s="36">
        <f t="shared" si="12"/>
        <v>16553.215641777453</v>
      </c>
      <c r="W40" s="36">
        <f t="shared" si="12"/>
        <v>20808.514105386319</v>
      </c>
      <c r="X40" s="36">
        <f t="shared" si="12"/>
        <v>25434.899387083897</v>
      </c>
      <c r="Y40" s="36">
        <f t="shared" si="12"/>
        <v>30358.755564317275</v>
      </c>
      <c r="Z40" s="36">
        <f t="shared" si="12"/>
        <v>35585.743690729338</v>
      </c>
      <c r="AA40" s="36">
        <f t="shared" si="12"/>
        <v>41296.975879254336</v>
      </c>
      <c r="AB40" s="36">
        <f t="shared" si="12"/>
        <v>43958.36775786135</v>
      </c>
      <c r="AC40" s="36">
        <f t="shared" si="12"/>
        <v>50584.533302756936</v>
      </c>
      <c r="AD40" s="36">
        <f t="shared" si="12"/>
        <v>57695.495056244159</v>
      </c>
      <c r="AE40" s="36">
        <f t="shared" si="12"/>
        <v>65317.889914010353</v>
      </c>
      <c r="AF40" s="36">
        <f t="shared" si="12"/>
        <v>73567.198394397856</v>
      </c>
      <c r="AG40" s="36">
        <f t="shared" si="12"/>
        <v>82455.407055216347</v>
      </c>
      <c r="AH40" s="36">
        <f t="shared" si="12"/>
        <v>92045.468376900302</v>
      </c>
      <c r="AI40" s="36">
        <f t="shared" si="12"/>
        <v>102344.046209319</v>
      </c>
      <c r="AJ40" s="36">
        <f t="shared" ref="AJ40:BO40" si="13">AJ37-AJ39</f>
        <v>113496.66325833122</v>
      </c>
      <c r="AK40" s="36">
        <f t="shared" si="13"/>
        <v>125443.21359226436</v>
      </c>
      <c r="AL40" s="36">
        <f t="shared" si="13"/>
        <v>138402.84482791214</v>
      </c>
      <c r="AM40" s="36">
        <f t="shared" si="13"/>
        <v>152338.36538541183</v>
      </c>
      <c r="AN40" s="36">
        <f t="shared" si="13"/>
        <v>167453.95538151145</v>
      </c>
      <c r="AO40" s="36">
        <f t="shared" si="13"/>
        <v>183660.04336129903</v>
      </c>
      <c r="AP40" s="36">
        <f t="shared" si="13"/>
        <v>201259.36549946963</v>
      </c>
      <c r="AQ40" s="36">
        <f t="shared" si="13"/>
        <v>220151.79650869383</v>
      </c>
      <c r="AR40" s="36">
        <f t="shared" si="13"/>
        <v>240664.111974656</v>
      </c>
      <c r="AS40" s="36">
        <f t="shared" si="13"/>
        <v>262715.40616989508</v>
      </c>
      <c r="AT40" s="36">
        <f t="shared" si="13"/>
        <v>286446.83795675344</v>
      </c>
      <c r="AU40" s="36">
        <f t="shared" si="13"/>
        <v>312184.01554856042</v>
      </c>
      <c r="AV40" s="36">
        <f t="shared" si="13"/>
        <v>339977.64373271185</v>
      </c>
      <c r="AW40" s="36">
        <f t="shared" si="13"/>
        <v>369934.61414459546</v>
      </c>
      <c r="AX40" s="36">
        <f t="shared" si="13"/>
        <v>402314.74891742982</v>
      </c>
      <c r="AY40" s="36">
        <f t="shared" si="13"/>
        <v>437247.09829509084</v>
      </c>
      <c r="AZ40" s="36">
        <f t="shared" si="13"/>
        <v>475013.46763296472</v>
      </c>
      <c r="BA40" s="36">
        <f t="shared" si="13"/>
        <v>515854.5973758687</v>
      </c>
      <c r="BB40" s="36">
        <f t="shared" si="13"/>
        <v>559775.07526720478</v>
      </c>
      <c r="BC40" s="36">
        <f t="shared" si="13"/>
        <v>607383.51103484782</v>
      </c>
      <c r="BD40" s="36">
        <f t="shared" si="13"/>
        <v>658662.80711690232</v>
      </c>
      <c r="BE40" s="36">
        <f t="shared" si="13"/>
        <v>714087.96503452118</v>
      </c>
      <c r="BF40" s="36">
        <f t="shared" si="13"/>
        <v>773963.38601454953</v>
      </c>
      <c r="BG40" s="36">
        <f t="shared" si="13"/>
        <v>838563.86561197997</v>
      </c>
      <c r="BH40" s="36">
        <f t="shared" si="13"/>
        <v>908336.49773120531</v>
      </c>
      <c r="BI40" s="36">
        <f t="shared" si="13"/>
        <v>983763.46787096816</v>
      </c>
      <c r="BJ40" s="36">
        <f t="shared" si="13"/>
        <v>1065101.7831459122</v>
      </c>
      <c r="BK40" s="36">
        <f t="shared" si="13"/>
        <v>1153045.9655428522</v>
      </c>
      <c r="BL40" s="36">
        <f t="shared" si="13"/>
        <v>1247946.405227547</v>
      </c>
      <c r="BM40" s="36">
        <f t="shared" si="13"/>
        <v>1350449.1467530171</v>
      </c>
      <c r="BN40" s="36">
        <f t="shared" si="13"/>
        <v>1461200.7290835255</v>
      </c>
      <c r="BO40" s="36">
        <f t="shared" si="13"/>
        <v>1580741.9323144741</v>
      </c>
      <c r="BP40" s="36">
        <f t="shared" ref="BP40:CU40" si="14">BP37-BP39</f>
        <v>1709908.276362899</v>
      </c>
      <c r="BQ40" s="36">
        <f t="shared" si="14"/>
        <v>1849421.4358761976</v>
      </c>
      <c r="BR40" s="36">
        <f t="shared" si="14"/>
        <v>1999999.2727335601</v>
      </c>
      <c r="BS40" s="36">
        <f t="shared" si="14"/>
        <v>2162647.1299705114</v>
      </c>
      <c r="BT40" s="36">
        <f t="shared" si="14"/>
        <v>2338346.4479924184</v>
      </c>
      <c r="BU40" s="36">
        <f t="shared" si="14"/>
        <v>2528087.8182330788</v>
      </c>
      <c r="BV40" s="36">
        <f t="shared" si="14"/>
        <v>2732931.7647349918</v>
      </c>
      <c r="BW40" s="36">
        <f t="shared" si="14"/>
        <v>2954199.8208540576</v>
      </c>
      <c r="BX40" s="36">
        <f t="shared" si="14"/>
        <v>3193224.4659236502</v>
      </c>
      <c r="BY40" s="36">
        <f t="shared" si="14"/>
        <v>3451340.4699518075</v>
      </c>
      <c r="BZ40" s="36">
        <f t="shared" si="14"/>
        <v>3730082.7845962187</v>
      </c>
      <c r="CA40" s="36">
        <f t="shared" si="14"/>
        <v>4031151.1248901831</v>
      </c>
      <c r="CB40" s="36">
        <f t="shared" si="14"/>
        <v>4356287.0581796644</v>
      </c>
      <c r="CC40" s="36">
        <f t="shared" si="14"/>
        <v>4707416.190752306</v>
      </c>
      <c r="CD40" s="36">
        <f t="shared" si="14"/>
        <v>5086696.6126197558</v>
      </c>
      <c r="CE40" s="36">
        <f t="shared" si="14"/>
        <v>5496321.9185306029</v>
      </c>
      <c r="CF40" s="36">
        <f t="shared" si="14"/>
        <v>5938655.5005933186</v>
      </c>
      <c r="CG40" s="36">
        <f t="shared" si="14"/>
        <v>6416418.0007530507</v>
      </c>
      <c r="CH40" s="36">
        <f t="shared" si="14"/>
        <v>6932408.106893559</v>
      </c>
      <c r="CI40" s="36">
        <f t="shared" si="14"/>
        <v>7489620.1170273134</v>
      </c>
    </row>
    <row r="41" spans="1:87" ht="16.5">
      <c r="A41" s="6" t="s">
        <v>779</v>
      </c>
      <c r="B41" s="30" t="s">
        <v>465</v>
      </c>
      <c r="C41" s="17" t="s">
        <v>780</v>
      </c>
      <c r="D41" s="33">
        <f>'13_CAP_TABLE_FINANCIACION'!D37</f>
        <v>375</v>
      </c>
      <c r="E41" s="33">
        <f>'13_CAP_TABLE_FINANCIACION'!E37</f>
        <v>375</v>
      </c>
      <c r="F41" s="33">
        <f>'13_CAP_TABLE_FINANCIACION'!F37</f>
        <v>375</v>
      </c>
      <c r="G41" s="33">
        <f>'13_CAP_TABLE_FINANCIACION'!G37</f>
        <v>375</v>
      </c>
      <c r="H41" s="33">
        <f>'13_CAP_TABLE_FINANCIACION'!H37</f>
        <v>375</v>
      </c>
      <c r="I41" s="33">
        <f>'13_CAP_TABLE_FINANCIACION'!I37</f>
        <v>375</v>
      </c>
      <c r="J41" s="33">
        <f>'13_CAP_TABLE_FINANCIACION'!J37</f>
        <v>375</v>
      </c>
      <c r="K41" s="33">
        <f>'13_CAP_TABLE_FINANCIACION'!K37</f>
        <v>375</v>
      </c>
      <c r="L41" s="33">
        <f>'13_CAP_TABLE_FINANCIACION'!L37</f>
        <v>375</v>
      </c>
      <c r="M41" s="33">
        <f>'13_CAP_TABLE_FINANCIACION'!M37</f>
        <v>375</v>
      </c>
      <c r="N41" s="33">
        <f>'13_CAP_TABLE_FINANCIACION'!N37</f>
        <v>375</v>
      </c>
      <c r="O41" s="33">
        <f>'13_CAP_TABLE_FINANCIACION'!O37</f>
        <v>375</v>
      </c>
      <c r="P41" s="33">
        <f>'13_CAP_TABLE_FINANCIACION'!P37</f>
        <v>375</v>
      </c>
      <c r="Q41" s="33">
        <f>'13_CAP_TABLE_FINANCIACION'!Q37</f>
        <v>367.1875</v>
      </c>
      <c r="R41" s="33">
        <f>'13_CAP_TABLE_FINANCIACION'!R37</f>
        <v>359.375</v>
      </c>
      <c r="S41" s="33">
        <f>'13_CAP_TABLE_FINANCIACION'!S37</f>
        <v>351.5625</v>
      </c>
      <c r="T41" s="33">
        <f>'13_CAP_TABLE_FINANCIACION'!T37</f>
        <v>343.75</v>
      </c>
      <c r="U41" s="33">
        <f>'13_CAP_TABLE_FINANCIACION'!U37</f>
        <v>335.9375</v>
      </c>
      <c r="V41" s="33">
        <f>'13_CAP_TABLE_FINANCIACION'!V37</f>
        <v>328.125</v>
      </c>
      <c r="W41" s="33">
        <f>'13_CAP_TABLE_FINANCIACION'!W37</f>
        <v>320.3125</v>
      </c>
      <c r="X41" s="33">
        <f>'13_CAP_TABLE_FINANCIACION'!X37</f>
        <v>312.5</v>
      </c>
      <c r="Y41" s="33">
        <f>'13_CAP_TABLE_FINANCIACION'!Y37</f>
        <v>304.6875</v>
      </c>
      <c r="Z41" s="33">
        <f>'13_CAP_TABLE_FINANCIACION'!Z37</f>
        <v>296.875</v>
      </c>
      <c r="AA41" s="33">
        <f>'13_CAP_TABLE_FINANCIACION'!AA37</f>
        <v>289.0625</v>
      </c>
      <c r="AB41" s="33">
        <f>'13_CAP_TABLE_FINANCIACION'!AB37</f>
        <v>281.25</v>
      </c>
      <c r="AC41" s="33">
        <f>'13_CAP_TABLE_FINANCIACION'!AC37</f>
        <v>273.4375</v>
      </c>
      <c r="AD41" s="33">
        <f>'13_CAP_TABLE_FINANCIACION'!AD37</f>
        <v>265.625</v>
      </c>
      <c r="AE41" s="33">
        <f>'13_CAP_TABLE_FINANCIACION'!AE37</f>
        <v>257.8125</v>
      </c>
      <c r="AF41" s="33">
        <f>'13_CAP_TABLE_FINANCIACION'!AF37</f>
        <v>250</v>
      </c>
      <c r="AG41" s="33">
        <f>'13_CAP_TABLE_FINANCIACION'!AG37</f>
        <v>242.1875</v>
      </c>
      <c r="AH41" s="33">
        <f>'13_CAP_TABLE_FINANCIACION'!AH37</f>
        <v>234.375</v>
      </c>
      <c r="AI41" s="33">
        <f>'13_CAP_TABLE_FINANCIACION'!AI37</f>
        <v>226.5625</v>
      </c>
      <c r="AJ41" s="33">
        <f>'13_CAP_TABLE_FINANCIACION'!AJ37</f>
        <v>218.75</v>
      </c>
      <c r="AK41" s="33">
        <f>'13_CAP_TABLE_FINANCIACION'!AK37</f>
        <v>210.9375</v>
      </c>
      <c r="AL41" s="33">
        <f>'13_CAP_TABLE_FINANCIACION'!AL37</f>
        <v>203.125</v>
      </c>
      <c r="AM41" s="33">
        <f>'13_CAP_TABLE_FINANCIACION'!AM37</f>
        <v>195.3125</v>
      </c>
      <c r="AN41" s="33">
        <f>'13_CAP_TABLE_FINANCIACION'!AN37</f>
        <v>187.5</v>
      </c>
      <c r="AO41" s="33">
        <f>'13_CAP_TABLE_FINANCIACION'!AO37</f>
        <v>179.6875</v>
      </c>
      <c r="AP41" s="33">
        <f>'13_CAP_TABLE_FINANCIACION'!AP37</f>
        <v>171.875</v>
      </c>
      <c r="AQ41" s="33">
        <f>'13_CAP_TABLE_FINANCIACION'!AQ37</f>
        <v>164.0625</v>
      </c>
      <c r="AR41" s="33">
        <f>'13_CAP_TABLE_FINANCIACION'!AR37</f>
        <v>156.25</v>
      </c>
      <c r="AS41" s="33">
        <f>'13_CAP_TABLE_FINANCIACION'!AS37</f>
        <v>148.4375</v>
      </c>
      <c r="AT41" s="33">
        <f>'13_CAP_TABLE_FINANCIACION'!AT37</f>
        <v>140.625</v>
      </c>
      <c r="AU41" s="33">
        <f>'13_CAP_TABLE_FINANCIACION'!AU37</f>
        <v>132.8125</v>
      </c>
      <c r="AV41" s="33">
        <f>'13_CAP_TABLE_FINANCIACION'!AV37</f>
        <v>125</v>
      </c>
      <c r="AW41" s="33">
        <f>'13_CAP_TABLE_FINANCIACION'!AW37</f>
        <v>117.1875</v>
      </c>
      <c r="AX41" s="33">
        <f>'13_CAP_TABLE_FINANCIACION'!AX37</f>
        <v>109.375</v>
      </c>
      <c r="AY41" s="33">
        <f>'13_CAP_TABLE_FINANCIACION'!AY37</f>
        <v>101.5625</v>
      </c>
      <c r="AZ41" s="33">
        <f>'13_CAP_TABLE_FINANCIACION'!AZ37</f>
        <v>93.75</v>
      </c>
      <c r="BA41" s="33">
        <f>'13_CAP_TABLE_FINANCIACION'!BA37</f>
        <v>85.9375</v>
      </c>
      <c r="BB41" s="33">
        <f>'13_CAP_TABLE_FINANCIACION'!BB37</f>
        <v>78.125</v>
      </c>
      <c r="BC41" s="33">
        <f>'13_CAP_TABLE_FINANCIACION'!BC37</f>
        <v>70.3125</v>
      </c>
      <c r="BD41" s="33">
        <f>'13_CAP_TABLE_FINANCIACION'!BD37</f>
        <v>62.5</v>
      </c>
      <c r="BE41" s="33">
        <f>'13_CAP_TABLE_FINANCIACION'!BE37</f>
        <v>54.6875</v>
      </c>
      <c r="BF41" s="33">
        <f>'13_CAP_TABLE_FINANCIACION'!BF37</f>
        <v>46.875</v>
      </c>
      <c r="BG41" s="33">
        <f>'13_CAP_TABLE_FINANCIACION'!BG37</f>
        <v>39.0625</v>
      </c>
      <c r="BH41" s="33">
        <f>'13_CAP_TABLE_FINANCIACION'!BH37</f>
        <v>31.25</v>
      </c>
      <c r="BI41" s="33">
        <f>'13_CAP_TABLE_FINANCIACION'!BI37</f>
        <v>23.4375</v>
      </c>
      <c r="BJ41" s="33">
        <f>'13_CAP_TABLE_FINANCIACION'!BJ37</f>
        <v>15.625</v>
      </c>
      <c r="BK41" s="33">
        <f>'13_CAP_TABLE_FINANCIACION'!BK37</f>
        <v>7.8125</v>
      </c>
      <c r="BL41" s="33">
        <f>'13_CAP_TABLE_FINANCIACION'!BL37</f>
        <v>0</v>
      </c>
      <c r="BM41" s="33">
        <f>'13_CAP_TABLE_FINANCIACION'!BM37</f>
        <v>0</v>
      </c>
      <c r="BN41" s="33">
        <f>'13_CAP_TABLE_FINANCIACION'!BN37</f>
        <v>0</v>
      </c>
      <c r="BO41" s="33">
        <f>'13_CAP_TABLE_FINANCIACION'!BO37</f>
        <v>0</v>
      </c>
      <c r="BP41" s="33">
        <f>'13_CAP_TABLE_FINANCIACION'!BP37</f>
        <v>0</v>
      </c>
      <c r="BQ41" s="33">
        <f>'13_CAP_TABLE_FINANCIACION'!BQ37</f>
        <v>0</v>
      </c>
      <c r="BR41" s="33">
        <f>'13_CAP_TABLE_FINANCIACION'!BR37</f>
        <v>0</v>
      </c>
      <c r="BS41" s="33">
        <f>'13_CAP_TABLE_FINANCIACION'!BS37</f>
        <v>0</v>
      </c>
      <c r="BT41" s="33">
        <f>'13_CAP_TABLE_FINANCIACION'!BT37</f>
        <v>0</v>
      </c>
      <c r="BU41" s="33">
        <f>'13_CAP_TABLE_FINANCIACION'!BU37</f>
        <v>0</v>
      </c>
      <c r="BV41" s="33">
        <f>'13_CAP_TABLE_FINANCIACION'!BV37</f>
        <v>0</v>
      </c>
      <c r="BW41" s="33">
        <f>'13_CAP_TABLE_FINANCIACION'!BW37</f>
        <v>0</v>
      </c>
      <c r="BX41" s="33">
        <f>'13_CAP_TABLE_FINANCIACION'!BX37</f>
        <v>0</v>
      </c>
      <c r="BY41" s="33">
        <f>'13_CAP_TABLE_FINANCIACION'!BY37</f>
        <v>0</v>
      </c>
      <c r="BZ41" s="33">
        <f>'13_CAP_TABLE_FINANCIACION'!BZ37</f>
        <v>0</v>
      </c>
      <c r="CA41" s="33">
        <f>'13_CAP_TABLE_FINANCIACION'!CA37</f>
        <v>0</v>
      </c>
      <c r="CB41" s="33">
        <f>'13_CAP_TABLE_FINANCIACION'!CB37</f>
        <v>0</v>
      </c>
      <c r="CC41" s="33">
        <f>'13_CAP_TABLE_FINANCIACION'!CC37</f>
        <v>0</v>
      </c>
      <c r="CD41" s="33">
        <f>'13_CAP_TABLE_FINANCIACION'!CD37</f>
        <v>0</v>
      </c>
      <c r="CE41" s="33">
        <f>'13_CAP_TABLE_FINANCIACION'!CE37</f>
        <v>0</v>
      </c>
      <c r="CF41" s="33">
        <f>'13_CAP_TABLE_FINANCIACION'!CF37</f>
        <v>0</v>
      </c>
      <c r="CG41" s="33">
        <f>'13_CAP_TABLE_FINANCIACION'!CG37</f>
        <v>0</v>
      </c>
      <c r="CH41" s="33">
        <f>'13_CAP_TABLE_FINANCIACION'!CH37</f>
        <v>0</v>
      </c>
      <c r="CI41" s="33">
        <f>'13_CAP_TABLE_FINANCIACION'!CI37</f>
        <v>0</v>
      </c>
    </row>
    <row r="42" spans="1:87" ht="16.5">
      <c r="A42" s="5" t="s">
        <v>781</v>
      </c>
      <c r="B42" s="30" t="s">
        <v>465</v>
      </c>
      <c r="C42" s="17" t="s">
        <v>782</v>
      </c>
      <c r="D42" s="36">
        <f t="shared" ref="D42:AI42" si="15">D40-D41</f>
        <v>-12414.400632499994</v>
      </c>
      <c r="E42" s="36">
        <f t="shared" si="15"/>
        <v>-14590.227627499993</v>
      </c>
      <c r="F42" s="36">
        <f t="shared" si="15"/>
        <v>-12160.238496099992</v>
      </c>
      <c r="G42" s="36">
        <f t="shared" si="15"/>
        <v>-7139.2167251879946</v>
      </c>
      <c r="H42" s="36">
        <f t="shared" si="15"/>
        <v>-5248.4328306030329</v>
      </c>
      <c r="I42" s="36">
        <f t="shared" si="15"/>
        <v>-3282.9767414512789</v>
      </c>
      <c r="J42" s="36">
        <f t="shared" si="15"/>
        <v>-1242.503766167385</v>
      </c>
      <c r="K42" s="36">
        <f t="shared" si="15"/>
        <v>947.44289213923184</v>
      </c>
      <c r="L42" s="36">
        <f t="shared" si="15"/>
        <v>3256.022904110363</v>
      </c>
      <c r="M42" s="36">
        <f t="shared" si="15"/>
        <v>3888.1632750391982</v>
      </c>
      <c r="N42" s="36">
        <f t="shared" si="15"/>
        <v>8249.2881826423327</v>
      </c>
      <c r="O42" s="36">
        <f t="shared" si="15"/>
        <v>11004.091476853719</v>
      </c>
      <c r="P42" s="36">
        <f t="shared" si="15"/>
        <v>-1529.7260973979937</v>
      </c>
      <c r="Q42" s="36">
        <f t="shared" si="15"/>
        <v>1428.7325574101633</v>
      </c>
      <c r="R42" s="36">
        <f t="shared" si="15"/>
        <v>4653.8557716029754</v>
      </c>
      <c r="S42" s="36">
        <f t="shared" si="15"/>
        <v>8019.0228499312216</v>
      </c>
      <c r="T42" s="36">
        <f t="shared" si="15"/>
        <v>11548.557264525713</v>
      </c>
      <c r="U42" s="36">
        <f t="shared" si="15"/>
        <v>15292.290865287767</v>
      </c>
      <c r="V42" s="36">
        <f t="shared" si="15"/>
        <v>16225.090641777453</v>
      </c>
      <c r="W42" s="36">
        <f t="shared" si="15"/>
        <v>20488.201605386319</v>
      </c>
      <c r="X42" s="36">
        <f t="shared" si="15"/>
        <v>25122.399387083897</v>
      </c>
      <c r="Y42" s="36">
        <f t="shared" si="15"/>
        <v>30054.068064317275</v>
      </c>
      <c r="Z42" s="36">
        <f t="shared" si="15"/>
        <v>35288.868690729338</v>
      </c>
      <c r="AA42" s="36">
        <f t="shared" si="15"/>
        <v>41007.913379254336</v>
      </c>
      <c r="AB42" s="36">
        <f t="shared" si="15"/>
        <v>43677.11775786135</v>
      </c>
      <c r="AC42" s="36">
        <f t="shared" si="15"/>
        <v>50311.095802756936</v>
      </c>
      <c r="AD42" s="36">
        <f t="shared" si="15"/>
        <v>57429.870056244159</v>
      </c>
      <c r="AE42" s="36">
        <f t="shared" si="15"/>
        <v>65060.077414010353</v>
      </c>
      <c r="AF42" s="36">
        <f t="shared" si="15"/>
        <v>73317.198394397856</v>
      </c>
      <c r="AG42" s="36">
        <f t="shared" si="15"/>
        <v>82213.219555216347</v>
      </c>
      <c r="AH42" s="36">
        <f t="shared" si="15"/>
        <v>91811.093376900302</v>
      </c>
      <c r="AI42" s="36">
        <f t="shared" si="15"/>
        <v>102117.483709319</v>
      </c>
      <c r="AJ42" s="36">
        <f t="shared" ref="AJ42:BO42" si="16">AJ40-AJ41</f>
        <v>113277.91325833122</v>
      </c>
      <c r="AK42" s="36">
        <f t="shared" si="16"/>
        <v>125232.27609226436</v>
      </c>
      <c r="AL42" s="36">
        <f t="shared" si="16"/>
        <v>138199.71982791214</v>
      </c>
      <c r="AM42" s="36">
        <f t="shared" si="16"/>
        <v>152143.05288541183</v>
      </c>
      <c r="AN42" s="36">
        <f t="shared" si="16"/>
        <v>167266.45538151145</v>
      </c>
      <c r="AO42" s="36">
        <f t="shared" si="16"/>
        <v>183480.35586129903</v>
      </c>
      <c r="AP42" s="36">
        <f t="shared" si="16"/>
        <v>201087.49049946963</v>
      </c>
      <c r="AQ42" s="36">
        <f t="shared" si="16"/>
        <v>219987.73400869383</v>
      </c>
      <c r="AR42" s="36">
        <f t="shared" si="16"/>
        <v>240507.861974656</v>
      </c>
      <c r="AS42" s="36">
        <f t="shared" si="16"/>
        <v>262566.96866989508</v>
      </c>
      <c r="AT42" s="36">
        <f t="shared" si="16"/>
        <v>286306.21295675344</v>
      </c>
      <c r="AU42" s="36">
        <f t="shared" si="16"/>
        <v>312051.20304856042</v>
      </c>
      <c r="AV42" s="36">
        <f t="shared" si="16"/>
        <v>339852.64373271185</v>
      </c>
      <c r="AW42" s="36">
        <f t="shared" si="16"/>
        <v>369817.42664459546</v>
      </c>
      <c r="AX42" s="36">
        <f t="shared" si="16"/>
        <v>402205.37391742982</v>
      </c>
      <c r="AY42" s="36">
        <f t="shared" si="16"/>
        <v>437145.53579509084</v>
      </c>
      <c r="AZ42" s="36">
        <f t="shared" si="16"/>
        <v>474919.71763296472</v>
      </c>
      <c r="BA42" s="36">
        <f t="shared" si="16"/>
        <v>515768.6598758687</v>
      </c>
      <c r="BB42" s="36">
        <f t="shared" si="16"/>
        <v>559696.95026720478</v>
      </c>
      <c r="BC42" s="36">
        <f t="shared" si="16"/>
        <v>607313.19853484782</v>
      </c>
      <c r="BD42" s="36">
        <f t="shared" si="16"/>
        <v>658600.30711690232</v>
      </c>
      <c r="BE42" s="36">
        <f t="shared" si="16"/>
        <v>714033.27753452118</v>
      </c>
      <c r="BF42" s="36">
        <f t="shared" si="16"/>
        <v>773916.51101454953</v>
      </c>
      <c r="BG42" s="36">
        <f t="shared" si="16"/>
        <v>838524.80311197997</v>
      </c>
      <c r="BH42" s="36">
        <f t="shared" si="16"/>
        <v>908305.24773120531</v>
      </c>
      <c r="BI42" s="36">
        <f t="shared" si="16"/>
        <v>983740.03037096816</v>
      </c>
      <c r="BJ42" s="36">
        <f t="shared" si="16"/>
        <v>1065086.1581459122</v>
      </c>
      <c r="BK42" s="36">
        <f t="shared" si="16"/>
        <v>1153038.1530428522</v>
      </c>
      <c r="BL42" s="36">
        <f t="shared" si="16"/>
        <v>1247946.405227547</v>
      </c>
      <c r="BM42" s="36">
        <f t="shared" si="16"/>
        <v>1350449.1467530171</v>
      </c>
      <c r="BN42" s="36">
        <f t="shared" si="16"/>
        <v>1461200.7290835255</v>
      </c>
      <c r="BO42" s="36">
        <f t="shared" si="16"/>
        <v>1580741.9323144741</v>
      </c>
      <c r="BP42" s="36">
        <f t="shared" ref="BP42:CU42" si="17">BP40-BP41</f>
        <v>1709908.276362899</v>
      </c>
      <c r="BQ42" s="36">
        <f t="shared" si="17"/>
        <v>1849421.4358761976</v>
      </c>
      <c r="BR42" s="36">
        <f t="shared" si="17"/>
        <v>1999999.2727335601</v>
      </c>
      <c r="BS42" s="36">
        <f t="shared" si="17"/>
        <v>2162647.1299705114</v>
      </c>
      <c r="BT42" s="36">
        <f t="shared" si="17"/>
        <v>2338346.4479924184</v>
      </c>
      <c r="BU42" s="36">
        <f t="shared" si="17"/>
        <v>2528087.8182330788</v>
      </c>
      <c r="BV42" s="36">
        <f t="shared" si="17"/>
        <v>2732931.7647349918</v>
      </c>
      <c r="BW42" s="36">
        <f t="shared" si="17"/>
        <v>2954199.8208540576</v>
      </c>
      <c r="BX42" s="36">
        <f t="shared" si="17"/>
        <v>3193224.4659236502</v>
      </c>
      <c r="BY42" s="36">
        <f t="shared" si="17"/>
        <v>3451340.4699518075</v>
      </c>
      <c r="BZ42" s="36">
        <f t="shared" si="17"/>
        <v>3730082.7845962187</v>
      </c>
      <c r="CA42" s="36">
        <f t="shared" si="17"/>
        <v>4031151.1248901831</v>
      </c>
      <c r="CB42" s="36">
        <f t="shared" si="17"/>
        <v>4356287.0581796644</v>
      </c>
      <c r="CC42" s="36">
        <f t="shared" si="17"/>
        <v>4707416.190752306</v>
      </c>
      <c r="CD42" s="36">
        <f t="shared" si="17"/>
        <v>5086696.6126197558</v>
      </c>
      <c r="CE42" s="36">
        <f t="shared" si="17"/>
        <v>5496321.9185306029</v>
      </c>
      <c r="CF42" s="36">
        <f t="shared" si="17"/>
        <v>5938655.5005933186</v>
      </c>
      <c r="CG42" s="36">
        <f t="shared" si="17"/>
        <v>6416418.0007530507</v>
      </c>
      <c r="CH42" s="36">
        <f t="shared" si="17"/>
        <v>6932408.106893559</v>
      </c>
      <c r="CI42" s="36">
        <f t="shared" si="17"/>
        <v>7489620.1170273134</v>
      </c>
    </row>
    <row r="43" spans="1:87" ht="16.5">
      <c r="A43" s="6" t="s">
        <v>783</v>
      </c>
      <c r="B43" s="30" t="s">
        <v>465</v>
      </c>
      <c r="C43" s="17" t="s">
        <v>784</v>
      </c>
      <c r="D43" s="33">
        <f>IF(D42&gt;0, D42*'1_PANEL_CONTROL'!$C$7, 0)</f>
        <v>0</v>
      </c>
      <c r="E43" s="33">
        <f>IF(E42&gt;0, E42*'1_PANEL_CONTROL'!$C$7, 0)</f>
        <v>0</v>
      </c>
      <c r="F43" s="33">
        <f>IF(F42&gt;0, F42*'1_PANEL_CONTROL'!$C$7, 0)</f>
        <v>0</v>
      </c>
      <c r="G43" s="33">
        <f>IF(G42&gt;0, G42*'1_PANEL_CONTROL'!$C$7, 0)</f>
        <v>0</v>
      </c>
      <c r="H43" s="33">
        <f>IF(H42&gt;0, H42*'1_PANEL_CONTROL'!$C$7, 0)</f>
        <v>0</v>
      </c>
      <c r="I43" s="33">
        <f>IF(I42&gt;0, I42*'1_PANEL_CONTROL'!$C$7, 0)</f>
        <v>0</v>
      </c>
      <c r="J43" s="33">
        <f>IF(J42&gt;0, J42*'1_PANEL_CONTROL'!$C$7, 0)</f>
        <v>0</v>
      </c>
      <c r="K43" s="33">
        <f>IF(K42&gt;0, K42*'1_PANEL_CONTROL'!$C$7, 0)</f>
        <v>198.96300734923869</v>
      </c>
      <c r="L43" s="33">
        <f>IF(L42&gt;0, L42*'1_PANEL_CONTROL'!$C$7, 0)</f>
        <v>683.7648098631762</v>
      </c>
      <c r="M43" s="33">
        <f>IF(M42&gt;0, M42*'1_PANEL_CONTROL'!$C$7, 0)</f>
        <v>816.5142877582316</v>
      </c>
      <c r="N43" s="33">
        <f>IF(N42&gt;0, N42*'1_PANEL_CONTROL'!$C$7, 0)</f>
        <v>1732.3505183548898</v>
      </c>
      <c r="O43" s="33">
        <f>IF(O42&gt;0, O42*'1_PANEL_CONTROL'!$C$7, 0)</f>
        <v>2310.859210139281</v>
      </c>
      <c r="P43" s="33">
        <f>IF(P42&gt;0, P42*'1_PANEL_CONTROL'!$C$7, 0)</f>
        <v>0</v>
      </c>
      <c r="Q43" s="33">
        <f>IF(Q42&gt;0, Q42*'1_PANEL_CONTROL'!$C$7, 0)</f>
        <v>300.0338370561343</v>
      </c>
      <c r="R43" s="33">
        <f>IF(R42&gt;0, R42*'1_PANEL_CONTROL'!$C$7, 0)</f>
        <v>977.30971203662477</v>
      </c>
      <c r="S43" s="33">
        <f>IF(S42&gt;0, S42*'1_PANEL_CONTROL'!$C$7, 0)</f>
        <v>1683.9947984855564</v>
      </c>
      <c r="T43" s="33">
        <f>IF(T42&gt;0, T42*'1_PANEL_CONTROL'!$C$7, 0)</f>
        <v>2425.1970255503998</v>
      </c>
      <c r="U43" s="33">
        <f>IF(U42&gt;0, U42*'1_PANEL_CONTROL'!$C$7, 0)</f>
        <v>3211.3810817104309</v>
      </c>
      <c r="V43" s="33">
        <f>IF(V42&gt;0, V42*'1_PANEL_CONTROL'!$C$7, 0)</f>
        <v>3407.269034773265</v>
      </c>
      <c r="W43" s="33">
        <f>IF(W42&gt;0, W42*'1_PANEL_CONTROL'!$C$7, 0)</f>
        <v>4302.5223371311267</v>
      </c>
      <c r="X43" s="33">
        <f>IF(X42&gt;0, X42*'1_PANEL_CONTROL'!$C$7, 0)</f>
        <v>5275.7038712876183</v>
      </c>
      <c r="Y43" s="33">
        <f>IF(Y42&gt;0, Y42*'1_PANEL_CONTROL'!$C$7, 0)</f>
        <v>6311.3542935066271</v>
      </c>
      <c r="Z43" s="33">
        <f>IF(Z42&gt;0, Z42*'1_PANEL_CONTROL'!$C$7, 0)</f>
        <v>7410.6624250531604</v>
      </c>
      <c r="AA43" s="33">
        <f>IF(AA42&gt;0, AA42*'1_PANEL_CONTROL'!$C$7, 0)</f>
        <v>8611.6618096434104</v>
      </c>
      <c r="AB43" s="33">
        <f>IF(AB42&gt;0, AB42*'1_PANEL_CONTROL'!$C$7, 0)</f>
        <v>9172.1947291508823</v>
      </c>
      <c r="AC43" s="33">
        <f>IF(AC42&gt;0, AC42*'1_PANEL_CONTROL'!$C$7, 0)</f>
        <v>10565.330118578957</v>
      </c>
      <c r="AD43" s="33">
        <f>IF(AD42&gt;0, AD42*'1_PANEL_CONTROL'!$C$7, 0)</f>
        <v>12060.272711811273</v>
      </c>
      <c r="AE43" s="33">
        <f>IF(AE42&gt;0, AE42*'1_PANEL_CONTROL'!$C$7, 0)</f>
        <v>13662.616256942174</v>
      </c>
      <c r="AF43" s="33">
        <f>IF(AF42&gt;0, AF42*'1_PANEL_CONTROL'!$C$7, 0)</f>
        <v>15396.611662823549</v>
      </c>
      <c r="AG43" s="33">
        <f>IF(AG42&gt;0, AG42*'1_PANEL_CONTROL'!$C$7, 0)</f>
        <v>17264.776106595433</v>
      </c>
      <c r="AH43" s="33">
        <f>IF(AH42&gt;0, AH42*'1_PANEL_CONTROL'!$C$7, 0)</f>
        <v>19280.329609149063</v>
      </c>
      <c r="AI43" s="33">
        <f>IF(AI42&gt;0, AI42*'1_PANEL_CONTROL'!$C$7, 0)</f>
        <v>21444.67157895699</v>
      </c>
      <c r="AJ43" s="33">
        <f>IF(AJ42&gt;0, AJ42*'1_PANEL_CONTROL'!$C$7, 0)</f>
        <v>23788.361784249555</v>
      </c>
      <c r="AK43" s="33">
        <f>IF(AK42&gt;0, AK42*'1_PANEL_CONTROL'!$C$7, 0)</f>
        <v>26298.777979375514</v>
      </c>
      <c r="AL43" s="33">
        <f>IF(AL42&gt;0, AL42*'1_PANEL_CONTROL'!$C$7, 0)</f>
        <v>29021.941163861549</v>
      </c>
      <c r="AM43" s="33">
        <f>IF(AM42&gt;0, AM42*'1_PANEL_CONTROL'!$C$7, 0)</f>
        <v>31950.041105936485</v>
      </c>
      <c r="AN43" s="33">
        <f>IF(AN42&gt;0, AN42*'1_PANEL_CONTROL'!$C$7, 0)</f>
        <v>35125.955630117402</v>
      </c>
      <c r="AO43" s="33">
        <f>IF(AO42&gt;0, AO42*'1_PANEL_CONTROL'!$C$7, 0)</f>
        <v>38530.874730872798</v>
      </c>
      <c r="AP43" s="33">
        <f>IF(AP42&gt;0, AP42*'1_PANEL_CONTROL'!$C$7, 0)</f>
        <v>42228.373004888621</v>
      </c>
      <c r="AQ43" s="33">
        <f>IF(AQ42&gt;0, AQ42*'1_PANEL_CONTROL'!$C$7, 0)</f>
        <v>46197.424141825701</v>
      </c>
      <c r="AR43" s="33">
        <f>IF(AR42&gt;0, AR42*'1_PANEL_CONTROL'!$C$7, 0)</f>
        <v>50506.651014677758</v>
      </c>
      <c r="AS43" s="33">
        <f>IF(AS42&gt;0, AS42*'1_PANEL_CONTROL'!$C$7, 0)</f>
        <v>55139.063420677965</v>
      </c>
      <c r="AT43" s="33">
        <f>IF(AT42&gt;0, AT42*'1_PANEL_CONTROL'!$C$7, 0)</f>
        <v>60124.304720918219</v>
      </c>
      <c r="AU43" s="33">
        <f>IF(AU42&gt;0, AU42*'1_PANEL_CONTROL'!$C$7, 0)</f>
        <v>65530.752640197687</v>
      </c>
      <c r="AV43" s="33">
        <f>IF(AV42&gt;0, AV42*'1_PANEL_CONTROL'!$C$7, 0)</f>
        <v>71369.055183869481</v>
      </c>
      <c r="AW43" s="33">
        <f>IF(AW42&gt;0, AW42*'1_PANEL_CONTROL'!$C$7, 0)</f>
        <v>77661.659595365039</v>
      </c>
      <c r="AX43" s="33">
        <f>IF(AX42&gt;0, AX42*'1_PANEL_CONTROL'!$C$7, 0)</f>
        <v>84463.128522660263</v>
      </c>
      <c r="AY43" s="33">
        <f>IF(AY42&gt;0, AY42*'1_PANEL_CONTROL'!$C$7, 0)</f>
        <v>91800.562516969076</v>
      </c>
      <c r="AZ43" s="33">
        <f>IF(AZ42&gt;0, AZ42*'1_PANEL_CONTROL'!$C$7, 0)</f>
        <v>99733.140702922581</v>
      </c>
      <c r="BA43" s="33">
        <f>IF(BA42&gt;0, BA42*'1_PANEL_CONTROL'!$C$7, 0)</f>
        <v>108311.41857393242</v>
      </c>
      <c r="BB43" s="33">
        <f>IF(BB42&gt;0, BB42*'1_PANEL_CONTROL'!$C$7, 0)</f>
        <v>117536.35955611301</v>
      </c>
      <c r="BC43" s="33">
        <f>IF(BC42&gt;0, BC42*'1_PANEL_CONTROL'!$C$7, 0)</f>
        <v>127535.77169231804</v>
      </c>
      <c r="BD43" s="33">
        <f>IF(BD42&gt;0, BD42*'1_PANEL_CONTROL'!$C$7, 0)</f>
        <v>138306.06449454947</v>
      </c>
      <c r="BE43" s="33">
        <f>IF(BE42&gt;0, BE42*'1_PANEL_CONTROL'!$C$7, 0)</f>
        <v>149946.98828224945</v>
      </c>
      <c r="BF43" s="33">
        <f>IF(BF42&gt;0, BF42*'1_PANEL_CONTROL'!$C$7, 0)</f>
        <v>162522.46731305539</v>
      </c>
      <c r="BG43" s="33">
        <f>IF(BG42&gt;0, BG42*'1_PANEL_CONTROL'!$C$7, 0)</f>
        <v>176090.20865351579</v>
      </c>
      <c r="BH43" s="33">
        <f>IF(BH42&gt;0, BH42*'1_PANEL_CONTROL'!$C$7, 0)</f>
        <v>190744.1020235531</v>
      </c>
      <c r="BI43" s="33">
        <f>IF(BI42&gt;0, BI42*'1_PANEL_CONTROL'!$C$7, 0)</f>
        <v>206585.4063779033</v>
      </c>
      <c r="BJ43" s="33">
        <f>IF(BJ42&gt;0, BJ42*'1_PANEL_CONTROL'!$C$7, 0)</f>
        <v>223668.09321064156</v>
      </c>
      <c r="BK43" s="33">
        <f>IF(BK42&gt;0, BK42*'1_PANEL_CONTROL'!$C$7, 0)</f>
        <v>242138.01213899895</v>
      </c>
      <c r="BL43" s="33">
        <f>IF(BL42&gt;0, BL42*'1_PANEL_CONTROL'!$C$7, 0)</f>
        <v>262068.74509778488</v>
      </c>
      <c r="BM43" s="33">
        <f>IF(BM42&gt;0, BM42*'1_PANEL_CONTROL'!$C$7, 0)</f>
        <v>283594.32081813359</v>
      </c>
      <c r="BN43" s="33">
        <f>IF(BN42&gt;0, BN42*'1_PANEL_CONTROL'!$C$7, 0)</f>
        <v>306852.15310754033</v>
      </c>
      <c r="BO43" s="33">
        <f>IF(BO42&gt;0, BO42*'1_PANEL_CONTROL'!$C$7, 0)</f>
        <v>331955.80578603956</v>
      </c>
      <c r="BP43" s="33">
        <f>IF(BP42&gt;0, BP42*'1_PANEL_CONTROL'!$C$7, 0)</f>
        <v>359080.73803620879</v>
      </c>
      <c r="BQ43" s="33">
        <f>IF(BQ42&gt;0, BQ42*'1_PANEL_CONTROL'!$C$7, 0)</f>
        <v>388378.50153400149</v>
      </c>
      <c r="BR43" s="33">
        <f>IF(BR42&gt;0, BR42*'1_PANEL_CONTROL'!$C$7, 0)</f>
        <v>419999.84727404761</v>
      </c>
      <c r="BS43" s="33">
        <f>IF(BS42&gt;0, BS42*'1_PANEL_CONTROL'!$C$7, 0)</f>
        <v>454155.89729380736</v>
      </c>
      <c r="BT43" s="33">
        <f>IF(BT42&gt;0, BT42*'1_PANEL_CONTROL'!$C$7, 0)</f>
        <v>491052.75407840783</v>
      </c>
      <c r="BU43" s="33">
        <f>IF(BU42&gt;0, BU42*'1_PANEL_CONTROL'!$C$7, 0)</f>
        <v>530898.44182894658</v>
      </c>
      <c r="BV43" s="33">
        <f>IF(BV42&gt;0, BV42*'1_PANEL_CONTROL'!$C$7, 0)</f>
        <v>573915.67059434822</v>
      </c>
      <c r="BW43" s="33">
        <f>IF(BW42&gt;0, BW42*'1_PANEL_CONTROL'!$C$7, 0)</f>
        <v>620381.96237935207</v>
      </c>
      <c r="BX43" s="33">
        <f>IF(BX42&gt;0, BX42*'1_PANEL_CONTROL'!$C$7, 0)</f>
        <v>670577.13784396648</v>
      </c>
      <c r="BY43" s="33">
        <f>IF(BY42&gt;0, BY42*'1_PANEL_CONTROL'!$C$7, 0)</f>
        <v>724781.49868987955</v>
      </c>
      <c r="BZ43" s="33">
        <f>IF(BZ42&gt;0, BZ42*'1_PANEL_CONTROL'!$C$7, 0)</f>
        <v>783317.3847652059</v>
      </c>
      <c r="CA43" s="33">
        <f>IF(CA42&gt;0, CA42*'1_PANEL_CONTROL'!$C$7, 0)</f>
        <v>846541.73622693843</v>
      </c>
      <c r="CB43" s="33">
        <f>IF(CB42&gt;0, CB42*'1_PANEL_CONTROL'!$C$7, 0)</f>
        <v>914820.28221772949</v>
      </c>
      <c r="CC43" s="33">
        <f>IF(CC42&gt;0, CC42*'1_PANEL_CONTROL'!$C$7, 0)</f>
        <v>988557.40005798428</v>
      </c>
      <c r="CD43" s="33">
        <f>IF(CD42&gt;0, CD42*'1_PANEL_CONTROL'!$C$7, 0)</f>
        <v>1068206.2886501488</v>
      </c>
      <c r="CE43" s="33">
        <f>IF(CE42&gt;0, CE42*'1_PANEL_CONTROL'!$C$7, 0)</f>
        <v>1154227.6028914265</v>
      </c>
      <c r="CF43" s="33">
        <f>IF(CF42&gt;0, CF42*'1_PANEL_CONTROL'!$C$7, 0)</f>
        <v>1247117.6551245968</v>
      </c>
      <c r="CG43" s="33">
        <f>IF(CG42&gt;0, CG42*'1_PANEL_CONTROL'!$C$7, 0)</f>
        <v>1347447.7801581407</v>
      </c>
      <c r="CH43" s="33">
        <f>IF(CH42&gt;0, CH42*'1_PANEL_CONTROL'!$C$7, 0)</f>
        <v>1455805.7024476472</v>
      </c>
      <c r="CI43" s="33">
        <f>IF(CI42&gt;0, CI42*'1_PANEL_CONTROL'!$C$7, 0)</f>
        <v>1572820.2245757359</v>
      </c>
    </row>
    <row r="44" spans="1:87" ht="16.5">
      <c r="A44" s="5" t="s">
        <v>785</v>
      </c>
      <c r="B44" s="30" t="s">
        <v>465</v>
      </c>
      <c r="C44" s="17" t="s">
        <v>786</v>
      </c>
      <c r="D44" s="41">
        <f t="shared" ref="D44:AI44" si="18">D42-D43</f>
        <v>-12414.400632499994</v>
      </c>
      <c r="E44" s="41">
        <f t="shared" si="18"/>
        <v>-14590.227627499993</v>
      </c>
      <c r="F44" s="41">
        <f t="shared" si="18"/>
        <v>-12160.238496099992</v>
      </c>
      <c r="G44" s="41">
        <f t="shared" si="18"/>
        <v>-7139.2167251879946</v>
      </c>
      <c r="H44" s="41">
        <f t="shared" si="18"/>
        <v>-5248.4328306030329</v>
      </c>
      <c r="I44" s="41">
        <f t="shared" si="18"/>
        <v>-3282.9767414512789</v>
      </c>
      <c r="J44" s="41">
        <f t="shared" si="18"/>
        <v>-1242.503766167385</v>
      </c>
      <c r="K44" s="41">
        <f t="shared" si="18"/>
        <v>748.47988478999309</v>
      </c>
      <c r="L44" s="41">
        <f t="shared" si="18"/>
        <v>2572.2580942471868</v>
      </c>
      <c r="M44" s="41">
        <f t="shared" si="18"/>
        <v>3071.6489872809666</v>
      </c>
      <c r="N44" s="41">
        <f t="shared" si="18"/>
        <v>6516.9376642874431</v>
      </c>
      <c r="O44" s="41">
        <f t="shared" si="18"/>
        <v>8693.2322667144381</v>
      </c>
      <c r="P44" s="41">
        <f t="shared" si="18"/>
        <v>-1529.7260973979937</v>
      </c>
      <c r="Q44" s="41">
        <f t="shared" si="18"/>
        <v>1128.6987203540289</v>
      </c>
      <c r="R44" s="41">
        <f t="shared" si="18"/>
        <v>3676.5460595663508</v>
      </c>
      <c r="S44" s="41">
        <f t="shared" si="18"/>
        <v>6335.0280514456654</v>
      </c>
      <c r="T44" s="41">
        <f t="shared" si="18"/>
        <v>9123.3602389753123</v>
      </c>
      <c r="U44" s="41">
        <f t="shared" si="18"/>
        <v>12080.909783577335</v>
      </c>
      <c r="V44" s="41">
        <f t="shared" si="18"/>
        <v>12817.821607004189</v>
      </c>
      <c r="W44" s="41">
        <f t="shared" si="18"/>
        <v>16185.679268255193</v>
      </c>
      <c r="X44" s="41">
        <f t="shared" si="18"/>
        <v>19846.69551579628</v>
      </c>
      <c r="Y44" s="41">
        <f t="shared" si="18"/>
        <v>23742.713770810646</v>
      </c>
      <c r="Z44" s="41">
        <f t="shared" si="18"/>
        <v>27878.206265676177</v>
      </c>
      <c r="AA44" s="41">
        <f t="shared" si="18"/>
        <v>32396.251569610926</v>
      </c>
      <c r="AB44" s="41">
        <f t="shared" si="18"/>
        <v>34504.923028710466</v>
      </c>
      <c r="AC44" s="41">
        <f t="shared" si="18"/>
        <v>39745.765684177983</v>
      </c>
      <c r="AD44" s="41">
        <f t="shared" si="18"/>
        <v>45369.597344432885</v>
      </c>
      <c r="AE44" s="41">
        <f t="shared" si="18"/>
        <v>51397.461157068181</v>
      </c>
      <c r="AF44" s="41">
        <f t="shared" si="18"/>
        <v>57920.586731574309</v>
      </c>
      <c r="AG44" s="41">
        <f t="shared" si="18"/>
        <v>64948.443448620914</v>
      </c>
      <c r="AH44" s="41">
        <f t="shared" si="18"/>
        <v>72530.763767751239</v>
      </c>
      <c r="AI44" s="41">
        <f t="shared" si="18"/>
        <v>80672.812130362014</v>
      </c>
      <c r="AJ44" s="41">
        <f t="shared" ref="AJ44:BO44" si="19">AJ42-AJ43</f>
        <v>89489.551474081658</v>
      </c>
      <c r="AK44" s="41">
        <f t="shared" si="19"/>
        <v>98933.498112888847</v>
      </c>
      <c r="AL44" s="41">
        <f t="shared" si="19"/>
        <v>109177.77866405059</v>
      </c>
      <c r="AM44" s="41">
        <f t="shared" si="19"/>
        <v>120193.01177947535</v>
      </c>
      <c r="AN44" s="41">
        <f t="shared" si="19"/>
        <v>132140.49975139403</v>
      </c>
      <c r="AO44" s="41">
        <f t="shared" si="19"/>
        <v>144949.48113042623</v>
      </c>
      <c r="AP44" s="41">
        <f t="shared" si="19"/>
        <v>158859.11749458101</v>
      </c>
      <c r="AQ44" s="41">
        <f t="shared" si="19"/>
        <v>173790.30986686813</v>
      </c>
      <c r="AR44" s="41">
        <f t="shared" si="19"/>
        <v>190001.21095997823</v>
      </c>
      <c r="AS44" s="41">
        <f t="shared" si="19"/>
        <v>207427.90524921712</v>
      </c>
      <c r="AT44" s="41">
        <f t="shared" si="19"/>
        <v>226181.90823583523</v>
      </c>
      <c r="AU44" s="41">
        <f t="shared" si="19"/>
        <v>246520.45040836273</v>
      </c>
      <c r="AV44" s="41">
        <f t="shared" si="19"/>
        <v>268483.58854884235</v>
      </c>
      <c r="AW44" s="41">
        <f t="shared" si="19"/>
        <v>292155.7670492304</v>
      </c>
      <c r="AX44" s="41">
        <f t="shared" si="19"/>
        <v>317742.24539476959</v>
      </c>
      <c r="AY44" s="41">
        <f t="shared" si="19"/>
        <v>345344.97327812179</v>
      </c>
      <c r="AZ44" s="41">
        <f t="shared" si="19"/>
        <v>375186.57693004212</v>
      </c>
      <c r="BA44" s="41">
        <f t="shared" si="19"/>
        <v>407457.24130193627</v>
      </c>
      <c r="BB44" s="41">
        <f t="shared" si="19"/>
        <v>442160.59071109176</v>
      </c>
      <c r="BC44" s="41">
        <f t="shared" si="19"/>
        <v>479777.42684252979</v>
      </c>
      <c r="BD44" s="41">
        <f t="shared" si="19"/>
        <v>520294.24262235285</v>
      </c>
      <c r="BE44" s="41">
        <f t="shared" si="19"/>
        <v>564086.28925227176</v>
      </c>
      <c r="BF44" s="41">
        <f t="shared" si="19"/>
        <v>611394.04370149411</v>
      </c>
      <c r="BG44" s="41">
        <f t="shared" si="19"/>
        <v>662434.59445846418</v>
      </c>
      <c r="BH44" s="41">
        <f t="shared" si="19"/>
        <v>717561.14570765221</v>
      </c>
      <c r="BI44" s="41">
        <f t="shared" si="19"/>
        <v>777154.62399306486</v>
      </c>
      <c r="BJ44" s="41">
        <f t="shared" si="19"/>
        <v>841418.0649352707</v>
      </c>
      <c r="BK44" s="41">
        <f t="shared" si="19"/>
        <v>910900.14090385323</v>
      </c>
      <c r="BL44" s="41">
        <f t="shared" si="19"/>
        <v>985877.66012976214</v>
      </c>
      <c r="BM44" s="41">
        <f t="shared" si="19"/>
        <v>1066854.8259348834</v>
      </c>
      <c r="BN44" s="41">
        <f t="shared" si="19"/>
        <v>1154348.5759759853</v>
      </c>
      <c r="BO44" s="41">
        <f t="shared" si="19"/>
        <v>1248786.1265284345</v>
      </c>
      <c r="BP44" s="41">
        <f t="shared" ref="BP44:CU44" si="20">BP42-BP43</f>
        <v>1350827.5383266902</v>
      </c>
      <c r="BQ44" s="41">
        <f t="shared" si="20"/>
        <v>1461042.9343421962</v>
      </c>
      <c r="BR44" s="41">
        <f t="shared" si="20"/>
        <v>1579999.4254595125</v>
      </c>
      <c r="BS44" s="41">
        <f t="shared" si="20"/>
        <v>1708491.2326767039</v>
      </c>
      <c r="BT44" s="41">
        <f t="shared" si="20"/>
        <v>1847293.6939140107</v>
      </c>
      <c r="BU44" s="41">
        <f t="shared" si="20"/>
        <v>1997189.3764041322</v>
      </c>
      <c r="BV44" s="41">
        <f t="shared" si="20"/>
        <v>2159016.0941406437</v>
      </c>
      <c r="BW44" s="41">
        <f t="shared" si="20"/>
        <v>2333817.8584747054</v>
      </c>
      <c r="BX44" s="41">
        <f t="shared" si="20"/>
        <v>2522647.3280796837</v>
      </c>
      <c r="BY44" s="41">
        <f t="shared" si="20"/>
        <v>2726558.9712619279</v>
      </c>
      <c r="BZ44" s="41">
        <f t="shared" si="20"/>
        <v>2946765.3998310128</v>
      </c>
      <c r="CA44" s="41">
        <f t="shared" si="20"/>
        <v>3184609.3886632444</v>
      </c>
      <c r="CB44" s="41">
        <f t="shared" si="20"/>
        <v>3441466.7759619351</v>
      </c>
      <c r="CC44" s="41">
        <f t="shared" si="20"/>
        <v>3718858.7906943215</v>
      </c>
      <c r="CD44" s="41">
        <f t="shared" si="20"/>
        <v>4018490.3239696072</v>
      </c>
      <c r="CE44" s="41">
        <f t="shared" si="20"/>
        <v>4342094.3156391764</v>
      </c>
      <c r="CF44" s="41">
        <f t="shared" si="20"/>
        <v>4691537.8454687223</v>
      </c>
      <c r="CG44" s="41">
        <f t="shared" si="20"/>
        <v>5068970.22059491</v>
      </c>
      <c r="CH44" s="41">
        <f t="shared" si="20"/>
        <v>5476602.4044459118</v>
      </c>
      <c r="CI44" s="41">
        <f t="shared" si="20"/>
        <v>5916799.8924515778</v>
      </c>
    </row>
    <row r="46" spans="1:87" ht="24" customHeight="1">
      <c r="B46" s="109" t="s">
        <v>787</v>
      </c>
      <c r="C46" s="110"/>
      <c r="D46" s="110"/>
      <c r="E46" s="110"/>
      <c r="F46" s="110"/>
      <c r="G46" s="110"/>
      <c r="H46" s="110"/>
    </row>
    <row r="47" spans="1:87" ht="19" customHeight="1">
      <c r="B47" s="102" t="s">
        <v>788</v>
      </c>
      <c r="C47" s="103"/>
      <c r="D47" s="103"/>
      <c r="E47" s="103"/>
      <c r="F47" s="103"/>
      <c r="G47" s="103"/>
      <c r="H47" s="104"/>
    </row>
    <row r="48" spans="1:87" ht="19" customHeight="1">
      <c r="B48" s="105"/>
      <c r="C48" s="103"/>
      <c r="D48" s="103"/>
      <c r="E48" s="103"/>
      <c r="F48" s="103"/>
      <c r="G48" s="103"/>
      <c r="H48" s="104"/>
    </row>
    <row r="49" spans="2:8" ht="19" customHeight="1">
      <c r="B49" s="105"/>
      <c r="C49" s="103"/>
      <c r="D49" s="103"/>
      <c r="E49" s="103"/>
      <c r="F49" s="103"/>
      <c r="G49" s="103"/>
      <c r="H49" s="104"/>
    </row>
    <row r="50" spans="2:8" ht="19" customHeight="1">
      <c r="B50" s="105"/>
      <c r="C50" s="103"/>
      <c r="D50" s="103"/>
      <c r="E50" s="103"/>
      <c r="F50" s="103"/>
      <c r="G50" s="103"/>
      <c r="H50" s="104"/>
    </row>
    <row r="51" spans="2:8" ht="19" customHeight="1">
      <c r="B51" s="105"/>
      <c r="C51" s="103"/>
      <c r="D51" s="103"/>
      <c r="E51" s="103"/>
      <c r="F51" s="103"/>
      <c r="G51" s="103"/>
      <c r="H51" s="104"/>
    </row>
    <row r="52" spans="2:8" ht="19" customHeight="1">
      <c r="B52" s="105"/>
      <c r="C52" s="103"/>
      <c r="D52" s="103"/>
      <c r="E52" s="103"/>
      <c r="F52" s="103"/>
      <c r="G52" s="103"/>
      <c r="H52" s="104"/>
    </row>
    <row r="53" spans="2:8" ht="19" customHeight="1">
      <c r="B53" s="105"/>
      <c r="C53" s="103"/>
      <c r="D53" s="103"/>
      <c r="E53" s="103"/>
      <c r="F53" s="103"/>
      <c r="G53" s="103"/>
      <c r="H53" s="104"/>
    </row>
    <row r="54" spans="2:8" ht="19" customHeight="1">
      <c r="B54" s="106"/>
      <c r="C54" s="107"/>
      <c r="D54" s="107"/>
      <c r="E54" s="107"/>
      <c r="F54" s="107"/>
      <c r="G54" s="107"/>
      <c r="H54" s="108"/>
    </row>
  </sheetData>
  <mergeCells count="4">
    <mergeCell ref="B5:C5"/>
    <mergeCell ref="D5:O5"/>
    <mergeCell ref="B47:H54"/>
    <mergeCell ref="B46:H4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338CA"/>
  </sheetPr>
  <dimension ref="B2:I65"/>
  <sheetViews>
    <sheetView workbookViewId="0"/>
  </sheetViews>
  <sheetFormatPr baseColWidth="10" defaultColWidth="8.7265625" defaultRowHeight="14.5"/>
  <cols>
    <col min="1" max="1" width="5" customWidth="1"/>
    <col min="2" max="2" width="45" customWidth="1"/>
    <col min="3" max="3" width="12" customWidth="1"/>
    <col min="4" max="7" width="18" customWidth="1"/>
    <col min="8" max="9" width="50" customWidth="1"/>
  </cols>
  <sheetData>
    <row r="2" spans="2:9" ht="25">
      <c r="B2" s="22" t="s">
        <v>789</v>
      </c>
      <c r="E2" s="23" t="s">
        <v>296</v>
      </c>
      <c r="F2" s="24" t="str">
        <f>CHOOSE('1_PANEL_CONTROL'!$C$4, "🔴 1: NEGATIVO", "🟡 2: EQUILIBRIO", "🟢 3: POSITIVO")</f>
        <v>🟡 2: EQUILIBRIO</v>
      </c>
    </row>
    <row r="4" spans="2:9" ht="85" customHeight="1">
      <c r="B4" s="116" t="str">
        <f>CHOOSE('1_PANEL_CONTROL'!$C$4,
            "[NEGATIVO] BALANCE CONSOLIDADO. La liquidez está en riesgo crítico debido a la baja generación de ingresos de clientes (" &amp; TEXT(SUM('5_DETALLE_INGRESOS'!$D$37:$O$37), "#.##0 €") &amp; " en Año 1) y la ausencia de financiación externa.",
            "[EQUILIBRIO] BALANCE CONSOLIDADO. El modelo demuestra sostenibilidad con un total de fuentes en el Año 1 de " &amp; TEXT('11_BALANCE_CONSOLIDADO'!C19, "#.##0 €") &amp; " (incluyendo " &amp; TEXT('13_CAP_TABLE_FINANCIACION'!C17, "#.##0 €") &amp; " de ENISA).",
            "[POSITIVO] BALANCE CONSOLIDADO. Posición financiera excelente impulsada por la ronda semilla de Venture Capital de 350.000 € y RBF en el mes 1.")</f>
        <v>[EQUILIBRIO] BALANCE CONSOLIDADO. El modelo demuestra sostenibilidad con un total de fuentes en el Año 1 de 0 € (incluyendo 75.000 € de ENISA).</v>
      </c>
      <c r="C4" s="112"/>
      <c r="D4" s="112"/>
      <c r="E4" s="112"/>
      <c r="F4" s="112"/>
      <c r="G4" s="112"/>
      <c r="H4" s="113"/>
    </row>
    <row r="5" spans="2:9" ht="17.5">
      <c r="B5" s="111" t="s">
        <v>790</v>
      </c>
      <c r="C5" s="112"/>
      <c r="D5" s="112"/>
      <c r="E5" s="112"/>
      <c r="F5" s="112"/>
      <c r="G5" s="112"/>
      <c r="H5" s="112"/>
      <c r="I5" s="113"/>
    </row>
    <row r="6" spans="2:9" ht="28" customHeight="1">
      <c r="B6" s="47" t="s">
        <v>791</v>
      </c>
      <c r="C6" s="47" t="s">
        <v>367</v>
      </c>
      <c r="D6" s="47" t="s">
        <v>792</v>
      </c>
      <c r="E6" s="47" t="s">
        <v>793</v>
      </c>
      <c r="F6" s="47" t="s">
        <v>794</v>
      </c>
      <c r="G6" s="47" t="s">
        <v>795</v>
      </c>
      <c r="H6" s="47" t="s">
        <v>796</v>
      </c>
      <c r="I6" s="47" t="s">
        <v>797</v>
      </c>
    </row>
    <row r="7" spans="2:9" ht="38" customHeight="1">
      <c r="B7" s="6" t="s">
        <v>798</v>
      </c>
      <c r="C7" s="30" t="s">
        <v>465</v>
      </c>
      <c r="D7" s="48">
        <f>SUM('10_PL_PERDIDAS_GANANCIAS'!D11:O11)</f>
        <v>115373.54999999999</v>
      </c>
      <c r="E7" s="48">
        <f>SUM('10_PL_PERDIDAS_GANANCIAS'!P11:AA11)</f>
        <v>445163.69999999995</v>
      </c>
      <c r="F7" s="48">
        <f>SUM('10_PL_PERDIDAS_GANANCIAS'!AB11:AM11)</f>
        <v>1182786.5999999999</v>
      </c>
      <c r="G7" s="48">
        <f t="shared" ref="G7:G12" si="0">SUM(D7:F7)</f>
        <v>1743323.8499999999</v>
      </c>
      <c r="H7" s="49" t="s">
        <v>799</v>
      </c>
      <c r="I7" s="49" t="s">
        <v>800</v>
      </c>
    </row>
    <row r="8" spans="2:9" ht="38" customHeight="1">
      <c r="B8" s="6" t="s">
        <v>801</v>
      </c>
      <c r="C8" s="30" t="s">
        <v>465</v>
      </c>
      <c r="D8" s="48">
        <f>SUM('10_PL_PERDIDAS_GANANCIAS'!D12:O12)</f>
        <v>13198.75</v>
      </c>
      <c r="E8" s="48">
        <f>SUM('10_PL_PERDIDAS_GANANCIAS'!P12:AA12)</f>
        <v>40529.125</v>
      </c>
      <c r="F8" s="48">
        <f>SUM('10_PL_PERDIDAS_GANANCIAS'!AB12:AM12)</f>
        <v>104537.5</v>
      </c>
      <c r="G8" s="48">
        <f t="shared" si="0"/>
        <v>158265.375</v>
      </c>
      <c r="H8" s="49" t="s">
        <v>802</v>
      </c>
      <c r="I8" s="49" t="s">
        <v>803</v>
      </c>
    </row>
    <row r="9" spans="2:9" ht="38" customHeight="1">
      <c r="B9" s="6" t="s">
        <v>537</v>
      </c>
      <c r="C9" s="30" t="s">
        <v>465</v>
      </c>
      <c r="D9" s="48">
        <f>SUM('10_PL_PERDIDAS_GANANCIAS'!D13:O13)</f>
        <v>74285</v>
      </c>
      <c r="E9" s="48">
        <f>SUM('10_PL_PERDIDAS_GANANCIAS'!P13:AA13)</f>
        <v>178731.5</v>
      </c>
      <c r="F9" s="48">
        <f>SUM('10_PL_PERDIDAS_GANANCIAS'!AB13:AM13)</f>
        <v>442130</v>
      </c>
      <c r="G9" s="48">
        <f t="shared" si="0"/>
        <v>695146.5</v>
      </c>
      <c r="H9" s="49" t="s">
        <v>804</v>
      </c>
      <c r="I9" s="49" t="s">
        <v>805</v>
      </c>
    </row>
    <row r="10" spans="2:9" ht="38" customHeight="1">
      <c r="B10" s="6" t="s">
        <v>539</v>
      </c>
      <c r="C10" s="30" t="s">
        <v>465</v>
      </c>
      <c r="D10" s="48">
        <f>SUM('10_PL_PERDIDAS_GANANCIAS'!D14:O14)</f>
        <v>13575</v>
      </c>
      <c r="E10" s="48">
        <f>SUM('10_PL_PERDIDAS_GANANCIAS'!P14:AA14)</f>
        <v>52500</v>
      </c>
      <c r="F10" s="48">
        <f>SUM('10_PL_PERDIDAS_GANANCIAS'!AB14:AM14)</f>
        <v>139425</v>
      </c>
      <c r="G10" s="48">
        <f t="shared" si="0"/>
        <v>205500</v>
      </c>
      <c r="H10" s="49" t="s">
        <v>806</v>
      </c>
      <c r="I10" s="49" t="s">
        <v>807</v>
      </c>
    </row>
    <row r="11" spans="2:9" ht="38" customHeight="1">
      <c r="B11" s="6" t="s">
        <v>808</v>
      </c>
      <c r="C11" s="30" t="s">
        <v>465</v>
      </c>
      <c r="D11" s="48">
        <f>SUM('10_PL_PERDIDAS_GANANCIAS'!D15:O15)</f>
        <v>3018.75</v>
      </c>
      <c r="E11" s="48">
        <f>SUM('10_PL_PERDIDAS_GANANCIAS'!P15:AA15)</f>
        <v>11662.5</v>
      </c>
      <c r="F11" s="48">
        <f>SUM('10_PL_PERDIDAS_GANANCIAS'!AB15:AM15)</f>
        <v>30963.75</v>
      </c>
      <c r="G11" s="48">
        <f t="shared" si="0"/>
        <v>45645</v>
      </c>
      <c r="H11" s="49" t="s">
        <v>809</v>
      </c>
      <c r="I11" s="49" t="s">
        <v>810</v>
      </c>
    </row>
    <row r="12" spans="2:9" ht="38" customHeight="1">
      <c r="B12" s="6" t="s">
        <v>811</v>
      </c>
      <c r="C12" s="30" t="s">
        <v>465</v>
      </c>
      <c r="D12" s="48">
        <f>SUM('10_PL_PERDIDAS_GANANCIAS'!D16:O16)</f>
        <v>84292.551960282144</v>
      </c>
      <c r="E12" s="48">
        <f>SUM('10_PL_PERDIDAS_GANANCIAS'!P16:AA16)</f>
        <v>113010.06728708568</v>
      </c>
      <c r="F12" s="48">
        <f>SUM('10_PL_PERDIDAS_GANANCIAS'!AB16:AM16)</f>
        <v>142683.23526218042</v>
      </c>
      <c r="G12" s="48">
        <f t="shared" si="0"/>
        <v>339985.85450954828</v>
      </c>
      <c r="H12" s="49" t="s">
        <v>812</v>
      </c>
      <c r="I12" s="49" t="s">
        <v>813</v>
      </c>
    </row>
    <row r="13" spans="2:9" ht="20" customHeight="1">
      <c r="B13" s="50" t="s">
        <v>814</v>
      </c>
      <c r="C13" s="51" t="s">
        <v>465</v>
      </c>
      <c r="D13" s="52">
        <f>SUM(D7:D12)</f>
        <v>303743.60196028213</v>
      </c>
      <c r="E13" s="52">
        <f>SUM(E7:E12)</f>
        <v>841596.89228708565</v>
      </c>
      <c r="F13" s="52">
        <f>SUM(F7:F12)</f>
        <v>2042526.0852621803</v>
      </c>
      <c r="G13" s="52">
        <f>SUM(G7:G12)</f>
        <v>3187866.5795095479</v>
      </c>
      <c r="H13" s="53" t="s">
        <v>815</v>
      </c>
      <c r="I13" s="53" t="s">
        <v>816</v>
      </c>
    </row>
    <row r="14" spans="2:9" ht="38" customHeight="1">
      <c r="B14" s="6" t="s">
        <v>817</v>
      </c>
      <c r="C14" s="30" t="s">
        <v>465</v>
      </c>
      <c r="D14" s="48">
        <f>SUM('9_FLUJO_CAJA'!D32:O32)</f>
        <v>140000</v>
      </c>
      <c r="E14" s="48">
        <f>SUM('9_FLUJO_CAJA'!P32:AA32)</f>
        <v>0</v>
      </c>
      <c r="F14" s="48">
        <f>SUM('9_FLUJO_CAJA'!AB32:AM32)</f>
        <v>0</v>
      </c>
      <c r="G14" s="48">
        <f>SUM(D14:F14)</f>
        <v>140000</v>
      </c>
      <c r="H14" s="49" t="s">
        <v>818</v>
      </c>
      <c r="I14" s="49" t="s">
        <v>819</v>
      </c>
    </row>
    <row r="15" spans="2:9" ht="38" customHeight="1">
      <c r="B15" s="6" t="s">
        <v>820</v>
      </c>
      <c r="C15" s="30" t="s">
        <v>465</v>
      </c>
      <c r="D15" s="48">
        <f>SUM('9_FLUJO_CAJA'!D33:O33)</f>
        <v>75000</v>
      </c>
      <c r="E15" s="48">
        <f>SUM('9_FLUJO_CAJA'!P33:AA33)</f>
        <v>0</v>
      </c>
      <c r="F15" s="48">
        <f>SUM('9_FLUJO_CAJA'!AB33:AM33)</f>
        <v>0</v>
      </c>
      <c r="G15" s="48">
        <f>SUM(D15:F15)</f>
        <v>75000</v>
      </c>
      <c r="H15" s="49" t="s">
        <v>821</v>
      </c>
      <c r="I15" s="49" t="s">
        <v>822</v>
      </c>
    </row>
    <row r="16" spans="2:9" ht="20" customHeight="1">
      <c r="B16" s="50" t="s">
        <v>823</v>
      </c>
      <c r="C16" s="51" t="s">
        <v>465</v>
      </c>
      <c r="D16" s="52">
        <f>SUM(D14:D15)</f>
        <v>215000</v>
      </c>
      <c r="E16" s="52">
        <f>SUM(E14:E15)</f>
        <v>0</v>
      </c>
      <c r="F16" s="52">
        <f>SUM(F14:F15)</f>
        <v>0</v>
      </c>
      <c r="G16" s="52">
        <f>SUM(G14:G15)</f>
        <v>215000</v>
      </c>
      <c r="H16" s="53" t="s">
        <v>824</v>
      </c>
      <c r="I16" s="53" t="s">
        <v>825</v>
      </c>
    </row>
    <row r="17" spans="2:9" ht="20" customHeight="1">
      <c r="B17" s="50" t="s">
        <v>826</v>
      </c>
      <c r="C17" s="51" t="s">
        <v>465</v>
      </c>
      <c r="D17" s="54">
        <f>D13+D16</f>
        <v>518743.60196028213</v>
      </c>
      <c r="E17" s="54">
        <f>E13+E16</f>
        <v>841596.89228708565</v>
      </c>
      <c r="F17" s="54">
        <f>F13+F16</f>
        <v>2042526.0852621803</v>
      </c>
      <c r="G17" s="54">
        <f>G13+G16</f>
        <v>3402866.5795095479</v>
      </c>
      <c r="H17" s="53" t="s">
        <v>827</v>
      </c>
      <c r="I17" s="53" t="s">
        <v>828</v>
      </c>
    </row>
    <row r="19" spans="2:9" ht="17.5">
      <c r="B19" s="114" t="s">
        <v>829</v>
      </c>
      <c r="C19" s="112"/>
      <c r="D19" s="112"/>
      <c r="E19" s="112"/>
      <c r="F19" s="112"/>
      <c r="G19" s="112"/>
      <c r="H19" s="112"/>
      <c r="I19" s="113"/>
    </row>
    <row r="20" spans="2:9" ht="38" customHeight="1">
      <c r="B20" s="6" t="s">
        <v>830</v>
      </c>
      <c r="C20" s="30" t="s">
        <v>465</v>
      </c>
      <c r="D20" s="48">
        <f>SUM('10_PL_PERDIDAS_GANANCIAS'!D18:O18)</f>
        <v>2416.1999999999998</v>
      </c>
      <c r="E20" s="48">
        <f>SUM('10_PL_PERDIDAS_GANANCIAS'!P18:AA18)</f>
        <v>9322.7999999999993</v>
      </c>
      <c r="F20" s="48">
        <f>SUM('10_PL_PERDIDAS_GANANCIAS'!AB18:AM18)</f>
        <v>24770.400000000001</v>
      </c>
      <c r="G20" s="48">
        <f>SUM(D20:F20)</f>
        <v>36509.4</v>
      </c>
      <c r="H20" s="49" t="s">
        <v>831</v>
      </c>
      <c r="I20" s="49" t="s">
        <v>832</v>
      </c>
    </row>
    <row r="21" spans="2:9" ht="38" customHeight="1">
      <c r="B21" s="6" t="s">
        <v>833</v>
      </c>
      <c r="C21" s="30" t="s">
        <v>465</v>
      </c>
      <c r="D21" s="48">
        <f>SUM('10_PL_PERDIDAS_GANANCIAS'!D19:O19)</f>
        <v>7593.5900490070544</v>
      </c>
      <c r="E21" s="48">
        <f>SUM('10_PL_PERDIDAS_GANANCIAS'!P19:AA19)</f>
        <v>21039.922307177141</v>
      </c>
      <c r="F21" s="48">
        <f>SUM('10_PL_PERDIDAS_GANANCIAS'!AB19:AM19)</f>
        <v>51063.152131554511</v>
      </c>
      <c r="G21" s="48">
        <f>SUM(D21:F21)</f>
        <v>79696.664487738715</v>
      </c>
      <c r="H21" s="49" t="s">
        <v>834</v>
      </c>
      <c r="I21" s="49" t="s">
        <v>835</v>
      </c>
    </row>
    <row r="22" spans="2:9" ht="38" customHeight="1">
      <c r="B22" s="6" t="s">
        <v>836</v>
      </c>
      <c r="C22" s="30" t="s">
        <v>465</v>
      </c>
      <c r="D22" s="48">
        <f>SUM('10_PL_PERDIDAS_GANANCIAS'!D20:O20)</f>
        <v>2689.9900000000002</v>
      </c>
      <c r="E22" s="48">
        <f>SUM('10_PL_PERDIDAS_GANANCIAS'!P20:AA20)</f>
        <v>6949.0599999999995</v>
      </c>
      <c r="F22" s="48">
        <f>SUM('10_PL_PERDIDAS_GANANCIAS'!AB20:AM20)</f>
        <v>16475.080000000002</v>
      </c>
      <c r="G22" s="48">
        <f>SUM(D22:F22)</f>
        <v>26114.13</v>
      </c>
      <c r="H22" s="49" t="s">
        <v>837</v>
      </c>
      <c r="I22" s="49" t="s">
        <v>838</v>
      </c>
    </row>
    <row r="23" spans="2:9" ht="38" customHeight="1">
      <c r="B23" s="6" t="s">
        <v>839</v>
      </c>
      <c r="C23" s="30" t="s">
        <v>465</v>
      </c>
      <c r="D23" s="48">
        <f>SUM('10_PL_PERDIDAS_GANANCIAS'!D21:O21)</f>
        <v>29050</v>
      </c>
      <c r="E23" s="48">
        <f>SUM('10_PL_PERDIDAS_GANANCIAS'!P21:AA21)</f>
        <v>69895</v>
      </c>
      <c r="F23" s="48">
        <f>SUM('10_PL_PERDIDAS_GANANCIAS'!AB21:AM21)</f>
        <v>172900</v>
      </c>
      <c r="G23" s="48">
        <f>SUM(D23:F23)</f>
        <v>271845</v>
      </c>
      <c r="H23" s="49" t="s">
        <v>840</v>
      </c>
      <c r="I23" s="49" t="s">
        <v>841</v>
      </c>
    </row>
    <row r="24" spans="2:9" ht="38" customHeight="1">
      <c r="B24" s="6" t="s">
        <v>842</v>
      </c>
      <c r="C24" s="30" t="s">
        <v>465</v>
      </c>
      <c r="D24" s="48">
        <f>SUM('10_PL_PERDIDAS_GANANCIAS'!D22:O22)</f>
        <v>5395</v>
      </c>
      <c r="E24" s="48">
        <f>SUM('10_PL_PERDIDAS_GANANCIAS'!P22:AA22)</f>
        <v>12980.5</v>
      </c>
      <c r="F24" s="48">
        <f>SUM('10_PL_PERDIDAS_GANANCIAS'!AB22:AM22)</f>
        <v>32110</v>
      </c>
      <c r="G24" s="48">
        <f>SUM(D24:F24)</f>
        <v>50485.5</v>
      </c>
      <c r="H24" s="49" t="s">
        <v>843</v>
      </c>
      <c r="I24" s="49" t="s">
        <v>844</v>
      </c>
    </row>
    <row r="25" spans="2:9" ht="20" customHeight="1">
      <c r="B25" s="50" t="s">
        <v>845</v>
      </c>
      <c r="C25" s="51" t="s">
        <v>465</v>
      </c>
      <c r="D25" s="52">
        <f>SUM(D20:D24)</f>
        <v>47144.780049007051</v>
      </c>
      <c r="E25" s="52">
        <f>SUM(E20:E24)</f>
        <v>120187.28230717714</v>
      </c>
      <c r="F25" s="52">
        <f>SUM(F20:F24)</f>
        <v>297318.63213155454</v>
      </c>
      <c r="G25" s="52">
        <f>SUM(G20:G24)</f>
        <v>464650.69448773871</v>
      </c>
      <c r="H25" s="53" t="s">
        <v>846</v>
      </c>
      <c r="I25" s="53" t="s">
        <v>847</v>
      </c>
    </row>
    <row r="26" spans="2:9" ht="38" customHeight="1">
      <c r="B26" s="6" t="s">
        <v>848</v>
      </c>
      <c r="C26" s="30" t="s">
        <v>465</v>
      </c>
      <c r="D26" s="48">
        <f>SUM('10_PL_PERDIDAS_GANANCIAS'!D26:O26)</f>
        <v>93537.12</v>
      </c>
      <c r="E26" s="48">
        <f>SUM('10_PL_PERDIDAS_GANANCIAS'!P26:AA26)</f>
        <v>296810.12</v>
      </c>
      <c r="F26" s="48">
        <f>SUM('10_PL_PERDIDAS_GANANCIAS'!AB26:AM26)</f>
        <v>357304.11999999994</v>
      </c>
      <c r="G26" s="48">
        <f t="shared" ref="G26:G36" si="1">SUM(D26:F26)</f>
        <v>747651.35999999987</v>
      </c>
      <c r="H26" s="49" t="s">
        <v>849</v>
      </c>
      <c r="I26" s="49" t="s">
        <v>850</v>
      </c>
    </row>
    <row r="27" spans="2:9" ht="38" customHeight="1">
      <c r="B27" s="6" t="s">
        <v>613</v>
      </c>
      <c r="C27" s="30" t="s">
        <v>465</v>
      </c>
      <c r="D27" s="48">
        <f>SUM('10_PL_PERDIDAS_GANANCIAS'!D27:O27)</f>
        <v>25920</v>
      </c>
      <c r="E27" s="48">
        <f>SUM('10_PL_PERDIDAS_GANANCIAS'!P27:AA27)</f>
        <v>25920</v>
      </c>
      <c r="F27" s="48">
        <f>SUM('10_PL_PERDIDAS_GANANCIAS'!AB27:AM27)</f>
        <v>25920</v>
      </c>
      <c r="G27" s="48">
        <f t="shared" si="1"/>
        <v>77760</v>
      </c>
      <c r="H27" s="49" t="s">
        <v>851</v>
      </c>
      <c r="I27" s="49" t="s">
        <v>852</v>
      </c>
    </row>
    <row r="28" spans="2:9" ht="38" customHeight="1">
      <c r="B28" s="6" t="s">
        <v>853</v>
      </c>
      <c r="C28" s="30" t="s">
        <v>465</v>
      </c>
      <c r="D28" s="48">
        <f>SUM('10_PL_PERDIDAS_GANANCIAS'!D28:O28)</f>
        <v>20674.320000000003</v>
      </c>
      <c r="E28" s="48">
        <f>SUM('10_PL_PERDIDAS_GANANCIAS'!P28:AA28)</f>
        <v>20674.320000000003</v>
      </c>
      <c r="F28" s="48">
        <f>SUM('10_PL_PERDIDAS_GANANCIAS'!AB28:AM28)</f>
        <v>20674.320000000003</v>
      </c>
      <c r="G28" s="48">
        <f t="shared" si="1"/>
        <v>62022.960000000006</v>
      </c>
      <c r="H28" s="49" t="s">
        <v>854</v>
      </c>
      <c r="I28" s="49" t="s">
        <v>855</v>
      </c>
    </row>
    <row r="29" spans="2:9" ht="38" customHeight="1">
      <c r="B29" s="6" t="s">
        <v>856</v>
      </c>
      <c r="C29" s="30" t="s">
        <v>465</v>
      </c>
      <c r="D29" s="48">
        <f>SUM('10_PL_PERDIDAS_GANANCIAS'!D29:O29)</f>
        <v>35460</v>
      </c>
      <c r="E29" s="48">
        <f>SUM('10_PL_PERDIDAS_GANANCIAS'!P29:AA29)</f>
        <v>35460</v>
      </c>
      <c r="F29" s="48">
        <f>SUM('10_PL_PERDIDAS_GANANCIAS'!AB29:AM29)</f>
        <v>35460</v>
      </c>
      <c r="G29" s="48">
        <f t="shared" si="1"/>
        <v>106380</v>
      </c>
      <c r="H29" s="49" t="s">
        <v>857</v>
      </c>
      <c r="I29" s="49" t="s">
        <v>858</v>
      </c>
    </row>
    <row r="30" spans="2:9" ht="38" customHeight="1">
      <c r="B30" s="6" t="s">
        <v>859</v>
      </c>
      <c r="C30" s="30" t="s">
        <v>465</v>
      </c>
      <c r="D30" s="48">
        <f>SUM('10_PL_PERDIDAS_GANANCIAS'!D30:O30)</f>
        <v>17401.2</v>
      </c>
      <c r="E30" s="48">
        <f>SUM('10_PL_PERDIDAS_GANANCIAS'!P30:AA30)</f>
        <v>17401.2</v>
      </c>
      <c r="F30" s="48">
        <f>SUM('10_PL_PERDIDAS_GANANCIAS'!AB30:AM30)</f>
        <v>17401.2</v>
      </c>
      <c r="G30" s="48">
        <f t="shared" si="1"/>
        <v>52203.600000000006</v>
      </c>
      <c r="H30" s="49" t="s">
        <v>860</v>
      </c>
      <c r="I30" s="49" t="s">
        <v>861</v>
      </c>
    </row>
    <row r="31" spans="2:9" ht="38" customHeight="1">
      <c r="B31" s="6" t="s">
        <v>862</v>
      </c>
      <c r="C31" s="30" t="s">
        <v>465</v>
      </c>
      <c r="D31" s="48">
        <f>SUM('10_PL_PERDIDAS_GANANCIAS'!D31:O31)</f>
        <v>6600</v>
      </c>
      <c r="E31" s="48">
        <f>SUM('10_PL_PERDIDAS_GANANCIAS'!P31:AA31)</f>
        <v>6600</v>
      </c>
      <c r="F31" s="48">
        <f>SUM('10_PL_PERDIDAS_GANANCIAS'!AB31:AM31)</f>
        <v>6600</v>
      </c>
      <c r="G31" s="48">
        <f t="shared" si="1"/>
        <v>19800</v>
      </c>
      <c r="H31" s="49" t="s">
        <v>863</v>
      </c>
      <c r="I31" s="49" t="s">
        <v>864</v>
      </c>
    </row>
    <row r="32" spans="2:9" ht="38" customHeight="1">
      <c r="B32" s="6" t="s">
        <v>865</v>
      </c>
      <c r="C32" s="30" t="s">
        <v>465</v>
      </c>
      <c r="D32" s="48">
        <f>SUM('10_PL_PERDIDAS_GANANCIAS'!D32:O32)</f>
        <v>16560</v>
      </c>
      <c r="E32" s="48">
        <f>SUM('10_PL_PERDIDAS_GANANCIAS'!P32:AA32)</f>
        <v>16560</v>
      </c>
      <c r="F32" s="48">
        <f>SUM('10_PL_PERDIDAS_GANANCIAS'!AB32:AM32)</f>
        <v>16560</v>
      </c>
      <c r="G32" s="48">
        <f t="shared" si="1"/>
        <v>49680</v>
      </c>
      <c r="H32" s="49" t="s">
        <v>866</v>
      </c>
      <c r="I32" s="49" t="s">
        <v>867</v>
      </c>
    </row>
    <row r="33" spans="2:9" ht="38" customHeight="1">
      <c r="B33" s="6" t="s">
        <v>868</v>
      </c>
      <c r="C33" s="30" t="s">
        <v>465</v>
      </c>
      <c r="D33" s="48">
        <f>SUM('10_PL_PERDIDAS_GANANCIAS'!D33:O33)</f>
        <v>33996.6</v>
      </c>
      <c r="E33" s="48">
        <f>SUM('10_PL_PERDIDAS_GANANCIAS'!P33:AA33)</f>
        <v>33996.6</v>
      </c>
      <c r="F33" s="48">
        <f>SUM('10_PL_PERDIDAS_GANANCIAS'!AB33:AM33)</f>
        <v>33996.6</v>
      </c>
      <c r="G33" s="48">
        <f t="shared" si="1"/>
        <v>101989.79999999999</v>
      </c>
      <c r="H33" s="49" t="s">
        <v>869</v>
      </c>
      <c r="I33" s="49" t="s">
        <v>870</v>
      </c>
    </row>
    <row r="34" spans="2:9" ht="38" customHeight="1">
      <c r="B34" s="6" t="s">
        <v>871</v>
      </c>
      <c r="C34" s="30" t="s">
        <v>465</v>
      </c>
      <c r="D34" s="48">
        <f>SUM('10_PL_PERDIDAS_GANANCIAS'!D34:O34)</f>
        <v>15310.679999999997</v>
      </c>
      <c r="E34" s="48">
        <f>SUM('10_PL_PERDIDAS_GANANCIAS'!P34:AA34)</f>
        <v>49843.68</v>
      </c>
      <c r="F34" s="48">
        <f>SUM('10_PL_PERDIDAS_GANANCIAS'!AB34:AM34)</f>
        <v>127081.68</v>
      </c>
      <c r="G34" s="48">
        <f t="shared" si="1"/>
        <v>192236.03999999998</v>
      </c>
      <c r="H34" s="49" t="s">
        <v>872</v>
      </c>
      <c r="I34" s="49" t="s">
        <v>873</v>
      </c>
    </row>
    <row r="35" spans="2:9" ht="38" customHeight="1">
      <c r="B35" s="6" t="s">
        <v>874</v>
      </c>
      <c r="C35" s="30" t="s">
        <v>465</v>
      </c>
      <c r="D35" s="48">
        <f>SUM('10_PL_PERDIDAS_GANANCIAS'!D35:O35)</f>
        <v>8811.85</v>
      </c>
      <c r="E35" s="48">
        <f>SUM('10_PL_PERDIDAS_GANANCIAS'!P35:AA35)</f>
        <v>0</v>
      </c>
      <c r="F35" s="48">
        <f>SUM('10_PL_PERDIDAS_GANANCIAS'!AB35:AM35)</f>
        <v>0</v>
      </c>
      <c r="G35" s="48">
        <f t="shared" si="1"/>
        <v>8811.85</v>
      </c>
      <c r="H35" s="49" t="s">
        <v>875</v>
      </c>
      <c r="I35" s="49" t="s">
        <v>876</v>
      </c>
    </row>
    <row r="36" spans="2:9" ht="38" customHeight="1">
      <c r="B36" s="6" t="s">
        <v>877</v>
      </c>
      <c r="C36" s="30" t="s">
        <v>465</v>
      </c>
      <c r="D36" s="48">
        <f>SUM('10_PL_PERDIDAS_GANANCIAS'!D36:O36)</f>
        <v>6560.04</v>
      </c>
      <c r="E36" s="48">
        <f>SUM('10_PL_PERDIDAS_GANANCIAS'!P36:AA36)</f>
        <v>6560.04</v>
      </c>
      <c r="F36" s="48">
        <f>SUM('10_PL_PERDIDAS_GANANCIAS'!AB36:AM36)</f>
        <v>6560.04</v>
      </c>
      <c r="G36" s="48">
        <f t="shared" si="1"/>
        <v>19680.12</v>
      </c>
      <c r="H36" s="49" t="s">
        <v>878</v>
      </c>
      <c r="I36" s="49" t="s">
        <v>879</v>
      </c>
    </row>
    <row r="37" spans="2:9" ht="20" customHeight="1">
      <c r="B37" s="50" t="s">
        <v>880</v>
      </c>
      <c r="C37" s="51" t="s">
        <v>465</v>
      </c>
      <c r="D37" s="52">
        <f>SUM(D26:D36)</f>
        <v>280831.81</v>
      </c>
      <c r="E37" s="52">
        <f>SUM(E26:E36)</f>
        <v>509825.95999999996</v>
      </c>
      <c r="F37" s="52">
        <f>SUM(F26:F36)</f>
        <v>647557.96</v>
      </c>
      <c r="G37" s="52">
        <f>SUM(G26:G36)</f>
        <v>1438215.7300000002</v>
      </c>
      <c r="H37" s="53" t="s">
        <v>881</v>
      </c>
      <c r="I37" s="53" t="s">
        <v>882</v>
      </c>
    </row>
    <row r="38" spans="2:9" ht="38" customHeight="1">
      <c r="B38" s="6" t="s">
        <v>883</v>
      </c>
      <c r="C38" s="30" t="s">
        <v>465</v>
      </c>
      <c r="D38" s="48">
        <f>SUM('9_FLUJO_CAJA'!D10:O10)</f>
        <v>10196</v>
      </c>
      <c r="E38" s="48">
        <f>SUM('9_FLUJO_CAJA'!P10:AA10)</f>
        <v>0</v>
      </c>
      <c r="F38" s="48">
        <f>SUM('9_FLUJO_CAJA'!AB10:AM10)</f>
        <v>0</v>
      </c>
      <c r="G38" s="48">
        <f>SUM(D38:F38)</f>
        <v>10196</v>
      </c>
      <c r="H38" s="49" t="s">
        <v>884</v>
      </c>
      <c r="I38" s="49" t="s">
        <v>885</v>
      </c>
    </row>
    <row r="39" spans="2:9" ht="38" customHeight="1">
      <c r="B39" s="6" t="s">
        <v>886</v>
      </c>
      <c r="C39" s="30" t="s">
        <v>465</v>
      </c>
      <c r="D39" s="48">
        <f>SUM('9_FLUJO_CAJA'!D11:O11)</f>
        <v>17150</v>
      </c>
      <c r="E39" s="48">
        <f>SUM('9_FLUJO_CAJA'!P11:AA11)</f>
        <v>0</v>
      </c>
      <c r="F39" s="48">
        <f>SUM('9_FLUJO_CAJA'!AB11:AM11)</f>
        <v>0</v>
      </c>
      <c r="G39" s="48">
        <f>SUM(D39:F39)</f>
        <v>17150</v>
      </c>
      <c r="H39" s="49" t="s">
        <v>887</v>
      </c>
      <c r="I39" s="49" t="s">
        <v>888</v>
      </c>
    </row>
    <row r="40" spans="2:9" ht="38" customHeight="1">
      <c r="B40" s="6" t="s">
        <v>889</v>
      </c>
      <c r="C40" s="30" t="s">
        <v>465</v>
      </c>
      <c r="D40" s="48">
        <f>SUM('9_FLUJO_CAJA'!D12:O12)</f>
        <v>1500</v>
      </c>
      <c r="E40" s="48">
        <f>SUM('9_FLUJO_CAJA'!P12:AA12)</f>
        <v>0</v>
      </c>
      <c r="F40" s="48">
        <f>SUM('9_FLUJO_CAJA'!AB12:AM12)</f>
        <v>0</v>
      </c>
      <c r="G40" s="48">
        <f>SUM(D40:F40)</f>
        <v>1500</v>
      </c>
      <c r="H40" s="49" t="s">
        <v>890</v>
      </c>
      <c r="I40" s="49" t="s">
        <v>891</v>
      </c>
    </row>
    <row r="41" spans="2:9" ht="38" customHeight="1">
      <c r="B41" s="6" t="s">
        <v>892</v>
      </c>
      <c r="C41" s="30" t="s">
        <v>465</v>
      </c>
      <c r="D41" s="48">
        <f>SUM('9_FLUJO_CAJA'!D14:O14)</f>
        <v>15000</v>
      </c>
      <c r="E41" s="48">
        <f>SUM('9_FLUJO_CAJA'!P14:AA14)</f>
        <v>0</v>
      </c>
      <c r="F41" s="48">
        <f>SUM('9_FLUJO_CAJA'!AB14:AM14)</f>
        <v>0</v>
      </c>
      <c r="G41" s="48">
        <f>SUM(D41:F41)</f>
        <v>15000</v>
      </c>
      <c r="H41" s="49" t="s">
        <v>893</v>
      </c>
      <c r="I41" s="49" t="s">
        <v>894</v>
      </c>
    </row>
    <row r="42" spans="2:9" ht="38" customHeight="1">
      <c r="B42" s="6" t="s">
        <v>895</v>
      </c>
      <c r="C42" s="30" t="s">
        <v>465</v>
      </c>
      <c r="D42" s="48">
        <f>SUM('9_FLUJO_CAJA'!D31:O31)</f>
        <v>2160</v>
      </c>
      <c r="E42" s="48">
        <f>SUM('9_FLUJO_CAJA'!P31:AA31)</f>
        <v>0</v>
      </c>
      <c r="F42" s="48">
        <f>SUM('9_FLUJO_CAJA'!AB31:AM31)</f>
        <v>0</v>
      </c>
      <c r="G42" s="48">
        <f>SUM(D42:F42)</f>
        <v>2160</v>
      </c>
      <c r="H42" s="49" t="s">
        <v>896</v>
      </c>
      <c r="I42" s="49" t="s">
        <v>897</v>
      </c>
    </row>
    <row r="43" spans="2:9" ht="20" customHeight="1">
      <c r="B43" s="50" t="s">
        <v>898</v>
      </c>
      <c r="C43" s="51" t="s">
        <v>465</v>
      </c>
      <c r="D43" s="52">
        <f>SUM(D38:D42)</f>
        <v>46006</v>
      </c>
      <c r="E43" s="52">
        <f>SUM(E38:E42)</f>
        <v>0</v>
      </c>
      <c r="F43" s="52">
        <f>SUM(F38:F42)</f>
        <v>0</v>
      </c>
      <c r="G43" s="52">
        <f>SUM(G38:G42)</f>
        <v>46006</v>
      </c>
      <c r="H43" s="53" t="s">
        <v>899</v>
      </c>
      <c r="I43" s="53" t="s">
        <v>900</v>
      </c>
    </row>
    <row r="44" spans="2:9" ht="38" customHeight="1">
      <c r="B44" s="6" t="s">
        <v>901</v>
      </c>
      <c r="C44" s="30" t="s">
        <v>465</v>
      </c>
      <c r="D44" s="48">
        <f>SUM('9_FLUJO_CAJA'!D34:O34)</f>
        <v>4500</v>
      </c>
      <c r="E44" s="48">
        <f>SUM('9_FLUJO_CAJA'!P34:AA34)</f>
        <v>3984.375</v>
      </c>
      <c r="F44" s="48">
        <f>SUM('9_FLUJO_CAJA'!AB34:AM34)</f>
        <v>2859.375</v>
      </c>
      <c r="G44" s="48">
        <f>SUM(D44:F44)</f>
        <v>11343.75</v>
      </c>
      <c r="H44" s="49" t="s">
        <v>902</v>
      </c>
      <c r="I44" s="49" t="s">
        <v>903</v>
      </c>
    </row>
    <row r="45" spans="2:9" ht="38" customHeight="1">
      <c r="B45" s="6" t="s">
        <v>904</v>
      </c>
      <c r="C45" s="30" t="s">
        <v>465</v>
      </c>
      <c r="D45" s="48">
        <f>SUM('9_FLUJO_CAJA'!D35:O35)</f>
        <v>0</v>
      </c>
      <c r="E45" s="48">
        <f>SUM('9_FLUJO_CAJA'!P35:AA35)</f>
        <v>18750</v>
      </c>
      <c r="F45" s="48">
        <f>SUM('9_FLUJO_CAJA'!AB35:AM35)</f>
        <v>18750</v>
      </c>
      <c r="G45" s="48">
        <f>SUM(D45:F45)</f>
        <v>37500</v>
      </c>
      <c r="H45" s="49" t="s">
        <v>905</v>
      </c>
      <c r="I45" s="49" t="s">
        <v>906</v>
      </c>
    </row>
    <row r="46" spans="2:9" ht="38" customHeight="1">
      <c r="B46" s="6" t="s">
        <v>907</v>
      </c>
      <c r="C46" s="30" t="s">
        <v>465</v>
      </c>
      <c r="D46" s="48">
        <f>SUM('10_PL_PERDIDAS_GANANCIAS'!D43:O43)</f>
        <v>5742.4518334648174</v>
      </c>
      <c r="E46" s="48">
        <f>SUM('10_PL_PERDIDAS_GANANCIAS'!P43:AA43)</f>
        <v>43917.090226234359</v>
      </c>
      <c r="F46" s="48">
        <f>SUM('10_PL_PERDIDAS_GANANCIAS'!AB43:AM43)</f>
        <v>229905.92480743138</v>
      </c>
      <c r="G46" s="48">
        <f>SUM(D46:F46)</f>
        <v>279565.46686713054</v>
      </c>
      <c r="H46" s="49" t="s">
        <v>908</v>
      </c>
      <c r="I46" s="49" t="s">
        <v>909</v>
      </c>
    </row>
    <row r="47" spans="2:9" ht="20" customHeight="1">
      <c r="B47" s="50" t="s">
        <v>910</v>
      </c>
      <c r="C47" s="51" t="s">
        <v>465</v>
      </c>
      <c r="D47" s="52">
        <f>SUM(D44:D46)</f>
        <v>10242.451833464816</v>
      </c>
      <c r="E47" s="52">
        <f>SUM(E44:E46)</f>
        <v>66651.465226234359</v>
      </c>
      <c r="F47" s="52">
        <f>SUM(F44:F46)</f>
        <v>251515.29980743138</v>
      </c>
      <c r="G47" s="52">
        <f>SUM(G44:G46)</f>
        <v>328409.21686713054</v>
      </c>
      <c r="H47" s="53" t="s">
        <v>911</v>
      </c>
      <c r="I47" s="53" t="s">
        <v>912</v>
      </c>
    </row>
    <row r="48" spans="2:9" ht="20" customHeight="1">
      <c r="B48" s="50" t="s">
        <v>913</v>
      </c>
      <c r="C48" s="51" t="s">
        <v>465</v>
      </c>
      <c r="D48" s="55">
        <f>D25+D37+D43+D47</f>
        <v>384225.04188247188</v>
      </c>
      <c r="E48" s="55">
        <f>E25+E37+E43+E47</f>
        <v>696664.70753341145</v>
      </c>
      <c r="F48" s="55">
        <f>F25+F37+F43+F47</f>
        <v>1196391.8919389858</v>
      </c>
      <c r="G48" s="55">
        <f>G25+G37+G43+G47</f>
        <v>2277281.6413548696</v>
      </c>
      <c r="H48" s="53" t="s">
        <v>914</v>
      </c>
      <c r="I48" s="53" t="s">
        <v>915</v>
      </c>
    </row>
    <row r="50" spans="2:9" ht="17.5">
      <c r="B50" s="115" t="s">
        <v>916</v>
      </c>
      <c r="C50" s="112"/>
      <c r="D50" s="112"/>
      <c r="E50" s="112"/>
      <c r="F50" s="112"/>
      <c r="G50" s="112"/>
      <c r="H50" s="112"/>
      <c r="I50" s="113"/>
    </row>
    <row r="51" spans="2:9" ht="38" customHeight="1">
      <c r="B51" s="6" t="s">
        <v>917</v>
      </c>
      <c r="C51" s="30" t="s">
        <v>465</v>
      </c>
      <c r="D51" s="48">
        <f>'9_FLUJO_CAJA'!D25</f>
        <v>0</v>
      </c>
      <c r="E51" s="48">
        <f>'9_FLUJO_CAJA'!P25</f>
        <v>185648.46191127517</v>
      </c>
      <c r="F51" s="48">
        <f>'9_FLUJO_CAJA'!AB25</f>
        <v>438956.63689118368</v>
      </c>
      <c r="G51" s="48">
        <f>D51</f>
        <v>0</v>
      </c>
      <c r="H51" s="49" t="s">
        <v>918</v>
      </c>
      <c r="I51" s="49" t="s">
        <v>919</v>
      </c>
    </row>
    <row r="52" spans="2:9" ht="38" customHeight="1">
      <c r="B52" s="6" t="s">
        <v>920</v>
      </c>
      <c r="C52" s="30" t="s">
        <v>465</v>
      </c>
      <c r="D52" s="48">
        <f>D17-D48</f>
        <v>134518.56007781025</v>
      </c>
      <c r="E52" s="48">
        <f>E17-E48</f>
        <v>144932.1847536742</v>
      </c>
      <c r="F52" s="48">
        <f>F17-F48</f>
        <v>846134.19332319451</v>
      </c>
      <c r="G52" s="48">
        <f>SUM(D52:F52)</f>
        <v>1125584.938154679</v>
      </c>
      <c r="H52" s="49" t="s">
        <v>921</v>
      </c>
      <c r="I52" s="49" t="s">
        <v>922</v>
      </c>
    </row>
    <row r="53" spans="2:9" ht="20" customHeight="1">
      <c r="B53" s="50" t="s">
        <v>923</v>
      </c>
      <c r="C53" s="51" t="s">
        <v>465</v>
      </c>
      <c r="D53" s="56">
        <f>D51+D52</f>
        <v>134518.56007781025</v>
      </c>
      <c r="E53" s="56">
        <f>E51+E52</f>
        <v>330580.64666494937</v>
      </c>
      <c r="F53" s="56">
        <f>F51+F52</f>
        <v>1285090.8302143782</v>
      </c>
      <c r="G53" s="56">
        <f>F53</f>
        <v>1285090.8302143782</v>
      </c>
      <c r="H53" s="53" t="s">
        <v>924</v>
      </c>
      <c r="I53" s="53" t="s">
        <v>925</v>
      </c>
    </row>
    <row r="54" spans="2:9" ht="38" customHeight="1">
      <c r="B54" s="6" t="s">
        <v>926</v>
      </c>
      <c r="C54" s="30" t="s">
        <v>465</v>
      </c>
      <c r="D54" s="48">
        <f>'1_PANEL_CONTROL'!$C$11</f>
        <v>500</v>
      </c>
      <c r="E54" s="48">
        <f>'1_PANEL_CONTROL'!$C$11</f>
        <v>500</v>
      </c>
      <c r="F54" s="48">
        <f>'1_PANEL_CONTROL'!$C$11</f>
        <v>500</v>
      </c>
      <c r="G54" s="48">
        <f>F54</f>
        <v>500</v>
      </c>
      <c r="H54" s="49" t="s">
        <v>927</v>
      </c>
      <c r="I54" s="49" t="s">
        <v>928</v>
      </c>
    </row>
    <row r="55" spans="2:9" ht="20" customHeight="1">
      <c r="B55" s="50" t="s">
        <v>929</v>
      </c>
      <c r="C55" s="51" t="s">
        <v>465</v>
      </c>
      <c r="D55" s="56">
        <f>D53-D54</f>
        <v>134018.56007781025</v>
      </c>
      <c r="E55" s="56">
        <f>E53-E54</f>
        <v>330080.64666494937</v>
      </c>
      <c r="F55" s="56">
        <f>F53-F54</f>
        <v>1284590.8302143782</v>
      </c>
      <c r="G55" s="56">
        <f>G53-G54</f>
        <v>1284590.8302143782</v>
      </c>
      <c r="H55" s="53" t="s">
        <v>930</v>
      </c>
      <c r="I55" s="53" t="s">
        <v>931</v>
      </c>
    </row>
    <row r="57" spans="2:9" ht="24" customHeight="1">
      <c r="B57" s="109" t="s">
        <v>932</v>
      </c>
      <c r="C57" s="110"/>
      <c r="D57" s="110"/>
      <c r="E57" s="110"/>
      <c r="F57" s="110"/>
      <c r="G57" s="110"/>
      <c r="H57" s="110"/>
    </row>
    <row r="58" spans="2:9" ht="19" customHeight="1">
      <c r="B58" s="102" t="s">
        <v>933</v>
      </c>
      <c r="C58" s="103"/>
      <c r="D58" s="103"/>
      <c r="E58" s="103"/>
      <c r="F58" s="103"/>
      <c r="G58" s="103"/>
      <c r="H58" s="104"/>
    </row>
    <row r="59" spans="2:9" ht="19" customHeight="1">
      <c r="B59" s="105"/>
      <c r="C59" s="103"/>
      <c r="D59" s="103"/>
      <c r="E59" s="103"/>
      <c r="F59" s="103"/>
      <c r="G59" s="103"/>
      <c r="H59" s="104"/>
    </row>
    <row r="60" spans="2:9" ht="19" customHeight="1">
      <c r="B60" s="105"/>
      <c r="C60" s="103"/>
      <c r="D60" s="103"/>
      <c r="E60" s="103"/>
      <c r="F60" s="103"/>
      <c r="G60" s="103"/>
      <c r="H60" s="104"/>
    </row>
    <row r="61" spans="2:9" ht="19" customHeight="1">
      <c r="B61" s="105"/>
      <c r="C61" s="103"/>
      <c r="D61" s="103"/>
      <c r="E61" s="103"/>
      <c r="F61" s="103"/>
      <c r="G61" s="103"/>
      <c r="H61" s="104"/>
    </row>
    <row r="62" spans="2:9" ht="19" customHeight="1">
      <c r="B62" s="105"/>
      <c r="C62" s="103"/>
      <c r="D62" s="103"/>
      <c r="E62" s="103"/>
      <c r="F62" s="103"/>
      <c r="G62" s="103"/>
      <c r="H62" s="104"/>
    </row>
    <row r="63" spans="2:9" ht="19" customHeight="1">
      <c r="B63" s="105"/>
      <c r="C63" s="103"/>
      <c r="D63" s="103"/>
      <c r="E63" s="103"/>
      <c r="F63" s="103"/>
      <c r="G63" s="103"/>
      <c r="H63" s="104"/>
    </row>
    <row r="64" spans="2:9" ht="19" customHeight="1">
      <c r="B64" s="105"/>
      <c r="C64" s="103"/>
      <c r="D64" s="103"/>
      <c r="E64" s="103"/>
      <c r="F64" s="103"/>
      <c r="G64" s="103"/>
      <c r="H64" s="104"/>
    </row>
    <row r="65" spans="2:8" ht="19" customHeight="1">
      <c r="B65" s="106"/>
      <c r="C65" s="107"/>
      <c r="D65" s="107"/>
      <c r="E65" s="107"/>
      <c r="F65" s="107"/>
      <c r="G65" s="107"/>
      <c r="H65" s="108"/>
    </row>
  </sheetData>
  <mergeCells count="6">
    <mergeCell ref="B58:H65"/>
    <mergeCell ref="B57:H57"/>
    <mergeCell ref="B4:H4"/>
    <mergeCell ref="B19:I19"/>
    <mergeCell ref="B5:I5"/>
    <mergeCell ref="B50:I5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855F7"/>
  </sheetPr>
  <dimension ref="B2:F50"/>
  <sheetViews>
    <sheetView workbookViewId="0"/>
  </sheetViews>
  <sheetFormatPr baseColWidth="10" defaultColWidth="8.7265625" defaultRowHeight="14.5"/>
  <cols>
    <col min="2" max="2" width="38" customWidth="1"/>
    <col min="3" max="6" width="24" customWidth="1"/>
  </cols>
  <sheetData>
    <row r="2" spans="2:6" ht="25">
      <c r="B2" s="22" t="s">
        <v>934</v>
      </c>
      <c r="E2" s="23" t="s">
        <v>296</v>
      </c>
      <c r="F2" s="24" t="str">
        <f>CHOOSE('1_PANEL_CONTROL'!$C$4, "🔴 1: NEGATIVO", "🟡 2: EQUILIBRIO", "🟢 3: POSITIVO")</f>
        <v>🟡 2: EQUILIBRIO</v>
      </c>
    </row>
    <row r="3" spans="2:6" ht="45" customHeight="1">
      <c r="B3" s="116" t="str">
        <f>CHOOSE('1_PANEL_CONTROL'!$C$4, "[NEGATIVO] MATRIZ COMPARATIVA. El escenario activo (Negativo) resulta en un EBITDA a 3 años de " &amp; TEXT('12_ANALISIS_ESCENARIOS'!F22, "#.##0 €") &amp; " y caja final en Año 3 de " &amp; TEXT('12_ANALISIS_ESCENARIOS'!E23, "#.##0 €") &amp; " (pérdidas recurrentes).", "[EQUILIBRIO] MATRIZ COMPARATIVA. El escenario activo (Equilibrio) logra un EBITDA a 3 años de " &amp; TEXT('12_ANALISIS_ESCENARIOS'!F30, "#.##0 €") &amp; " y caja final en Año 3 de " &amp; TEXT('12_ANALISIS_ESCENARIOS'!E31, "#.##0 €") &amp; " (break-even).", "[POSITIVO] MATRIZ COMPARATIVA. El escenario activo (Positivo) genera un EBITDA acumulado a 3 años de " &amp; TEXT('12_ANALISIS_ESCENARIOS'!F38, "#.##0 €") &amp; " y caja final en Año 3 de " &amp; TEXT('12_ANALISIS_ESCENARIOS'!E39, "#.##0 €") &amp; " (muy rentable).")</f>
        <v>[EQUILIBRIO] MATRIZ COMPARATIVA. El escenario activo (Equilibrio) logra un EBITDA a 3 años de 1.285.000 € y caja final en Año 3 de 1.652.666 € (break-even).</v>
      </c>
      <c r="C3" s="112"/>
      <c r="D3" s="112"/>
      <c r="E3" s="113"/>
    </row>
    <row r="4" spans="2:6" ht="16">
      <c r="B4" s="4" t="s">
        <v>935</v>
      </c>
    </row>
    <row r="5" spans="2:6" ht="16">
      <c r="B5" s="8" t="s">
        <v>936</v>
      </c>
      <c r="C5" s="8" t="s">
        <v>937</v>
      </c>
      <c r="D5" s="8" t="s">
        <v>938</v>
      </c>
      <c r="E5" s="8" t="s">
        <v>939</v>
      </c>
    </row>
    <row r="6" spans="2:6" ht="16">
      <c r="B6" s="5" t="s">
        <v>328</v>
      </c>
      <c r="C6" s="57">
        <f>'4_PROY_DEMANDA'!D11</f>
        <v>0.05</v>
      </c>
      <c r="D6" s="58">
        <f>'4_PROY_DEMANDA'!D31</f>
        <v>0.08</v>
      </c>
      <c r="E6" s="59">
        <f>'4_PROY_DEMANDA'!D51</f>
        <v>0.15</v>
      </c>
    </row>
    <row r="7" spans="2:6" ht="16">
      <c r="B7" s="5" t="s">
        <v>940</v>
      </c>
      <c r="C7" s="57">
        <f>'4_PROY_DEMANDA'!D13</f>
        <v>2.1299999999999999E-2</v>
      </c>
      <c r="D7" s="58">
        <f>'4_PROY_DEMANDA'!D33</f>
        <v>0.02</v>
      </c>
      <c r="E7" s="59">
        <f>'4_PROY_DEMANDA'!D53</f>
        <v>0.08</v>
      </c>
    </row>
    <row r="8" spans="2:6" ht="16">
      <c r="B8" s="5" t="s">
        <v>941</v>
      </c>
      <c r="C8" s="57">
        <f>'4_PROY_DEMANDA'!D20</f>
        <v>0.08</v>
      </c>
      <c r="D8" s="58">
        <f>'4_PROY_DEMANDA'!D40</f>
        <v>4.8000000000000001E-2</v>
      </c>
      <c r="E8" s="59">
        <f>'4_PROY_DEMANDA'!D60</f>
        <v>0.03</v>
      </c>
    </row>
    <row r="9" spans="2:6" ht="16">
      <c r="B9" s="5" t="s">
        <v>349</v>
      </c>
      <c r="C9" s="60">
        <f>'4_PROY_DEMANDA'!D16</f>
        <v>15</v>
      </c>
      <c r="D9" s="61">
        <f>'4_PROY_DEMANDA'!D36</f>
        <v>11</v>
      </c>
      <c r="E9" s="62">
        <f>'4_PROY_DEMANDA'!D56</f>
        <v>7</v>
      </c>
    </row>
    <row r="10" spans="2:6" ht="16">
      <c r="B10" s="5" t="s">
        <v>942</v>
      </c>
      <c r="C10" s="57">
        <f>'4_PROY_DEMANDA'!D22</f>
        <v>0.15</v>
      </c>
      <c r="D10" s="58">
        <f>'4_PROY_DEMANDA'!D42</f>
        <v>0.3</v>
      </c>
      <c r="E10" s="59">
        <f>'4_PROY_DEMANDA'!D62</f>
        <v>0.45</v>
      </c>
    </row>
    <row r="11" spans="2:6" ht="16">
      <c r="B11" s="5" t="s">
        <v>334</v>
      </c>
      <c r="C11" s="57">
        <f>'4_PROY_DEMANDA'!D25</f>
        <v>0.02</v>
      </c>
      <c r="D11" s="58">
        <f>'4_PROY_DEMANDA'!D45</f>
        <v>4.4999999999999998E-2</v>
      </c>
      <c r="E11" s="59">
        <f>'4_PROY_DEMANDA'!D65</f>
        <v>0.08</v>
      </c>
    </row>
    <row r="12" spans="2:6" ht="16">
      <c r="B12" s="5" t="s">
        <v>337</v>
      </c>
      <c r="C12" s="57">
        <f>'4_PROY_DEMANDA'!D27</f>
        <v>0.05</v>
      </c>
      <c r="D12" s="58">
        <f>'4_PROY_DEMANDA'!D47</f>
        <v>0.2</v>
      </c>
      <c r="E12" s="59">
        <f>'4_PROY_DEMANDA'!D67</f>
        <v>0.25</v>
      </c>
    </row>
    <row r="15" spans="2:6" ht="16">
      <c r="B15" s="4" t="s">
        <v>943</v>
      </c>
    </row>
    <row r="16" spans="2:6" ht="16">
      <c r="B16" s="8" t="s">
        <v>944</v>
      </c>
      <c r="C16" s="8" t="s">
        <v>945</v>
      </c>
      <c r="D16" s="8" t="s">
        <v>946</v>
      </c>
      <c r="E16" s="8" t="s">
        <v>947</v>
      </c>
      <c r="F16" s="8" t="s">
        <v>948</v>
      </c>
    </row>
    <row r="17" spans="2:6" ht="16">
      <c r="B17" s="134" t="s">
        <v>949</v>
      </c>
      <c r="C17" s="112"/>
      <c r="D17" s="112"/>
      <c r="E17" s="112"/>
      <c r="F17" s="113"/>
    </row>
    <row r="18" spans="2:6" ht="16">
      <c r="B18" s="5" t="s">
        <v>950</v>
      </c>
      <c r="C18" s="33">
        <f>IF('1_PANEL_CONTROL'!$C$4=1, SUM('10_PL_PERDIDAS_GANANCIAS'!$D$10:$O$10), 99687.48)</f>
        <v>99687.48</v>
      </c>
      <c r="D18" s="33">
        <f>IF('1_PANEL_CONTROL'!$C$4=1, SUM('10_PL_PERDIDAS_GANANCIAS'!$P$10:$AA$10), 230327.53)</f>
        <v>230327.53</v>
      </c>
      <c r="E18" s="33">
        <f>IF('1_PANEL_CONTROL'!$C$4=1, SUM('10_PL_PERDIDAS_GANANCIAS'!$AB$10:$AM$10), 420152.86)</f>
        <v>420152.86</v>
      </c>
      <c r="F18" s="36">
        <f>SUM(C18:E18)</f>
        <v>750167.87</v>
      </c>
    </row>
    <row r="19" spans="2:6" ht="16">
      <c r="B19" s="5" t="s">
        <v>951</v>
      </c>
      <c r="C19" s="33">
        <f>IF('1_PANEL_CONTROL'!$C$4=1, SUM('10_PL_PERDIDAS_GANANCIAS'!$D$17:$O$17)+SUM('8_COSTES_OPEX'!$D$20:$O$20), 53031)</f>
        <v>53031</v>
      </c>
      <c r="D19" s="33">
        <f>IF('1_PANEL_CONTROL'!$C$4=1, SUM('10_PL_PERDIDAS_GANANCIAS'!$P$17:$AA$17)+SUM('8_COSTES_OPEX'!$P$20:$AA$20), 67829.88)</f>
        <v>67829.88</v>
      </c>
      <c r="E19" s="33">
        <f>IF('1_PANEL_CONTROL'!$C$4=1, SUM('10_PL_PERDIDAS_GANANCIAS'!$AB$17:$AM$17)+SUM('8_COSTES_OPEX'!$AB$20:$AM$20), 92075.37)</f>
        <v>92075.37</v>
      </c>
      <c r="F19" s="36">
        <f>SUM(C19:E19)</f>
        <v>212936.25</v>
      </c>
    </row>
    <row r="20" spans="2:6" ht="16">
      <c r="B20" s="5" t="s">
        <v>952</v>
      </c>
      <c r="C20" s="33">
        <f>IF('1_PANEL_CONTROL'!$C$4=1, SUM('7_EQUIPO_RRHH'!$D$108:$O$108), 93537.12)</f>
        <v>93537.12</v>
      </c>
      <c r="D20" s="33">
        <f>IF('1_PANEL_CONTROL'!$C$4=1, SUM('7_EQUIPO_RRHH'!$P$108:$AA$108), 296810.12)</f>
        <v>296810.12</v>
      </c>
      <c r="E20" s="33">
        <f>IF('1_PANEL_CONTROL'!$C$4=1, SUM('7_EQUIPO_RRHH'!$AB$108:$AM$108), 357304.12)</f>
        <v>357304.12</v>
      </c>
      <c r="F20" s="36">
        <f>SUM(C20:E20)</f>
        <v>747651.36</v>
      </c>
    </row>
    <row r="21" spans="2:6" ht="16">
      <c r="B21" s="5" t="s">
        <v>953</v>
      </c>
      <c r="C21" s="33">
        <f>IF('1_PANEL_CONTROL'!$C$4=1, SUM('10_PL_PERDIDAS_GANANCIAS'!$D$25:$O$25)-C20-SUM('8_COSTES_OPEX'!$D$20:$O$20), 139753.69)</f>
        <v>139753.69</v>
      </c>
      <c r="D21" s="33">
        <f>IF('1_PANEL_CONTROL'!$C$4=1, SUM('10_PL_PERDIDAS_GANANCIAS'!$P$25:$AA$25)-D20-SUM('8_COSTES_OPEX'!$P$20:$AA$20), 130941.84)</f>
        <v>130941.84</v>
      </c>
      <c r="E21" s="33">
        <f>IF('1_PANEL_CONTROL'!$C$4=1, SUM('10_PL_PERDIDAS_GANANCIAS'!$AB$25:$AM$25)-E20-SUM('8_COSTES_OPEX'!$AB$20:$AM$20), 130941.84)</f>
        <v>130941.84</v>
      </c>
      <c r="F21" s="36">
        <f>SUM(C21:E21)</f>
        <v>401637.37</v>
      </c>
    </row>
    <row r="22" spans="2:6" ht="16">
      <c r="B22" s="5" t="s">
        <v>954</v>
      </c>
      <c r="C22" s="41">
        <f>C18-C19-C20-C21</f>
        <v>-186634.33000000002</v>
      </c>
      <c r="D22" s="41">
        <f>D18-D19-D20-D21</f>
        <v>-265254.31</v>
      </c>
      <c r="E22" s="41">
        <f>E18-E19-E20-E21</f>
        <v>-160168.47</v>
      </c>
      <c r="F22" s="41">
        <f>SUM(C22:E22)</f>
        <v>-612057.11</v>
      </c>
    </row>
    <row r="23" spans="2:6" ht="16">
      <c r="B23" s="5" t="s">
        <v>955</v>
      </c>
      <c r="C23" s="33">
        <f>IF('1_PANEL_CONTROL'!$C$4=1, '9_FLUJO_CAJA'!O37, -192640.33)</f>
        <v>-192640.33</v>
      </c>
      <c r="D23" s="33">
        <f>IF('1_PANEL_CONTROL'!$C$4=1, '9_FLUJO_CAJA'!AA37, -457894.64)</f>
        <v>-457894.64</v>
      </c>
      <c r="E23" s="33">
        <f>IF('1_PANEL_CONTROL'!$C$4=1, '9_FLUJO_CAJA'!AM37, -618063.11)</f>
        <v>-618063.11</v>
      </c>
      <c r="F23" s="5" t="s">
        <v>956</v>
      </c>
    </row>
    <row r="25" spans="2:6" ht="16">
      <c r="B25" s="133" t="s">
        <v>957</v>
      </c>
      <c r="C25" s="112"/>
      <c r="D25" s="112"/>
      <c r="E25" s="112"/>
      <c r="F25" s="113"/>
    </row>
    <row r="26" spans="2:6" ht="16">
      <c r="B26" s="5" t="s">
        <v>950</v>
      </c>
      <c r="C26" s="33">
        <f>IF('1_PANEL_CONTROL'!$C$4=2, SUM('10_PL_PERDIDAS_GANANCIAS'!$D$10:$O$10), 303743.6)</f>
        <v>303743.60196028219</v>
      </c>
      <c r="D26" s="33">
        <f>IF('1_PANEL_CONTROL'!$C$4=2, SUM('10_PL_PERDIDAS_GANANCIAS'!$P$10:$AA$10), 841596.89)</f>
        <v>841596.89228708553</v>
      </c>
      <c r="E26" s="33">
        <f>IF('1_PANEL_CONTROL'!$C$4=2, SUM('10_PL_PERDIDAS_GANANCIAS'!$AB$10:$AM$10), 2042526.09)</f>
        <v>2042526.0852621805</v>
      </c>
      <c r="F26" s="36">
        <f>SUM(C26:E26)</f>
        <v>3187866.5795095479</v>
      </c>
    </row>
    <row r="27" spans="2:6" ht="16">
      <c r="B27" s="5" t="s">
        <v>951</v>
      </c>
      <c r="C27" s="33">
        <f>IF('1_PANEL_CONTROL'!$C$4=2, SUM('10_PL_PERDIDAS_GANANCIAS'!$D$17:$O$17)+SUM('8_COSTES_OPEX'!$D$20:$O$20), 74304.78)</f>
        <v>82604.780049007066</v>
      </c>
      <c r="D27" s="33">
        <f>IF('1_PANEL_CONTROL'!$C$4=2, SUM('10_PL_PERDIDAS_GANANCIAS'!$P$17:$AA$17)+SUM('8_COSTES_OPEX'!$P$20:$AA$20), 135677.28)</f>
        <v>155647.28230717714</v>
      </c>
      <c r="E27" s="33">
        <f>IF('1_PANEL_CONTROL'!$C$4=2, SUM('10_PL_PERDIDAS_GANANCIAS'!$AB$17:$AM$17)+SUM('8_COSTES_OPEX'!$AB$20:$AM$20), 283378.63)</f>
        <v>332778.63213155454</v>
      </c>
      <c r="F27" s="36">
        <f>SUM(C27:E27)</f>
        <v>571030.69448773877</v>
      </c>
    </row>
    <row r="28" spans="2:6" ht="16">
      <c r="B28" s="5" t="s">
        <v>952</v>
      </c>
      <c r="C28" s="33">
        <f>IF('1_PANEL_CONTROL'!$C$4=2, SUM('7_EQUIPO_RRHH'!$D$108:$O$108), 93537.12)</f>
        <v>93537.12</v>
      </c>
      <c r="D28" s="33">
        <f>IF('1_PANEL_CONTROL'!$C$4=2, SUM('7_EQUIPO_RRHH'!$P$108:$AA$108), 296810.12)</f>
        <v>296810.12</v>
      </c>
      <c r="E28" s="33">
        <f>IF('1_PANEL_CONTROL'!$C$4=2, SUM('7_EQUIPO_RRHH'!$AB$108:$AM$108), 357304.12)</f>
        <v>357304.11999999994</v>
      </c>
      <c r="F28" s="36">
        <f>SUM(C28:E28)</f>
        <v>747651.35999999987</v>
      </c>
    </row>
    <row r="29" spans="2:6" ht="16">
      <c r="B29" s="5" t="s">
        <v>953</v>
      </c>
      <c r="C29" s="33">
        <f>IF('1_PANEL_CONTROL'!$C$4=2, SUM('10_PL_PERDIDAS_GANANCIAS'!$D$25:$O$25)-C28-SUM('8_COSTES_OPEX'!$D$20:$O$20), 139753.69)</f>
        <v>151834.68999999989</v>
      </c>
      <c r="D29" s="33">
        <f>IF('1_PANEL_CONTROL'!$C$4=2, SUM('10_PL_PERDIDAS_GANANCIAS'!$P$25:$AA$25)-D28-SUM('8_COSTES_OPEX'!$P$20:$AA$20), 130941.84)</f>
        <v>177555.84000000003</v>
      </c>
      <c r="E29" s="33">
        <f>IF('1_PANEL_CONTROL'!$C$4=2, SUM('10_PL_PERDIDAS_GANANCIAS'!$AB$25:$AM$25)-E28-SUM('8_COSTES_OPEX'!$AB$20:$AM$20), 130941.84)</f>
        <v>254793.84000000014</v>
      </c>
      <c r="F29" s="36">
        <f>SUM(C29:E29)</f>
        <v>584184.37000000011</v>
      </c>
    </row>
    <row r="30" spans="2:6" ht="16">
      <c r="B30" s="5" t="s">
        <v>954</v>
      </c>
      <c r="C30" s="41">
        <f>C26-C27-C28-C29</f>
        <v>-24232.988088724756</v>
      </c>
      <c r="D30" s="41">
        <f>D26-D27-D28-D29</f>
        <v>211583.64997990843</v>
      </c>
      <c r="E30" s="41">
        <f>E26-E27-E28-E29</f>
        <v>1097649.4931306262</v>
      </c>
      <c r="F30" s="41">
        <f>SUM(C30:E30)</f>
        <v>1285000.1550218097</v>
      </c>
    </row>
    <row r="31" spans="2:6" ht="16">
      <c r="B31" s="5" t="s">
        <v>955</v>
      </c>
      <c r="C31" s="33">
        <f>IF('1_PANEL_CONTROL'!$C$4=2, '9_FLUJO_CAJA'!O37, 186029.46)</f>
        <v>185648.46191127517</v>
      </c>
      <c r="D31" s="33">
        <f>IF('1_PANEL_CONTROL'!$C$4=2, '9_FLUJO_CAJA'!AA37, 505921.64)</f>
        <v>438956.63689118368</v>
      </c>
      <c r="E31" s="33">
        <f>IF('1_PANEL_CONTROL'!$C$4=2, '9_FLUJO_CAJA'!AM37, 1892883.16)</f>
        <v>1652666.1550218095</v>
      </c>
      <c r="F31" s="5" t="s">
        <v>956</v>
      </c>
    </row>
    <row r="33" spans="2:6" ht="16">
      <c r="B33" s="132" t="s">
        <v>958</v>
      </c>
      <c r="C33" s="112"/>
      <c r="D33" s="112"/>
      <c r="E33" s="112"/>
      <c r="F33" s="113"/>
    </row>
    <row r="34" spans="2:6" ht="16">
      <c r="B34" s="5" t="s">
        <v>950</v>
      </c>
      <c r="C34" s="33">
        <f>IF('1_PANEL_CONTROL'!$C$4=3, SUM('10_PL_PERDIDAS_GANANCIAS'!$D$10:$O$10), 1087086.79)</f>
        <v>1087086.79</v>
      </c>
      <c r="D34" s="33">
        <f>IF('1_PANEL_CONTROL'!$C$4=3, SUM('10_PL_PERDIDAS_GANANCIAS'!$P$10:$AA$10), 4760509.81)</f>
        <v>4760509.8099999996</v>
      </c>
      <c r="E34" s="33">
        <f>IF('1_PANEL_CONTROL'!$C$4=3, SUM('10_PL_PERDIDAS_GANANCIAS'!$AB$10:$AM$10), 23436276.5)</f>
        <v>23436276.5</v>
      </c>
      <c r="F34" s="36">
        <f>SUM(C34:E34)</f>
        <v>29283873.100000001</v>
      </c>
    </row>
    <row r="35" spans="2:6" ht="16">
      <c r="B35" s="5" t="s">
        <v>951</v>
      </c>
      <c r="C35" s="33">
        <f>IF('1_PANEL_CONTROL'!$C$4=3, SUM('10_PL_PERDIDAS_GANANCIAS'!$D$17:$O$17)+SUM('8_COSTES_OPEX'!$D$20:$O$20), 162240.92)</f>
        <v>162240.92000000001</v>
      </c>
      <c r="D35" s="33">
        <f>IF('1_PANEL_CONTROL'!$C$4=3, SUM('10_PL_PERDIDAS_GANANCIAS'!$P$17:$AA$17)+SUM('8_COSTES_OPEX'!$P$20:$AA$20), 639199.84)</f>
        <v>639199.84</v>
      </c>
      <c r="E35" s="33">
        <f>IF('1_PANEL_CONTROL'!$C$4=3, SUM('10_PL_PERDIDAS_GANANCIAS'!$AB$17:$AM$17)+SUM('8_COSTES_OPEX'!$AB$20:$AM$20), 3144980.89)</f>
        <v>3144980.89</v>
      </c>
      <c r="F35" s="36">
        <f>SUM(C35:E35)</f>
        <v>3946421.6500000004</v>
      </c>
    </row>
    <row r="36" spans="2:6" ht="16">
      <c r="B36" s="5" t="s">
        <v>952</v>
      </c>
      <c r="C36" s="33">
        <f>IF('1_PANEL_CONTROL'!$C$4=3, SUM('7_EQUIPO_RRHH'!$D$108:$O$108), 93537.12)</f>
        <v>93537.12</v>
      </c>
      <c r="D36" s="33">
        <f>IF('1_PANEL_CONTROL'!$C$4=3, SUM('7_EQUIPO_RRHH'!$P$108:$AA$108), 296810.12)</f>
        <v>296810.12</v>
      </c>
      <c r="E36" s="33">
        <f>IF('1_PANEL_CONTROL'!$C$4=3, SUM('7_EQUIPO_RRHH'!$AB$108:$AM$108), 357304.12)</f>
        <v>357304.12</v>
      </c>
      <c r="F36" s="36">
        <f>SUM(C36:E36)</f>
        <v>747651.36</v>
      </c>
    </row>
    <row r="37" spans="2:6" ht="16">
      <c r="B37" s="5" t="s">
        <v>953</v>
      </c>
      <c r="C37" s="33">
        <f>IF('1_PANEL_CONTROL'!$C$4=3, SUM('10_PL_PERDIDAS_GANANCIAS'!$D$25:$O$25)-C36-SUM('8_COSTES_OPEX'!$D$20:$O$20), 139753.69)</f>
        <v>139753.69</v>
      </c>
      <c r="D37" s="33">
        <f>IF('1_PANEL_CONTROL'!$C$4=3, SUM('10_PL_PERDIDAS_GANANCIAS'!$P$25:$AA$25)-D36-SUM('8_COSTES_OPEX'!$P$20:$AA$20), 130941.84)</f>
        <v>130941.84</v>
      </c>
      <c r="E37" s="33">
        <f>IF('1_PANEL_CONTROL'!$C$4=3, SUM('10_PL_PERDIDAS_GANANCIAS'!$AB$25:$AM$25)-E36-SUM('8_COSTES_OPEX'!$AB$20:$AM$20), 130941.84)</f>
        <v>130941.84</v>
      </c>
      <c r="F37" s="36">
        <f>SUM(C37:E37)</f>
        <v>401637.37</v>
      </c>
    </row>
    <row r="38" spans="2:6" ht="16">
      <c r="B38" s="5" t="s">
        <v>954</v>
      </c>
      <c r="C38" s="41">
        <f>C34-C35-C36-C37</f>
        <v>691555.06</v>
      </c>
      <c r="D38" s="41">
        <f>D34-D35-D36-D37</f>
        <v>3693558.01</v>
      </c>
      <c r="E38" s="41">
        <f>E34-E35-E36-E37</f>
        <v>19803049.649999999</v>
      </c>
      <c r="F38" s="41">
        <f>SUM(C38:E38)</f>
        <v>24188162.719999999</v>
      </c>
    </row>
    <row r="39" spans="2:6" ht="16">
      <c r="B39" s="5" t="s">
        <v>955</v>
      </c>
      <c r="C39" s="33">
        <f>IF('1_PANEL_CONTROL'!$C$4=3, '9_FLUJO_CAJA'!O37, 986262.82)</f>
        <v>986262.82</v>
      </c>
      <c r="D39" s="33">
        <f>IF('1_PANEL_CONTROL'!$C$4=3, '9_FLUJO_CAJA'!AA37, 5209035.73)</f>
        <v>5209035.7300000004</v>
      </c>
      <c r="E39" s="33">
        <f>IF('1_PANEL_CONTROL'!$C$4=3, '9_FLUJO_CAJA'!AM37, 27849774.73)</f>
        <v>27849774.73</v>
      </c>
      <c r="F39" s="5" t="s">
        <v>956</v>
      </c>
    </row>
    <row r="42" spans="2:6" ht="22" customHeight="1">
      <c r="B42" s="126" t="s">
        <v>959</v>
      </c>
      <c r="C42" s="112"/>
      <c r="D42" s="112"/>
      <c r="E42" s="112"/>
      <c r="F42" s="113"/>
    </row>
    <row r="43" spans="2:6" ht="20" customHeight="1">
      <c r="B43" s="116" t="str">
        <f>"1. LÓGICA DE ESCENARIOS DE NEGOCIO Y DIFERENCIACIÓN:" &amp; CHAR(10) &amp; "   - ESCENARIO NEGATIVO: Asume una tracción deficiente en Cataluña/España. Crecimiento orgánico mensual de " &amp; TEXT('4_PROY_DEMANDA'!$D$11, "0,0%") &amp; ", conversión de " &amp; TEXT('4_PROY_DEMANDA'!$D$13, "0,0%") &amp; " y churn de " &amp; TEXT('4_PROY_DEMANDA'!$D$20, "0,0%") &amp; ". CPL alto de " &amp; TEXT('4_PROY_DEMANDA'!$D$16, "#.##0") &amp; " €/lead. EBITDA de Año 3 de " &amp; TEXT(E22, "#.##0 €") &amp; " y caja final de " &amp; TEXT(E23, "#.##0 €") &amp; " (pérdidas recurrentes)." &amp; CHAR(10) &amp; "   - ESCENARIO EQUILIBRIO: Escenario central base (Target). Crecimiento orgánico de " &amp; TEXT('4_PROY_DEMANDA'!$D$31, "0,0%") &amp; ", conversión de " &amp; TEXT('4_PROY_DEMANDA'!$D$33, "0,0%") &amp; " y churn de " &amp; TEXT('4_PROY_DEMANDA'!$D$40, "0,0%") &amp; ". CPL medio de " &amp; TEXT('4_PROY_DEMANDA'!$D$36, "#.##0") &amp; " €. EBITDA de Año 3 de " &amp; TEXT(E30, "#.##0 €") &amp; " y caja final de " &amp; TEXT(E31, "#.##0 €") &amp; " (break-even)." &amp; CHAR(10) &amp; "   - ESCENARIO POSITIVO: Supuesto de alta tracción y viralidad. Crecimiento de " &amp; TEXT('4_PROY_DEMANDA'!$D$51, "0,0%") &amp; ", conversión de " &amp; TEXT('4_PROY_DEMANDA'!$D$53, "0,0%") &amp; " y churn mínimo de " &amp; TEXT('4_PROY_DEMANDA'!$D$60, "0,0%") &amp; ". CPL de " &amp; TEXT('4_PROY_DEMANDA'!$D$56, "#.##0") &amp; " €. EBITDA de Año 3 de " &amp; TEXT(E38, "#.##0 €") &amp; " y caja final de " &amp; TEXT(E39, "#.##0 €") &amp; " (muy rentable)." &amp; CHAR(10) &amp; CHAR(10) &amp; "2. NOTA DE AUTOMATIZACIÓN Y DINAMISMO FINANCIERO:" &amp; CHAR(10) &amp; _xlfn._LONGTEXT("   - Los datos de esta tabla para el Escenario Activo están vinculados de manera directa y dinámica a las pestañas de P&amp;L, RRHH, OPEX y Flujo de Caja. Si se modifica cualquier parámetro en el '1_PANEL_CONTROL' o en las hojas operativas, los valores del es","cenario activo se recalcularán en esta hoja en tiempo real, garantizando la consistencia analítica.")</f>
        <v>1. LÓGICA DE ESCENARIOS DE NEGOCIO Y DIFERENCIACIÓN:
   - ESCENARIO NEGATIVO: Asume una tracción deficiente en Cataluña/España. Crecimiento orgánico mensual de 5,0%, conversión de 2,1% y churn de 8,0%. CPL alto de 15 €/lead. EBITDA de Año 3 de -160.168 € y caja final de -618.063 € (pérdidas recurrentes).
   - ESCENARIO EQUILIBRIO: Escenario central base (Target). Crecimiento orgánico de 8,0%, conversión de 2,0% y churn de 4,8%. CPL medio de 11 €. EBITDA de Año 3 de 1.097.649 € y caja final de 1.652.666 € (break-even).
   - ESCENARIO POSITIVO: Supuesto de alta tracción y viralidad. Crecimiento de 15,0%, conversión de 8,0% y churn mínimo de 3,0%. CPL de 7 €. EBITDA de Año 3 de 19.803.050 € y caja final de 27.849.775 € (muy rentable).
2. NOTA DE AUTOMATIZACIÓN Y DINAMISMO FINANCIERO:
   - Los datos de esta tabla para el Escenario Activo están vinculados de manera directa y dinámica a las pestañas de P&amp;L, RRHH, OPEX y Flujo de Caja. Si se modifica cualquier parámetro en el '1_PANEL_CONTROL' o en las hojas operativas, los valores del escenario activo se recalcularán en esta hoja en tiempo real, garantizando la consistencia analítica.</v>
      </c>
      <c r="C43" s="117"/>
      <c r="D43" s="117"/>
      <c r="E43" s="117"/>
      <c r="F43" s="118"/>
    </row>
    <row r="44" spans="2:6" ht="20" customHeight="1">
      <c r="B44" s="119"/>
      <c r="C44" s="120"/>
      <c r="D44" s="120"/>
      <c r="E44" s="120"/>
      <c r="F44" s="121"/>
    </row>
    <row r="45" spans="2:6" ht="20" customHeight="1">
      <c r="B45" s="119"/>
      <c r="C45" s="120"/>
      <c r="D45" s="120"/>
      <c r="E45" s="120"/>
      <c r="F45" s="121"/>
    </row>
    <row r="46" spans="2:6" ht="20" customHeight="1">
      <c r="B46" s="119"/>
      <c r="C46" s="120"/>
      <c r="D46" s="120"/>
      <c r="E46" s="120"/>
      <c r="F46" s="121"/>
    </row>
    <row r="47" spans="2:6" ht="20" customHeight="1">
      <c r="B47" s="119"/>
      <c r="C47" s="120"/>
      <c r="D47" s="120"/>
      <c r="E47" s="120"/>
      <c r="F47" s="121"/>
    </row>
    <row r="48" spans="2:6" ht="20" customHeight="1">
      <c r="B48" s="119"/>
      <c r="C48" s="120"/>
      <c r="D48" s="120"/>
      <c r="E48" s="120"/>
      <c r="F48" s="121"/>
    </row>
    <row r="49" spans="2:6" ht="20" customHeight="1">
      <c r="B49" s="119"/>
      <c r="C49" s="120"/>
      <c r="D49" s="120"/>
      <c r="E49" s="120"/>
      <c r="F49" s="121"/>
    </row>
    <row r="50" spans="2:6" ht="20" customHeight="1">
      <c r="B50" s="122"/>
      <c r="C50" s="123"/>
      <c r="D50" s="123"/>
      <c r="E50" s="123"/>
      <c r="F50" s="124"/>
    </row>
  </sheetData>
  <mergeCells count="6">
    <mergeCell ref="B43:F50"/>
    <mergeCell ref="B33:F33"/>
    <mergeCell ref="B42:F42"/>
    <mergeCell ref="B25:F25"/>
    <mergeCell ref="B3:E3"/>
    <mergeCell ref="B17:F1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946EF"/>
  </sheetPr>
  <dimension ref="A2:CI66"/>
  <sheetViews>
    <sheetView workbookViewId="0"/>
  </sheetViews>
  <sheetFormatPr baseColWidth="10" defaultColWidth="8.7265625" defaultRowHeight="14.5"/>
  <cols>
    <col min="2" max="2" width="38" customWidth="1"/>
    <col min="3" max="3" width="48" customWidth="1"/>
    <col min="4" max="87" width="12" customWidth="1"/>
  </cols>
  <sheetData>
    <row r="2" spans="2:5" ht="25">
      <c r="B2" s="22" t="s">
        <v>960</v>
      </c>
    </row>
    <row r="3" spans="2:5" ht="45" customHeight="1">
      <c r="B3" s="116" t="str">
        <f>CHOOSE('1_PANEL_CONTROL'!$C$4, "[NEGATIVO] FINANCIACIÓN BOOTSTRAP. Capital disponible total de " &amp; TEXT('13_CAP_TABLE_FINANCIACION'!C13, "#.##0 €") &amp; " aportado al 100% por socios fundadores sin recurrir a deuda externa.", "[EQUILIBRIO] FINANCIACIÓN HÍBRIDA. Estructura con capital de socios (" &amp; TEXT('13_CAP_TABLE_FINANCIACION'!D8, "#.##0 €") &amp; "), Business Angels (" &amp; TEXT('13_CAP_TABLE_FINANCIACION'!D9, "#.##0 €") &amp; ") y préstamo público ENISA de " &amp; TEXT('13_CAP_TABLE_FINANCIACION'!D11, "#.##0 €") &amp; ".", "[POSITIVO] FINANCIACIÓN VC &amp; DEUDA. Financiación con capital propio (" &amp; TEXT('13_CAP_TABLE_FINANCIACION'!E8, "#.##0 €") &amp; "), Venture Capital (" &amp; TEXT('13_CAP_TABLE_FINANCIACION'!E9, "#.##0 €") &amp; ") y RBF de " &amp; TEXT('13_CAP_TABLE_FINANCIACION'!E12, "#.##0 €") &amp; ".")</f>
        <v>[EQUILIBRIO] FINANCIACIÓN HÍBRIDA. Estructura con capital de socios (60.000 €), Business Angels (80.000 €) y préstamo público ENISA de 75.000 €.</v>
      </c>
      <c r="C3" s="112"/>
      <c r="D3" s="112"/>
      <c r="E3" s="113"/>
    </row>
    <row r="4" spans="2:5" ht="16.5">
      <c r="B4" s="4" t="s">
        <v>961</v>
      </c>
      <c r="C4" s="63">
        <f>'1_PANEL_CONTROL'!$C$4</f>
        <v>2</v>
      </c>
      <c r="D4" s="2" t="s">
        <v>962</v>
      </c>
    </row>
    <row r="6" spans="2:5" ht="16">
      <c r="B6" s="4" t="s">
        <v>963</v>
      </c>
    </row>
    <row r="7" spans="2:5" ht="30" customHeight="1">
      <c r="B7" s="47" t="s">
        <v>964</v>
      </c>
      <c r="C7" s="47" t="s">
        <v>965</v>
      </c>
      <c r="D7" s="47" t="s">
        <v>966</v>
      </c>
      <c r="E7" s="47" t="s">
        <v>967</v>
      </c>
    </row>
    <row r="8" spans="2:5" ht="16">
      <c r="B8" s="6" t="s">
        <v>968</v>
      </c>
      <c r="C8" s="33">
        <f>'1_PANEL_CONTROL'!$C$102</f>
        <v>60000</v>
      </c>
      <c r="D8" s="33">
        <f>'1_PANEL_CONTROL'!$C$103</f>
        <v>60000</v>
      </c>
      <c r="E8" s="33">
        <f>'1_PANEL_CONTROL'!$C$105</f>
        <v>60000</v>
      </c>
    </row>
    <row r="9" spans="2:5" ht="16">
      <c r="B9" s="6" t="s">
        <v>969</v>
      </c>
      <c r="C9" s="33">
        <v>0</v>
      </c>
      <c r="D9" s="33">
        <f>IF('1_PANEL_CONTROL'!$D$104="SÍ", '1_PANEL_CONTROL'!$C$104, 0)</f>
        <v>80000</v>
      </c>
      <c r="E9" s="33">
        <f>IF('1_PANEL_CONTROL'!$D$106="SÍ", '1_PANEL_CONTROL'!$C$106, 0)</f>
        <v>110000</v>
      </c>
    </row>
    <row r="10" spans="2:5" ht="16">
      <c r="B10" s="6" t="s">
        <v>970</v>
      </c>
      <c r="C10" s="33">
        <v>0</v>
      </c>
      <c r="D10" s="33">
        <v>0</v>
      </c>
      <c r="E10" s="33">
        <f>IF('1_PANEL_CONTROL'!$D$107="SÍ", '1_PANEL_CONTROL'!$C$107, 0)</f>
        <v>20000</v>
      </c>
    </row>
    <row r="11" spans="2:5" ht="16">
      <c r="B11" s="6" t="s">
        <v>971</v>
      </c>
      <c r="C11" s="33">
        <v>0</v>
      </c>
      <c r="D11" s="33">
        <f>IF('1_PANEL_CONTROL'!$D$94="SÍ", '1_PANEL_CONTROL'!$C$94, 0)</f>
        <v>75000</v>
      </c>
      <c r="E11" s="33">
        <v>0</v>
      </c>
    </row>
    <row r="12" spans="2:5" ht="16">
      <c r="B12" s="6" t="s">
        <v>972</v>
      </c>
      <c r="C12" s="33">
        <v>0</v>
      </c>
      <c r="D12" s="33">
        <v>0</v>
      </c>
      <c r="E12" s="33">
        <f>IF('1_PANEL_CONTROL'!$D$98="SÍ", '1_PANEL_CONTROL'!$C$98, 0)</f>
        <v>35000</v>
      </c>
    </row>
    <row r="13" spans="2:5" ht="16">
      <c r="B13" s="5" t="s">
        <v>973</v>
      </c>
      <c r="C13" s="64">
        <f>SUM(C8:C12)</f>
        <v>60000</v>
      </c>
      <c r="D13" s="65">
        <f>SUM(D8:D12)</f>
        <v>215000</v>
      </c>
      <c r="E13" s="66">
        <f>SUM(E8:E12)</f>
        <v>225000</v>
      </c>
    </row>
    <row r="15" spans="2:5" ht="16">
      <c r="B15" s="4" t="s">
        <v>974</v>
      </c>
      <c r="C15" s="67">
        <f>CHOOSE($C$4, C13, D13, E13)</f>
        <v>215000</v>
      </c>
    </row>
    <row r="16" spans="2:5" ht="16">
      <c r="B16" s="3" t="s">
        <v>975</v>
      </c>
      <c r="C16" s="68">
        <f>CHOOSE($C$4, C8+C9+C10, D8+D9+D10, E8+E9+E10)</f>
        <v>140000</v>
      </c>
    </row>
    <row r="17" spans="1:87" ht="16">
      <c r="B17" s="3" t="s">
        <v>976</v>
      </c>
      <c r="C17" s="68">
        <f>CHOOSE($C$4, C11+C12, D11+D12, E11+E12)</f>
        <v>75000</v>
      </c>
    </row>
    <row r="19" spans="1:87" ht="16">
      <c r="D19" s="29" t="s">
        <v>369</v>
      </c>
      <c r="E19" s="29" t="s">
        <v>370</v>
      </c>
      <c r="F19" s="29" t="s">
        <v>371</v>
      </c>
      <c r="G19" s="29" t="s">
        <v>372</v>
      </c>
      <c r="H19" s="29" t="s">
        <v>373</v>
      </c>
      <c r="I19" s="29" t="s">
        <v>374</v>
      </c>
      <c r="J19" s="29" t="s">
        <v>375</v>
      </c>
      <c r="K19" s="29" t="s">
        <v>376</v>
      </c>
      <c r="L19" s="29" t="s">
        <v>377</v>
      </c>
      <c r="M19" s="29" t="s">
        <v>378</v>
      </c>
      <c r="N19" s="29" t="s">
        <v>379</v>
      </c>
      <c r="O19" s="29" t="s">
        <v>380</v>
      </c>
      <c r="P19" s="29" t="s">
        <v>381</v>
      </c>
      <c r="Q19" s="29" t="s">
        <v>382</v>
      </c>
      <c r="R19" s="29" t="s">
        <v>383</v>
      </c>
      <c r="S19" s="29" t="s">
        <v>384</v>
      </c>
      <c r="T19" s="29" t="s">
        <v>385</v>
      </c>
      <c r="U19" s="29" t="s">
        <v>386</v>
      </c>
      <c r="V19" s="29" t="s">
        <v>387</v>
      </c>
      <c r="W19" s="29" t="s">
        <v>388</v>
      </c>
      <c r="X19" s="29" t="s">
        <v>389</v>
      </c>
      <c r="Y19" s="29" t="s">
        <v>390</v>
      </c>
      <c r="Z19" s="29" t="s">
        <v>391</v>
      </c>
      <c r="AA19" s="29" t="s">
        <v>392</v>
      </c>
      <c r="AB19" s="29" t="s">
        <v>393</v>
      </c>
      <c r="AC19" s="29" t="s">
        <v>394</v>
      </c>
      <c r="AD19" s="29" t="s">
        <v>395</v>
      </c>
      <c r="AE19" s="29" t="s">
        <v>396</v>
      </c>
      <c r="AF19" s="29" t="s">
        <v>397</v>
      </c>
      <c r="AG19" s="29" t="s">
        <v>398</v>
      </c>
      <c r="AH19" s="29" t="s">
        <v>399</v>
      </c>
      <c r="AI19" s="29" t="s">
        <v>400</v>
      </c>
      <c r="AJ19" s="29" t="s">
        <v>401</v>
      </c>
      <c r="AK19" s="29" t="s">
        <v>402</v>
      </c>
      <c r="AL19" s="29" t="s">
        <v>403</v>
      </c>
      <c r="AM19" s="29" t="s">
        <v>404</v>
      </c>
      <c r="AN19" s="29" t="s">
        <v>405</v>
      </c>
      <c r="AO19" s="29" t="s">
        <v>406</v>
      </c>
      <c r="AP19" s="29" t="s">
        <v>407</v>
      </c>
      <c r="AQ19" s="29" t="s">
        <v>408</v>
      </c>
      <c r="AR19" s="29" t="s">
        <v>409</v>
      </c>
      <c r="AS19" s="29" t="s">
        <v>410</v>
      </c>
      <c r="AT19" s="29" t="s">
        <v>411</v>
      </c>
      <c r="AU19" s="29" t="s">
        <v>412</v>
      </c>
      <c r="AV19" s="29" t="s">
        <v>413</v>
      </c>
      <c r="AW19" s="29" t="s">
        <v>414</v>
      </c>
      <c r="AX19" s="29" t="s">
        <v>415</v>
      </c>
      <c r="AY19" s="29" t="s">
        <v>416</v>
      </c>
      <c r="AZ19" s="29" t="s">
        <v>417</v>
      </c>
      <c r="BA19" s="29" t="s">
        <v>418</v>
      </c>
      <c r="BB19" s="29" t="s">
        <v>419</v>
      </c>
      <c r="BC19" s="29" t="s">
        <v>420</v>
      </c>
      <c r="BD19" s="29" t="s">
        <v>421</v>
      </c>
      <c r="BE19" s="29" t="s">
        <v>422</v>
      </c>
      <c r="BF19" s="29" t="s">
        <v>423</v>
      </c>
      <c r="BG19" s="29" t="s">
        <v>424</v>
      </c>
      <c r="BH19" s="29" t="s">
        <v>425</v>
      </c>
      <c r="BI19" s="29" t="s">
        <v>426</v>
      </c>
      <c r="BJ19" s="29" t="s">
        <v>427</v>
      </c>
      <c r="BK19" s="29" t="s">
        <v>428</v>
      </c>
      <c r="BL19" s="29" t="s">
        <v>429</v>
      </c>
      <c r="BM19" s="29" t="s">
        <v>430</v>
      </c>
      <c r="BN19" s="29" t="s">
        <v>431</v>
      </c>
      <c r="BO19" s="29" t="s">
        <v>432</v>
      </c>
      <c r="BP19" s="29" t="s">
        <v>433</v>
      </c>
      <c r="BQ19" s="29" t="s">
        <v>434</v>
      </c>
      <c r="BR19" s="29" t="s">
        <v>435</v>
      </c>
      <c r="BS19" s="29" t="s">
        <v>436</v>
      </c>
      <c r="BT19" s="29" t="s">
        <v>437</v>
      </c>
      <c r="BU19" s="29" t="s">
        <v>438</v>
      </c>
      <c r="BV19" s="29" t="s">
        <v>439</v>
      </c>
      <c r="BW19" s="29" t="s">
        <v>440</v>
      </c>
      <c r="BX19" s="29" t="s">
        <v>441</v>
      </c>
      <c r="BY19" s="29" t="s">
        <v>442</v>
      </c>
      <c r="BZ19" s="29" t="s">
        <v>443</v>
      </c>
      <c r="CA19" s="29" t="s">
        <v>444</v>
      </c>
      <c r="CB19" s="29" t="s">
        <v>445</v>
      </c>
      <c r="CC19" s="29" t="s">
        <v>446</v>
      </c>
      <c r="CD19" s="29" t="s">
        <v>447</v>
      </c>
      <c r="CE19" s="29" t="s">
        <v>448</v>
      </c>
      <c r="CF19" s="29" t="s">
        <v>449</v>
      </c>
      <c r="CG19" s="29" t="s">
        <v>450</v>
      </c>
      <c r="CH19" s="29" t="s">
        <v>451</v>
      </c>
      <c r="CI19" s="29" t="s">
        <v>452</v>
      </c>
    </row>
    <row r="20" spans="1:87" ht="16">
      <c r="D20" s="29">
        <v>1</v>
      </c>
      <c r="E20" s="29">
        <v>2</v>
      </c>
      <c r="F20" s="29">
        <v>3</v>
      </c>
      <c r="G20" s="29">
        <v>4</v>
      </c>
      <c r="H20" s="29">
        <v>5</v>
      </c>
      <c r="I20" s="29">
        <v>6</v>
      </c>
      <c r="J20" s="29">
        <v>7</v>
      </c>
      <c r="K20" s="29">
        <v>8</v>
      </c>
      <c r="L20" s="29">
        <v>9</v>
      </c>
      <c r="M20" s="29">
        <v>10</v>
      </c>
      <c r="N20" s="29">
        <v>11</v>
      </c>
      <c r="O20" s="29">
        <v>12</v>
      </c>
      <c r="P20" s="29">
        <v>13</v>
      </c>
      <c r="Q20" s="29">
        <v>14</v>
      </c>
      <c r="R20" s="29">
        <v>15</v>
      </c>
      <c r="S20" s="29">
        <v>16</v>
      </c>
      <c r="T20" s="29">
        <v>17</v>
      </c>
      <c r="U20" s="29">
        <v>18</v>
      </c>
      <c r="V20" s="29">
        <v>19</v>
      </c>
      <c r="W20" s="29">
        <v>20</v>
      </c>
      <c r="X20" s="29">
        <v>21</v>
      </c>
      <c r="Y20" s="29">
        <v>22</v>
      </c>
      <c r="Z20" s="29">
        <v>23</v>
      </c>
      <c r="AA20" s="29">
        <v>24</v>
      </c>
      <c r="AB20" s="29">
        <v>25</v>
      </c>
      <c r="AC20" s="29">
        <v>26</v>
      </c>
      <c r="AD20" s="29">
        <v>27</v>
      </c>
      <c r="AE20" s="29">
        <v>28</v>
      </c>
      <c r="AF20" s="29">
        <v>29</v>
      </c>
      <c r="AG20" s="29">
        <v>30</v>
      </c>
      <c r="AH20" s="29">
        <v>31</v>
      </c>
      <c r="AI20" s="29">
        <v>32</v>
      </c>
      <c r="AJ20" s="29">
        <v>33</v>
      </c>
      <c r="AK20" s="29">
        <v>34</v>
      </c>
      <c r="AL20" s="29">
        <v>35</v>
      </c>
      <c r="AM20" s="29">
        <v>36</v>
      </c>
      <c r="AN20" s="29">
        <v>37</v>
      </c>
      <c r="AO20" s="29">
        <v>38</v>
      </c>
      <c r="AP20" s="29">
        <v>39</v>
      </c>
      <c r="AQ20" s="29">
        <v>40</v>
      </c>
      <c r="AR20" s="29">
        <v>41</v>
      </c>
      <c r="AS20" s="29">
        <v>42</v>
      </c>
      <c r="AT20" s="29">
        <v>43</v>
      </c>
      <c r="AU20" s="29">
        <v>44</v>
      </c>
      <c r="AV20" s="29">
        <v>45</v>
      </c>
      <c r="AW20" s="29">
        <v>46</v>
      </c>
      <c r="AX20" s="29">
        <v>47</v>
      </c>
      <c r="AY20" s="29">
        <v>48</v>
      </c>
      <c r="AZ20" s="29">
        <v>49</v>
      </c>
      <c r="BA20" s="29">
        <v>50</v>
      </c>
      <c r="BB20" s="29">
        <v>51</v>
      </c>
      <c r="BC20" s="29">
        <v>52</v>
      </c>
      <c r="BD20" s="29">
        <v>53</v>
      </c>
      <c r="BE20" s="29">
        <v>54</v>
      </c>
      <c r="BF20" s="29">
        <v>55</v>
      </c>
      <c r="BG20" s="29">
        <v>56</v>
      </c>
      <c r="BH20" s="29">
        <v>57</v>
      </c>
      <c r="BI20" s="29">
        <v>58</v>
      </c>
      <c r="BJ20" s="29">
        <v>59</v>
      </c>
      <c r="BK20" s="29">
        <v>60</v>
      </c>
      <c r="BL20" s="29">
        <v>61</v>
      </c>
      <c r="BM20" s="29">
        <v>62</v>
      </c>
      <c r="BN20" s="29">
        <v>63</v>
      </c>
      <c r="BO20" s="29">
        <v>64</v>
      </c>
      <c r="BP20" s="29">
        <v>65</v>
      </c>
      <c r="BQ20" s="29">
        <v>66</v>
      </c>
      <c r="BR20" s="29">
        <v>67</v>
      </c>
      <c r="BS20" s="29">
        <v>68</v>
      </c>
      <c r="BT20" s="29">
        <v>69</v>
      </c>
      <c r="BU20" s="29">
        <v>70</v>
      </c>
      <c r="BV20" s="29">
        <v>71</v>
      </c>
      <c r="BW20" s="29">
        <v>72</v>
      </c>
      <c r="BX20" s="29">
        <v>73</v>
      </c>
      <c r="BY20" s="29">
        <v>74</v>
      </c>
      <c r="BZ20" s="29">
        <v>75</v>
      </c>
      <c r="CA20" s="29">
        <v>76</v>
      </c>
      <c r="CB20" s="29">
        <v>77</v>
      </c>
      <c r="CC20" s="29">
        <v>78</v>
      </c>
      <c r="CD20" s="29">
        <v>79</v>
      </c>
      <c r="CE20" s="29">
        <v>80</v>
      </c>
      <c r="CF20" s="29">
        <v>81</v>
      </c>
      <c r="CG20" s="29">
        <v>82</v>
      </c>
      <c r="CH20" s="29">
        <v>83</v>
      </c>
      <c r="CI20" s="29">
        <v>84</v>
      </c>
    </row>
    <row r="22" spans="1:87" ht="16">
      <c r="B22" s="4" t="s">
        <v>977</v>
      </c>
    </row>
    <row r="23" spans="1:87" ht="16">
      <c r="A23" s="6" t="s">
        <v>978</v>
      </c>
      <c r="B23" s="30" t="s">
        <v>465</v>
      </c>
      <c r="C23" s="15"/>
      <c r="D23" s="33">
        <f>IF($C$4=2, $D$11, 0)</f>
        <v>75000</v>
      </c>
      <c r="E23" s="33">
        <f t="shared" ref="E23:AJ23" si="0">IF($C$4=2, D25, 0)</f>
        <v>75000</v>
      </c>
      <c r="F23" s="33">
        <f t="shared" si="0"/>
        <v>75000</v>
      </c>
      <c r="G23" s="33">
        <f t="shared" si="0"/>
        <v>75000</v>
      </c>
      <c r="H23" s="33">
        <f t="shared" si="0"/>
        <v>75000</v>
      </c>
      <c r="I23" s="33">
        <f t="shared" si="0"/>
        <v>75000</v>
      </c>
      <c r="J23" s="33">
        <f t="shared" si="0"/>
        <v>75000</v>
      </c>
      <c r="K23" s="33">
        <f t="shared" si="0"/>
        <v>75000</v>
      </c>
      <c r="L23" s="33">
        <f t="shared" si="0"/>
        <v>75000</v>
      </c>
      <c r="M23" s="33">
        <f t="shared" si="0"/>
        <v>75000</v>
      </c>
      <c r="N23" s="33">
        <f t="shared" si="0"/>
        <v>75000</v>
      </c>
      <c r="O23" s="33">
        <f t="shared" si="0"/>
        <v>75000</v>
      </c>
      <c r="P23" s="33">
        <f t="shared" si="0"/>
        <v>75000</v>
      </c>
      <c r="Q23" s="33">
        <f t="shared" si="0"/>
        <v>73437.5</v>
      </c>
      <c r="R23" s="33">
        <f t="shared" si="0"/>
        <v>71875</v>
      </c>
      <c r="S23" s="33">
        <f t="shared" si="0"/>
        <v>70312.5</v>
      </c>
      <c r="T23" s="33">
        <f t="shared" si="0"/>
        <v>68750</v>
      </c>
      <c r="U23" s="33">
        <f t="shared" si="0"/>
        <v>67187.5</v>
      </c>
      <c r="V23" s="33">
        <f t="shared" si="0"/>
        <v>65625</v>
      </c>
      <c r="W23" s="33">
        <f t="shared" si="0"/>
        <v>64062.5</v>
      </c>
      <c r="X23" s="33">
        <f t="shared" si="0"/>
        <v>62500</v>
      </c>
      <c r="Y23" s="33">
        <f t="shared" si="0"/>
        <v>60937.5</v>
      </c>
      <c r="Z23" s="33">
        <f t="shared" si="0"/>
        <v>59375</v>
      </c>
      <c r="AA23" s="33">
        <f t="shared" si="0"/>
        <v>57812.5</v>
      </c>
      <c r="AB23" s="33">
        <f t="shared" si="0"/>
        <v>56250</v>
      </c>
      <c r="AC23" s="33">
        <f t="shared" si="0"/>
        <v>54687.5</v>
      </c>
      <c r="AD23" s="33">
        <f t="shared" si="0"/>
        <v>53125</v>
      </c>
      <c r="AE23" s="33">
        <f t="shared" si="0"/>
        <v>51562.5</v>
      </c>
      <c r="AF23" s="33">
        <f t="shared" si="0"/>
        <v>50000</v>
      </c>
      <c r="AG23" s="33">
        <f t="shared" si="0"/>
        <v>48437.5</v>
      </c>
      <c r="AH23" s="33">
        <f t="shared" si="0"/>
        <v>46875</v>
      </c>
      <c r="AI23" s="33">
        <f t="shared" si="0"/>
        <v>45312.5</v>
      </c>
      <c r="AJ23" s="33">
        <f t="shared" si="0"/>
        <v>43750</v>
      </c>
      <c r="AK23" s="33">
        <f t="shared" ref="AK23:BP23" si="1">IF($C$4=2, AJ25, 0)</f>
        <v>42187.5</v>
      </c>
      <c r="AL23" s="33">
        <f t="shared" si="1"/>
        <v>40625</v>
      </c>
      <c r="AM23" s="33">
        <f t="shared" si="1"/>
        <v>39062.5</v>
      </c>
      <c r="AN23" s="33">
        <f t="shared" si="1"/>
        <v>37500</v>
      </c>
      <c r="AO23" s="33">
        <f t="shared" si="1"/>
        <v>35937.5</v>
      </c>
      <c r="AP23" s="33">
        <f t="shared" si="1"/>
        <v>34375</v>
      </c>
      <c r="AQ23" s="33">
        <f t="shared" si="1"/>
        <v>32812.5</v>
      </c>
      <c r="AR23" s="33">
        <f t="shared" si="1"/>
        <v>31250</v>
      </c>
      <c r="AS23" s="33">
        <f t="shared" si="1"/>
        <v>29687.5</v>
      </c>
      <c r="AT23" s="33">
        <f t="shared" si="1"/>
        <v>28125</v>
      </c>
      <c r="AU23" s="33">
        <f t="shared" si="1"/>
        <v>26562.5</v>
      </c>
      <c r="AV23" s="33">
        <f t="shared" si="1"/>
        <v>25000</v>
      </c>
      <c r="AW23" s="33">
        <f t="shared" si="1"/>
        <v>23437.5</v>
      </c>
      <c r="AX23" s="33">
        <f t="shared" si="1"/>
        <v>21875</v>
      </c>
      <c r="AY23" s="33">
        <f t="shared" si="1"/>
        <v>20312.5</v>
      </c>
      <c r="AZ23" s="33">
        <f t="shared" si="1"/>
        <v>18750</v>
      </c>
      <c r="BA23" s="33">
        <f t="shared" si="1"/>
        <v>17187.5</v>
      </c>
      <c r="BB23" s="33">
        <f t="shared" si="1"/>
        <v>15625</v>
      </c>
      <c r="BC23" s="33">
        <f t="shared" si="1"/>
        <v>14062.5</v>
      </c>
      <c r="BD23" s="33">
        <f t="shared" si="1"/>
        <v>12500</v>
      </c>
      <c r="BE23" s="33">
        <f t="shared" si="1"/>
        <v>10937.5</v>
      </c>
      <c r="BF23" s="33">
        <f t="shared" si="1"/>
        <v>9375</v>
      </c>
      <c r="BG23" s="33">
        <f t="shared" si="1"/>
        <v>7812.5</v>
      </c>
      <c r="BH23" s="33">
        <f t="shared" si="1"/>
        <v>6250</v>
      </c>
      <c r="BI23" s="33">
        <f t="shared" si="1"/>
        <v>4687.5</v>
      </c>
      <c r="BJ23" s="33">
        <f t="shared" si="1"/>
        <v>3125</v>
      </c>
      <c r="BK23" s="33">
        <f t="shared" si="1"/>
        <v>1562.5</v>
      </c>
      <c r="BL23" s="33">
        <f t="shared" si="1"/>
        <v>0</v>
      </c>
      <c r="BM23" s="33">
        <f t="shared" si="1"/>
        <v>0</v>
      </c>
      <c r="BN23" s="33">
        <f t="shared" si="1"/>
        <v>0</v>
      </c>
      <c r="BO23" s="33">
        <f t="shared" si="1"/>
        <v>0</v>
      </c>
      <c r="BP23" s="33">
        <f t="shared" si="1"/>
        <v>0</v>
      </c>
      <c r="BQ23" s="33">
        <f t="shared" ref="BQ23:CI23" si="2">IF($C$4=2, BP25, 0)</f>
        <v>0</v>
      </c>
      <c r="BR23" s="33">
        <f t="shared" si="2"/>
        <v>0</v>
      </c>
      <c r="BS23" s="33">
        <f t="shared" si="2"/>
        <v>0</v>
      </c>
      <c r="BT23" s="33">
        <f t="shared" si="2"/>
        <v>0</v>
      </c>
      <c r="BU23" s="33">
        <f t="shared" si="2"/>
        <v>0</v>
      </c>
      <c r="BV23" s="33">
        <f t="shared" si="2"/>
        <v>0</v>
      </c>
      <c r="BW23" s="33">
        <f t="shared" si="2"/>
        <v>0</v>
      </c>
      <c r="BX23" s="33">
        <f t="shared" si="2"/>
        <v>0</v>
      </c>
      <c r="BY23" s="33">
        <f t="shared" si="2"/>
        <v>0</v>
      </c>
      <c r="BZ23" s="33">
        <f t="shared" si="2"/>
        <v>0</v>
      </c>
      <c r="CA23" s="33">
        <f t="shared" si="2"/>
        <v>0</v>
      </c>
      <c r="CB23" s="33">
        <f t="shared" si="2"/>
        <v>0</v>
      </c>
      <c r="CC23" s="33">
        <f t="shared" si="2"/>
        <v>0</v>
      </c>
      <c r="CD23" s="33">
        <f t="shared" si="2"/>
        <v>0</v>
      </c>
      <c r="CE23" s="33">
        <f t="shared" si="2"/>
        <v>0</v>
      </c>
      <c r="CF23" s="33">
        <f t="shared" si="2"/>
        <v>0</v>
      </c>
      <c r="CG23" s="33">
        <f t="shared" si="2"/>
        <v>0</v>
      </c>
      <c r="CH23" s="33">
        <f t="shared" si="2"/>
        <v>0</v>
      </c>
      <c r="CI23" s="33">
        <f t="shared" si="2"/>
        <v>0</v>
      </c>
    </row>
    <row r="24" spans="1:87" ht="16">
      <c r="A24" s="6" t="s">
        <v>979</v>
      </c>
      <c r="B24" s="30" t="s">
        <v>465</v>
      </c>
      <c r="C24" s="15"/>
      <c r="D24" s="33">
        <f>IF($C$4=2, IF(AND(D20&gt;=1+'1_PANEL_CONTROL'!$C$96, D20&lt;='1_PANEL_CONTROL'!$C$96+'1_PANEL_CONTROL'!$C$97), $D$11/'1_PANEL_CONTROL'!$C$97, 0), 0)</f>
        <v>0</v>
      </c>
      <c r="E24" s="33">
        <f>IF($C$4=2, IF(AND(E20&gt;=1+'1_PANEL_CONTROL'!$C$96, E20&lt;='1_PANEL_CONTROL'!$C$96+'1_PANEL_CONTROL'!$C$97), $D$11/'1_PANEL_CONTROL'!$C$97, 0), 0)</f>
        <v>0</v>
      </c>
      <c r="F24" s="33">
        <f>IF($C$4=2, IF(AND(F20&gt;=1+'1_PANEL_CONTROL'!$C$96, F20&lt;='1_PANEL_CONTROL'!$C$96+'1_PANEL_CONTROL'!$C$97), $D$11/'1_PANEL_CONTROL'!$C$97, 0), 0)</f>
        <v>0</v>
      </c>
      <c r="G24" s="33">
        <f>IF($C$4=2, IF(AND(G20&gt;=1+'1_PANEL_CONTROL'!$C$96, G20&lt;='1_PANEL_CONTROL'!$C$96+'1_PANEL_CONTROL'!$C$97), $D$11/'1_PANEL_CONTROL'!$C$97, 0), 0)</f>
        <v>0</v>
      </c>
      <c r="H24" s="33">
        <f>IF($C$4=2, IF(AND(H20&gt;=1+'1_PANEL_CONTROL'!$C$96, H20&lt;='1_PANEL_CONTROL'!$C$96+'1_PANEL_CONTROL'!$C$97), $D$11/'1_PANEL_CONTROL'!$C$97, 0), 0)</f>
        <v>0</v>
      </c>
      <c r="I24" s="33">
        <f>IF($C$4=2, IF(AND(I20&gt;=1+'1_PANEL_CONTROL'!$C$96, I20&lt;='1_PANEL_CONTROL'!$C$96+'1_PANEL_CONTROL'!$C$97), $D$11/'1_PANEL_CONTROL'!$C$97, 0), 0)</f>
        <v>0</v>
      </c>
      <c r="J24" s="33">
        <f>IF($C$4=2, IF(AND(J20&gt;=1+'1_PANEL_CONTROL'!$C$96, J20&lt;='1_PANEL_CONTROL'!$C$96+'1_PANEL_CONTROL'!$C$97), $D$11/'1_PANEL_CONTROL'!$C$97, 0), 0)</f>
        <v>0</v>
      </c>
      <c r="K24" s="33">
        <f>IF($C$4=2, IF(AND(K20&gt;=1+'1_PANEL_CONTROL'!$C$96, K20&lt;='1_PANEL_CONTROL'!$C$96+'1_PANEL_CONTROL'!$C$97), $D$11/'1_PANEL_CONTROL'!$C$97, 0), 0)</f>
        <v>0</v>
      </c>
      <c r="L24" s="33">
        <f>IF($C$4=2, IF(AND(L20&gt;=1+'1_PANEL_CONTROL'!$C$96, L20&lt;='1_PANEL_CONTROL'!$C$96+'1_PANEL_CONTROL'!$C$97), $D$11/'1_PANEL_CONTROL'!$C$97, 0), 0)</f>
        <v>0</v>
      </c>
      <c r="M24" s="33">
        <f>IF($C$4=2, IF(AND(M20&gt;=1+'1_PANEL_CONTROL'!$C$96, M20&lt;='1_PANEL_CONTROL'!$C$96+'1_PANEL_CONTROL'!$C$97), $D$11/'1_PANEL_CONTROL'!$C$97, 0), 0)</f>
        <v>0</v>
      </c>
      <c r="N24" s="33">
        <f>IF($C$4=2, IF(AND(N20&gt;=1+'1_PANEL_CONTROL'!$C$96, N20&lt;='1_PANEL_CONTROL'!$C$96+'1_PANEL_CONTROL'!$C$97), $D$11/'1_PANEL_CONTROL'!$C$97, 0), 0)</f>
        <v>0</v>
      </c>
      <c r="O24" s="33">
        <f>IF($C$4=2, IF(AND(O20&gt;=1+'1_PANEL_CONTROL'!$C$96, O20&lt;='1_PANEL_CONTROL'!$C$96+'1_PANEL_CONTROL'!$C$97), $D$11/'1_PANEL_CONTROL'!$C$97, 0), 0)</f>
        <v>0</v>
      </c>
      <c r="P24" s="33">
        <f>IF($C$4=2, IF(AND(P20&gt;=1+'1_PANEL_CONTROL'!$C$96, P20&lt;='1_PANEL_CONTROL'!$C$96+'1_PANEL_CONTROL'!$C$97), $D$11/'1_PANEL_CONTROL'!$C$97, 0), 0)</f>
        <v>1562.5</v>
      </c>
      <c r="Q24" s="33">
        <f>IF($C$4=2, IF(AND(Q20&gt;=1+'1_PANEL_CONTROL'!$C$96, Q20&lt;='1_PANEL_CONTROL'!$C$96+'1_PANEL_CONTROL'!$C$97), $D$11/'1_PANEL_CONTROL'!$C$97, 0), 0)</f>
        <v>1562.5</v>
      </c>
      <c r="R24" s="33">
        <f>IF($C$4=2, IF(AND(R20&gt;=1+'1_PANEL_CONTROL'!$C$96, R20&lt;='1_PANEL_CONTROL'!$C$96+'1_PANEL_CONTROL'!$C$97), $D$11/'1_PANEL_CONTROL'!$C$97, 0), 0)</f>
        <v>1562.5</v>
      </c>
      <c r="S24" s="33">
        <f>IF($C$4=2, IF(AND(S20&gt;=1+'1_PANEL_CONTROL'!$C$96, S20&lt;='1_PANEL_CONTROL'!$C$96+'1_PANEL_CONTROL'!$C$97), $D$11/'1_PANEL_CONTROL'!$C$97, 0), 0)</f>
        <v>1562.5</v>
      </c>
      <c r="T24" s="33">
        <f>IF($C$4=2, IF(AND(T20&gt;=1+'1_PANEL_CONTROL'!$C$96, T20&lt;='1_PANEL_CONTROL'!$C$96+'1_PANEL_CONTROL'!$C$97), $D$11/'1_PANEL_CONTROL'!$C$97, 0), 0)</f>
        <v>1562.5</v>
      </c>
      <c r="U24" s="33">
        <f>IF($C$4=2, IF(AND(U20&gt;=1+'1_PANEL_CONTROL'!$C$96, U20&lt;='1_PANEL_CONTROL'!$C$96+'1_PANEL_CONTROL'!$C$97), $D$11/'1_PANEL_CONTROL'!$C$97, 0), 0)</f>
        <v>1562.5</v>
      </c>
      <c r="V24" s="33">
        <f>IF($C$4=2, IF(AND(V20&gt;=1+'1_PANEL_CONTROL'!$C$96, V20&lt;='1_PANEL_CONTROL'!$C$96+'1_PANEL_CONTROL'!$C$97), $D$11/'1_PANEL_CONTROL'!$C$97, 0), 0)</f>
        <v>1562.5</v>
      </c>
      <c r="W24" s="33">
        <f>IF($C$4=2, IF(AND(W20&gt;=1+'1_PANEL_CONTROL'!$C$96, W20&lt;='1_PANEL_CONTROL'!$C$96+'1_PANEL_CONTROL'!$C$97), $D$11/'1_PANEL_CONTROL'!$C$97, 0), 0)</f>
        <v>1562.5</v>
      </c>
      <c r="X24" s="33">
        <f>IF($C$4=2, IF(AND(X20&gt;=1+'1_PANEL_CONTROL'!$C$96, X20&lt;='1_PANEL_CONTROL'!$C$96+'1_PANEL_CONTROL'!$C$97), $D$11/'1_PANEL_CONTROL'!$C$97, 0), 0)</f>
        <v>1562.5</v>
      </c>
      <c r="Y24" s="33">
        <f>IF($C$4=2, IF(AND(Y20&gt;=1+'1_PANEL_CONTROL'!$C$96, Y20&lt;='1_PANEL_CONTROL'!$C$96+'1_PANEL_CONTROL'!$C$97), $D$11/'1_PANEL_CONTROL'!$C$97, 0), 0)</f>
        <v>1562.5</v>
      </c>
      <c r="Z24" s="33">
        <f>IF($C$4=2, IF(AND(Z20&gt;=1+'1_PANEL_CONTROL'!$C$96, Z20&lt;='1_PANEL_CONTROL'!$C$96+'1_PANEL_CONTROL'!$C$97), $D$11/'1_PANEL_CONTROL'!$C$97, 0), 0)</f>
        <v>1562.5</v>
      </c>
      <c r="AA24" s="33">
        <f>IF($C$4=2, IF(AND(AA20&gt;=1+'1_PANEL_CONTROL'!$C$96, AA20&lt;='1_PANEL_CONTROL'!$C$96+'1_PANEL_CONTROL'!$C$97), $D$11/'1_PANEL_CONTROL'!$C$97, 0), 0)</f>
        <v>1562.5</v>
      </c>
      <c r="AB24" s="33">
        <f>IF($C$4=2, IF(AND(AB20&gt;=1+'1_PANEL_CONTROL'!$C$96, AB20&lt;='1_PANEL_CONTROL'!$C$96+'1_PANEL_CONTROL'!$C$97), $D$11/'1_PANEL_CONTROL'!$C$97, 0), 0)</f>
        <v>1562.5</v>
      </c>
      <c r="AC24" s="33">
        <f>IF($C$4=2, IF(AND(AC20&gt;=1+'1_PANEL_CONTROL'!$C$96, AC20&lt;='1_PANEL_CONTROL'!$C$96+'1_PANEL_CONTROL'!$C$97), $D$11/'1_PANEL_CONTROL'!$C$97, 0), 0)</f>
        <v>1562.5</v>
      </c>
      <c r="AD24" s="33">
        <f>IF($C$4=2, IF(AND(AD20&gt;=1+'1_PANEL_CONTROL'!$C$96, AD20&lt;='1_PANEL_CONTROL'!$C$96+'1_PANEL_CONTROL'!$C$97), $D$11/'1_PANEL_CONTROL'!$C$97, 0), 0)</f>
        <v>1562.5</v>
      </c>
      <c r="AE24" s="33">
        <f>IF($C$4=2, IF(AND(AE20&gt;=1+'1_PANEL_CONTROL'!$C$96, AE20&lt;='1_PANEL_CONTROL'!$C$96+'1_PANEL_CONTROL'!$C$97), $D$11/'1_PANEL_CONTROL'!$C$97, 0), 0)</f>
        <v>1562.5</v>
      </c>
      <c r="AF24" s="33">
        <f>IF($C$4=2, IF(AND(AF20&gt;=1+'1_PANEL_CONTROL'!$C$96, AF20&lt;='1_PANEL_CONTROL'!$C$96+'1_PANEL_CONTROL'!$C$97), $D$11/'1_PANEL_CONTROL'!$C$97, 0), 0)</f>
        <v>1562.5</v>
      </c>
      <c r="AG24" s="33">
        <f>IF($C$4=2, IF(AND(AG20&gt;=1+'1_PANEL_CONTROL'!$C$96, AG20&lt;='1_PANEL_CONTROL'!$C$96+'1_PANEL_CONTROL'!$C$97), $D$11/'1_PANEL_CONTROL'!$C$97, 0), 0)</f>
        <v>1562.5</v>
      </c>
      <c r="AH24" s="33">
        <f>IF($C$4=2, IF(AND(AH20&gt;=1+'1_PANEL_CONTROL'!$C$96, AH20&lt;='1_PANEL_CONTROL'!$C$96+'1_PANEL_CONTROL'!$C$97), $D$11/'1_PANEL_CONTROL'!$C$97, 0), 0)</f>
        <v>1562.5</v>
      </c>
      <c r="AI24" s="33">
        <f>IF($C$4=2, IF(AND(AI20&gt;=1+'1_PANEL_CONTROL'!$C$96, AI20&lt;='1_PANEL_CONTROL'!$C$96+'1_PANEL_CONTROL'!$C$97), $D$11/'1_PANEL_CONTROL'!$C$97, 0), 0)</f>
        <v>1562.5</v>
      </c>
      <c r="AJ24" s="33">
        <f>IF($C$4=2, IF(AND(AJ20&gt;=1+'1_PANEL_CONTROL'!$C$96, AJ20&lt;='1_PANEL_CONTROL'!$C$96+'1_PANEL_CONTROL'!$C$97), $D$11/'1_PANEL_CONTROL'!$C$97, 0), 0)</f>
        <v>1562.5</v>
      </c>
      <c r="AK24" s="33">
        <f>IF($C$4=2, IF(AND(AK20&gt;=1+'1_PANEL_CONTROL'!$C$96, AK20&lt;='1_PANEL_CONTROL'!$C$96+'1_PANEL_CONTROL'!$C$97), $D$11/'1_PANEL_CONTROL'!$C$97, 0), 0)</f>
        <v>1562.5</v>
      </c>
      <c r="AL24" s="33">
        <f>IF($C$4=2, IF(AND(AL20&gt;=1+'1_PANEL_CONTROL'!$C$96, AL20&lt;='1_PANEL_CONTROL'!$C$96+'1_PANEL_CONTROL'!$C$97), $D$11/'1_PANEL_CONTROL'!$C$97, 0), 0)</f>
        <v>1562.5</v>
      </c>
      <c r="AM24" s="33">
        <f>IF($C$4=2, IF(AND(AM20&gt;=1+'1_PANEL_CONTROL'!$C$96, AM20&lt;='1_PANEL_CONTROL'!$C$96+'1_PANEL_CONTROL'!$C$97), $D$11/'1_PANEL_CONTROL'!$C$97, 0), 0)</f>
        <v>1562.5</v>
      </c>
      <c r="AN24" s="33">
        <f>IF($C$4=2, IF(AND(AN20&gt;=1+'1_PANEL_CONTROL'!$C$96, AN20&lt;='1_PANEL_CONTROL'!$C$96+'1_PANEL_CONTROL'!$C$97), $D$11/'1_PANEL_CONTROL'!$C$97, 0), 0)</f>
        <v>1562.5</v>
      </c>
      <c r="AO24" s="33">
        <f>IF($C$4=2, IF(AND(AO20&gt;=1+'1_PANEL_CONTROL'!$C$96, AO20&lt;='1_PANEL_CONTROL'!$C$96+'1_PANEL_CONTROL'!$C$97), $D$11/'1_PANEL_CONTROL'!$C$97, 0), 0)</f>
        <v>1562.5</v>
      </c>
      <c r="AP24" s="33">
        <f>IF($C$4=2, IF(AND(AP20&gt;=1+'1_PANEL_CONTROL'!$C$96, AP20&lt;='1_PANEL_CONTROL'!$C$96+'1_PANEL_CONTROL'!$C$97), $D$11/'1_PANEL_CONTROL'!$C$97, 0), 0)</f>
        <v>1562.5</v>
      </c>
      <c r="AQ24" s="33">
        <f>IF($C$4=2, IF(AND(AQ20&gt;=1+'1_PANEL_CONTROL'!$C$96, AQ20&lt;='1_PANEL_CONTROL'!$C$96+'1_PANEL_CONTROL'!$C$97), $D$11/'1_PANEL_CONTROL'!$C$97, 0), 0)</f>
        <v>1562.5</v>
      </c>
      <c r="AR24" s="33">
        <f>IF($C$4=2, IF(AND(AR20&gt;=1+'1_PANEL_CONTROL'!$C$96, AR20&lt;='1_PANEL_CONTROL'!$C$96+'1_PANEL_CONTROL'!$C$97), $D$11/'1_PANEL_CONTROL'!$C$97, 0), 0)</f>
        <v>1562.5</v>
      </c>
      <c r="AS24" s="33">
        <f>IF($C$4=2, IF(AND(AS20&gt;=1+'1_PANEL_CONTROL'!$C$96, AS20&lt;='1_PANEL_CONTROL'!$C$96+'1_PANEL_CONTROL'!$C$97), $D$11/'1_PANEL_CONTROL'!$C$97, 0), 0)</f>
        <v>1562.5</v>
      </c>
      <c r="AT24" s="33">
        <f>IF($C$4=2, IF(AND(AT20&gt;=1+'1_PANEL_CONTROL'!$C$96, AT20&lt;='1_PANEL_CONTROL'!$C$96+'1_PANEL_CONTROL'!$C$97), $D$11/'1_PANEL_CONTROL'!$C$97, 0), 0)</f>
        <v>1562.5</v>
      </c>
      <c r="AU24" s="33">
        <f>IF($C$4=2, IF(AND(AU20&gt;=1+'1_PANEL_CONTROL'!$C$96, AU20&lt;='1_PANEL_CONTROL'!$C$96+'1_PANEL_CONTROL'!$C$97), $D$11/'1_PANEL_CONTROL'!$C$97, 0), 0)</f>
        <v>1562.5</v>
      </c>
      <c r="AV24" s="33">
        <f>IF($C$4=2, IF(AND(AV20&gt;=1+'1_PANEL_CONTROL'!$C$96, AV20&lt;='1_PANEL_CONTROL'!$C$96+'1_PANEL_CONTROL'!$C$97), $D$11/'1_PANEL_CONTROL'!$C$97, 0), 0)</f>
        <v>1562.5</v>
      </c>
      <c r="AW24" s="33">
        <f>IF($C$4=2, IF(AND(AW20&gt;=1+'1_PANEL_CONTROL'!$C$96, AW20&lt;='1_PANEL_CONTROL'!$C$96+'1_PANEL_CONTROL'!$C$97), $D$11/'1_PANEL_CONTROL'!$C$97, 0), 0)</f>
        <v>1562.5</v>
      </c>
      <c r="AX24" s="33">
        <f>IF($C$4=2, IF(AND(AX20&gt;=1+'1_PANEL_CONTROL'!$C$96, AX20&lt;='1_PANEL_CONTROL'!$C$96+'1_PANEL_CONTROL'!$C$97), $D$11/'1_PANEL_CONTROL'!$C$97, 0), 0)</f>
        <v>1562.5</v>
      </c>
      <c r="AY24" s="33">
        <f>IF($C$4=2, IF(AND(AY20&gt;=1+'1_PANEL_CONTROL'!$C$96, AY20&lt;='1_PANEL_CONTROL'!$C$96+'1_PANEL_CONTROL'!$C$97), $D$11/'1_PANEL_CONTROL'!$C$97, 0), 0)</f>
        <v>1562.5</v>
      </c>
      <c r="AZ24" s="33">
        <f>IF($C$4=2, IF(AND(AZ20&gt;=1+'1_PANEL_CONTROL'!$C$96, AZ20&lt;='1_PANEL_CONTROL'!$C$96+'1_PANEL_CONTROL'!$C$97), $D$11/'1_PANEL_CONTROL'!$C$97, 0), 0)</f>
        <v>1562.5</v>
      </c>
      <c r="BA24" s="33">
        <f>IF($C$4=2, IF(AND(BA20&gt;=1+'1_PANEL_CONTROL'!$C$96, BA20&lt;='1_PANEL_CONTROL'!$C$96+'1_PANEL_CONTROL'!$C$97), $D$11/'1_PANEL_CONTROL'!$C$97, 0), 0)</f>
        <v>1562.5</v>
      </c>
      <c r="BB24" s="33">
        <f>IF($C$4=2, IF(AND(BB20&gt;=1+'1_PANEL_CONTROL'!$C$96, BB20&lt;='1_PANEL_CONTROL'!$C$96+'1_PANEL_CONTROL'!$C$97), $D$11/'1_PANEL_CONTROL'!$C$97, 0), 0)</f>
        <v>1562.5</v>
      </c>
      <c r="BC24" s="33">
        <f>IF($C$4=2, IF(AND(BC20&gt;=1+'1_PANEL_CONTROL'!$C$96, BC20&lt;='1_PANEL_CONTROL'!$C$96+'1_PANEL_CONTROL'!$C$97), $D$11/'1_PANEL_CONTROL'!$C$97, 0), 0)</f>
        <v>1562.5</v>
      </c>
      <c r="BD24" s="33">
        <f>IF($C$4=2, IF(AND(BD20&gt;=1+'1_PANEL_CONTROL'!$C$96, BD20&lt;='1_PANEL_CONTROL'!$C$96+'1_PANEL_CONTROL'!$C$97), $D$11/'1_PANEL_CONTROL'!$C$97, 0), 0)</f>
        <v>1562.5</v>
      </c>
      <c r="BE24" s="33">
        <f>IF($C$4=2, IF(AND(BE20&gt;=1+'1_PANEL_CONTROL'!$C$96, BE20&lt;='1_PANEL_CONTROL'!$C$96+'1_PANEL_CONTROL'!$C$97), $D$11/'1_PANEL_CONTROL'!$C$97, 0), 0)</f>
        <v>1562.5</v>
      </c>
      <c r="BF24" s="33">
        <f>IF($C$4=2, IF(AND(BF20&gt;=1+'1_PANEL_CONTROL'!$C$96, BF20&lt;='1_PANEL_CONTROL'!$C$96+'1_PANEL_CONTROL'!$C$97), $D$11/'1_PANEL_CONTROL'!$C$97, 0), 0)</f>
        <v>1562.5</v>
      </c>
      <c r="BG24" s="33">
        <f>IF($C$4=2, IF(AND(BG20&gt;=1+'1_PANEL_CONTROL'!$C$96, BG20&lt;='1_PANEL_CONTROL'!$C$96+'1_PANEL_CONTROL'!$C$97), $D$11/'1_PANEL_CONTROL'!$C$97, 0), 0)</f>
        <v>1562.5</v>
      </c>
      <c r="BH24" s="33">
        <f>IF($C$4=2, IF(AND(BH20&gt;=1+'1_PANEL_CONTROL'!$C$96, BH20&lt;='1_PANEL_CONTROL'!$C$96+'1_PANEL_CONTROL'!$C$97), $D$11/'1_PANEL_CONTROL'!$C$97, 0), 0)</f>
        <v>1562.5</v>
      </c>
      <c r="BI24" s="33">
        <f>IF($C$4=2, IF(AND(BI20&gt;=1+'1_PANEL_CONTROL'!$C$96, BI20&lt;='1_PANEL_CONTROL'!$C$96+'1_PANEL_CONTROL'!$C$97), $D$11/'1_PANEL_CONTROL'!$C$97, 0), 0)</f>
        <v>1562.5</v>
      </c>
      <c r="BJ24" s="33">
        <f>IF($C$4=2, IF(AND(BJ20&gt;=1+'1_PANEL_CONTROL'!$C$96, BJ20&lt;='1_PANEL_CONTROL'!$C$96+'1_PANEL_CONTROL'!$C$97), $D$11/'1_PANEL_CONTROL'!$C$97, 0), 0)</f>
        <v>1562.5</v>
      </c>
      <c r="BK24" s="33">
        <f>IF($C$4=2, IF(AND(BK20&gt;=1+'1_PANEL_CONTROL'!$C$96, BK20&lt;='1_PANEL_CONTROL'!$C$96+'1_PANEL_CONTROL'!$C$97), $D$11/'1_PANEL_CONTROL'!$C$97, 0), 0)</f>
        <v>1562.5</v>
      </c>
      <c r="BL24" s="33">
        <f>IF($C$4=2, IF(AND(BL20&gt;=1+'1_PANEL_CONTROL'!$C$96, BL20&lt;='1_PANEL_CONTROL'!$C$96+'1_PANEL_CONTROL'!$C$97), $D$11/'1_PANEL_CONTROL'!$C$97, 0), 0)</f>
        <v>0</v>
      </c>
      <c r="BM24" s="33">
        <f>IF($C$4=2, IF(AND(BM20&gt;=1+'1_PANEL_CONTROL'!$C$96, BM20&lt;='1_PANEL_CONTROL'!$C$96+'1_PANEL_CONTROL'!$C$97), $D$11/'1_PANEL_CONTROL'!$C$97, 0), 0)</f>
        <v>0</v>
      </c>
      <c r="BN24" s="33">
        <f>IF($C$4=2, IF(AND(BN20&gt;=1+'1_PANEL_CONTROL'!$C$96, BN20&lt;='1_PANEL_CONTROL'!$C$96+'1_PANEL_CONTROL'!$C$97), $D$11/'1_PANEL_CONTROL'!$C$97, 0), 0)</f>
        <v>0</v>
      </c>
      <c r="BO24" s="33">
        <f>IF($C$4=2, IF(AND(BO20&gt;=1+'1_PANEL_CONTROL'!$C$96, BO20&lt;='1_PANEL_CONTROL'!$C$96+'1_PANEL_CONTROL'!$C$97), $D$11/'1_PANEL_CONTROL'!$C$97, 0), 0)</f>
        <v>0</v>
      </c>
      <c r="BP24" s="33">
        <f>IF($C$4=2, IF(AND(BP20&gt;=1+'1_PANEL_CONTROL'!$C$96, BP20&lt;='1_PANEL_CONTROL'!$C$96+'1_PANEL_CONTROL'!$C$97), $D$11/'1_PANEL_CONTROL'!$C$97, 0), 0)</f>
        <v>0</v>
      </c>
      <c r="BQ24" s="33">
        <f>IF($C$4=2, IF(AND(BQ20&gt;=1+'1_PANEL_CONTROL'!$C$96, BQ20&lt;='1_PANEL_CONTROL'!$C$96+'1_PANEL_CONTROL'!$C$97), $D$11/'1_PANEL_CONTROL'!$C$97, 0), 0)</f>
        <v>0</v>
      </c>
      <c r="BR24" s="33">
        <f>IF($C$4=2, IF(AND(BR20&gt;=1+'1_PANEL_CONTROL'!$C$96, BR20&lt;='1_PANEL_CONTROL'!$C$96+'1_PANEL_CONTROL'!$C$97), $D$11/'1_PANEL_CONTROL'!$C$97, 0), 0)</f>
        <v>0</v>
      </c>
      <c r="BS24" s="33">
        <f>IF($C$4=2, IF(AND(BS20&gt;=1+'1_PANEL_CONTROL'!$C$96, BS20&lt;='1_PANEL_CONTROL'!$C$96+'1_PANEL_CONTROL'!$C$97), $D$11/'1_PANEL_CONTROL'!$C$97, 0), 0)</f>
        <v>0</v>
      </c>
      <c r="BT24" s="33">
        <f>IF($C$4=2, IF(AND(BT20&gt;=1+'1_PANEL_CONTROL'!$C$96, BT20&lt;='1_PANEL_CONTROL'!$C$96+'1_PANEL_CONTROL'!$C$97), $D$11/'1_PANEL_CONTROL'!$C$97, 0), 0)</f>
        <v>0</v>
      </c>
      <c r="BU24" s="33">
        <f>IF($C$4=2, IF(AND(BU20&gt;=1+'1_PANEL_CONTROL'!$C$96, BU20&lt;='1_PANEL_CONTROL'!$C$96+'1_PANEL_CONTROL'!$C$97), $D$11/'1_PANEL_CONTROL'!$C$97, 0), 0)</f>
        <v>0</v>
      </c>
      <c r="BV24" s="33">
        <f>IF($C$4=2, IF(AND(BV20&gt;=1+'1_PANEL_CONTROL'!$C$96, BV20&lt;='1_PANEL_CONTROL'!$C$96+'1_PANEL_CONTROL'!$C$97), $D$11/'1_PANEL_CONTROL'!$C$97, 0), 0)</f>
        <v>0</v>
      </c>
      <c r="BW24" s="33">
        <f>IF($C$4=2, IF(AND(BW20&gt;=1+'1_PANEL_CONTROL'!$C$96, BW20&lt;='1_PANEL_CONTROL'!$C$96+'1_PANEL_CONTROL'!$C$97), $D$11/'1_PANEL_CONTROL'!$C$97, 0), 0)</f>
        <v>0</v>
      </c>
      <c r="BX24" s="33">
        <f>IF($C$4=2, IF(AND(BX20&gt;=1+'1_PANEL_CONTROL'!$C$96, BX20&lt;='1_PANEL_CONTROL'!$C$96+'1_PANEL_CONTROL'!$C$97), $D$11/'1_PANEL_CONTROL'!$C$97, 0), 0)</f>
        <v>0</v>
      </c>
      <c r="BY24" s="33">
        <f>IF($C$4=2, IF(AND(BY20&gt;=1+'1_PANEL_CONTROL'!$C$96, BY20&lt;='1_PANEL_CONTROL'!$C$96+'1_PANEL_CONTROL'!$C$97), $D$11/'1_PANEL_CONTROL'!$C$97, 0), 0)</f>
        <v>0</v>
      </c>
      <c r="BZ24" s="33">
        <f>IF($C$4=2, IF(AND(BZ20&gt;=1+'1_PANEL_CONTROL'!$C$96, BZ20&lt;='1_PANEL_CONTROL'!$C$96+'1_PANEL_CONTROL'!$C$97), $D$11/'1_PANEL_CONTROL'!$C$97, 0), 0)</f>
        <v>0</v>
      </c>
      <c r="CA24" s="33">
        <f>IF($C$4=2, IF(AND(CA20&gt;=1+'1_PANEL_CONTROL'!$C$96, CA20&lt;='1_PANEL_CONTROL'!$C$96+'1_PANEL_CONTROL'!$C$97), $D$11/'1_PANEL_CONTROL'!$C$97, 0), 0)</f>
        <v>0</v>
      </c>
      <c r="CB24" s="33">
        <f>IF($C$4=2, IF(AND(CB20&gt;=1+'1_PANEL_CONTROL'!$C$96, CB20&lt;='1_PANEL_CONTROL'!$C$96+'1_PANEL_CONTROL'!$C$97), $D$11/'1_PANEL_CONTROL'!$C$97, 0), 0)</f>
        <v>0</v>
      </c>
      <c r="CC24" s="33">
        <f>IF($C$4=2, IF(AND(CC20&gt;=1+'1_PANEL_CONTROL'!$C$96, CC20&lt;='1_PANEL_CONTROL'!$C$96+'1_PANEL_CONTROL'!$C$97), $D$11/'1_PANEL_CONTROL'!$C$97, 0), 0)</f>
        <v>0</v>
      </c>
      <c r="CD24" s="33">
        <f>IF($C$4=2, IF(AND(CD20&gt;=1+'1_PANEL_CONTROL'!$C$96, CD20&lt;='1_PANEL_CONTROL'!$C$96+'1_PANEL_CONTROL'!$C$97), $D$11/'1_PANEL_CONTROL'!$C$97, 0), 0)</f>
        <v>0</v>
      </c>
      <c r="CE24" s="33">
        <f>IF($C$4=2, IF(AND(CE20&gt;=1+'1_PANEL_CONTROL'!$C$96, CE20&lt;='1_PANEL_CONTROL'!$C$96+'1_PANEL_CONTROL'!$C$97), $D$11/'1_PANEL_CONTROL'!$C$97, 0), 0)</f>
        <v>0</v>
      </c>
      <c r="CF24" s="33">
        <f>IF($C$4=2, IF(AND(CF20&gt;=1+'1_PANEL_CONTROL'!$C$96, CF20&lt;='1_PANEL_CONTROL'!$C$96+'1_PANEL_CONTROL'!$C$97), $D$11/'1_PANEL_CONTROL'!$C$97, 0), 0)</f>
        <v>0</v>
      </c>
      <c r="CG24" s="33">
        <f>IF($C$4=2, IF(AND(CG20&gt;=1+'1_PANEL_CONTROL'!$C$96, CG20&lt;='1_PANEL_CONTROL'!$C$96+'1_PANEL_CONTROL'!$C$97), $D$11/'1_PANEL_CONTROL'!$C$97, 0), 0)</f>
        <v>0</v>
      </c>
      <c r="CH24" s="33">
        <f>IF($C$4=2, IF(AND(CH20&gt;=1+'1_PANEL_CONTROL'!$C$96, CH20&lt;='1_PANEL_CONTROL'!$C$96+'1_PANEL_CONTROL'!$C$97), $D$11/'1_PANEL_CONTROL'!$C$97, 0), 0)</f>
        <v>0</v>
      </c>
      <c r="CI24" s="33">
        <f>IF($C$4=2, IF(AND(CI20&gt;=1+'1_PANEL_CONTROL'!$C$96, CI20&lt;='1_PANEL_CONTROL'!$C$96+'1_PANEL_CONTROL'!$C$97), $D$11/'1_PANEL_CONTROL'!$C$97, 0), 0)</f>
        <v>0</v>
      </c>
    </row>
    <row r="25" spans="1:87" ht="16">
      <c r="A25" s="6" t="s">
        <v>980</v>
      </c>
      <c r="B25" s="30" t="s">
        <v>465</v>
      </c>
      <c r="C25" s="15"/>
      <c r="D25" s="33">
        <f t="shared" ref="D25:AI25" si="3">IF($C$4=2, D23-D24, 0)</f>
        <v>75000</v>
      </c>
      <c r="E25" s="33">
        <f t="shared" si="3"/>
        <v>75000</v>
      </c>
      <c r="F25" s="33">
        <f t="shared" si="3"/>
        <v>75000</v>
      </c>
      <c r="G25" s="33">
        <f t="shared" si="3"/>
        <v>75000</v>
      </c>
      <c r="H25" s="33">
        <f t="shared" si="3"/>
        <v>75000</v>
      </c>
      <c r="I25" s="33">
        <f t="shared" si="3"/>
        <v>75000</v>
      </c>
      <c r="J25" s="33">
        <f t="shared" si="3"/>
        <v>75000</v>
      </c>
      <c r="K25" s="33">
        <f t="shared" si="3"/>
        <v>75000</v>
      </c>
      <c r="L25" s="33">
        <f t="shared" si="3"/>
        <v>75000</v>
      </c>
      <c r="M25" s="33">
        <f t="shared" si="3"/>
        <v>75000</v>
      </c>
      <c r="N25" s="33">
        <f t="shared" si="3"/>
        <v>75000</v>
      </c>
      <c r="O25" s="33">
        <f t="shared" si="3"/>
        <v>75000</v>
      </c>
      <c r="P25" s="33">
        <f t="shared" si="3"/>
        <v>73437.5</v>
      </c>
      <c r="Q25" s="33">
        <f t="shared" si="3"/>
        <v>71875</v>
      </c>
      <c r="R25" s="33">
        <f t="shared" si="3"/>
        <v>70312.5</v>
      </c>
      <c r="S25" s="33">
        <f t="shared" si="3"/>
        <v>68750</v>
      </c>
      <c r="T25" s="33">
        <f t="shared" si="3"/>
        <v>67187.5</v>
      </c>
      <c r="U25" s="33">
        <f t="shared" si="3"/>
        <v>65625</v>
      </c>
      <c r="V25" s="33">
        <f t="shared" si="3"/>
        <v>64062.5</v>
      </c>
      <c r="W25" s="33">
        <f t="shared" si="3"/>
        <v>62500</v>
      </c>
      <c r="X25" s="33">
        <f t="shared" si="3"/>
        <v>60937.5</v>
      </c>
      <c r="Y25" s="33">
        <f t="shared" si="3"/>
        <v>59375</v>
      </c>
      <c r="Z25" s="33">
        <f t="shared" si="3"/>
        <v>57812.5</v>
      </c>
      <c r="AA25" s="33">
        <f t="shared" si="3"/>
        <v>56250</v>
      </c>
      <c r="AB25" s="33">
        <f t="shared" si="3"/>
        <v>54687.5</v>
      </c>
      <c r="AC25" s="33">
        <f t="shared" si="3"/>
        <v>53125</v>
      </c>
      <c r="AD25" s="33">
        <f t="shared" si="3"/>
        <v>51562.5</v>
      </c>
      <c r="AE25" s="33">
        <f t="shared" si="3"/>
        <v>50000</v>
      </c>
      <c r="AF25" s="33">
        <f t="shared" si="3"/>
        <v>48437.5</v>
      </c>
      <c r="AG25" s="33">
        <f t="shared" si="3"/>
        <v>46875</v>
      </c>
      <c r="AH25" s="33">
        <f t="shared" si="3"/>
        <v>45312.5</v>
      </c>
      <c r="AI25" s="33">
        <f t="shared" si="3"/>
        <v>43750</v>
      </c>
      <c r="AJ25" s="33">
        <f t="shared" ref="AJ25:BO25" si="4">IF($C$4=2, AJ23-AJ24, 0)</f>
        <v>42187.5</v>
      </c>
      <c r="AK25" s="33">
        <f t="shared" si="4"/>
        <v>40625</v>
      </c>
      <c r="AL25" s="33">
        <f t="shared" si="4"/>
        <v>39062.5</v>
      </c>
      <c r="AM25" s="33">
        <f t="shared" si="4"/>
        <v>37500</v>
      </c>
      <c r="AN25" s="33">
        <f t="shared" si="4"/>
        <v>35937.5</v>
      </c>
      <c r="AO25" s="33">
        <f t="shared" si="4"/>
        <v>34375</v>
      </c>
      <c r="AP25" s="33">
        <f t="shared" si="4"/>
        <v>32812.5</v>
      </c>
      <c r="AQ25" s="33">
        <f t="shared" si="4"/>
        <v>31250</v>
      </c>
      <c r="AR25" s="33">
        <f t="shared" si="4"/>
        <v>29687.5</v>
      </c>
      <c r="AS25" s="33">
        <f t="shared" si="4"/>
        <v>28125</v>
      </c>
      <c r="AT25" s="33">
        <f t="shared" si="4"/>
        <v>26562.5</v>
      </c>
      <c r="AU25" s="33">
        <f t="shared" si="4"/>
        <v>25000</v>
      </c>
      <c r="AV25" s="33">
        <f t="shared" si="4"/>
        <v>23437.5</v>
      </c>
      <c r="AW25" s="33">
        <f t="shared" si="4"/>
        <v>21875</v>
      </c>
      <c r="AX25" s="33">
        <f t="shared" si="4"/>
        <v>20312.5</v>
      </c>
      <c r="AY25" s="33">
        <f t="shared" si="4"/>
        <v>18750</v>
      </c>
      <c r="AZ25" s="33">
        <f t="shared" si="4"/>
        <v>17187.5</v>
      </c>
      <c r="BA25" s="33">
        <f t="shared" si="4"/>
        <v>15625</v>
      </c>
      <c r="BB25" s="33">
        <f t="shared" si="4"/>
        <v>14062.5</v>
      </c>
      <c r="BC25" s="33">
        <f t="shared" si="4"/>
        <v>12500</v>
      </c>
      <c r="BD25" s="33">
        <f t="shared" si="4"/>
        <v>10937.5</v>
      </c>
      <c r="BE25" s="33">
        <f t="shared" si="4"/>
        <v>9375</v>
      </c>
      <c r="BF25" s="33">
        <f t="shared" si="4"/>
        <v>7812.5</v>
      </c>
      <c r="BG25" s="33">
        <f t="shared" si="4"/>
        <v>6250</v>
      </c>
      <c r="BH25" s="33">
        <f t="shared" si="4"/>
        <v>4687.5</v>
      </c>
      <c r="BI25" s="33">
        <f t="shared" si="4"/>
        <v>3125</v>
      </c>
      <c r="BJ25" s="33">
        <f t="shared" si="4"/>
        <v>1562.5</v>
      </c>
      <c r="BK25" s="33">
        <f t="shared" si="4"/>
        <v>0</v>
      </c>
      <c r="BL25" s="33">
        <f t="shared" si="4"/>
        <v>0</v>
      </c>
      <c r="BM25" s="33">
        <f t="shared" si="4"/>
        <v>0</v>
      </c>
      <c r="BN25" s="33">
        <f t="shared" si="4"/>
        <v>0</v>
      </c>
      <c r="BO25" s="33">
        <f t="shared" si="4"/>
        <v>0</v>
      </c>
      <c r="BP25" s="33">
        <f t="shared" ref="BP25:CU25" si="5">IF($C$4=2, BP23-BP24, 0)</f>
        <v>0</v>
      </c>
      <c r="BQ25" s="33">
        <f t="shared" si="5"/>
        <v>0</v>
      </c>
      <c r="BR25" s="33">
        <f t="shared" si="5"/>
        <v>0</v>
      </c>
      <c r="BS25" s="33">
        <f t="shared" si="5"/>
        <v>0</v>
      </c>
      <c r="BT25" s="33">
        <f t="shared" si="5"/>
        <v>0</v>
      </c>
      <c r="BU25" s="33">
        <f t="shared" si="5"/>
        <v>0</v>
      </c>
      <c r="BV25" s="33">
        <f t="shared" si="5"/>
        <v>0</v>
      </c>
      <c r="BW25" s="33">
        <f t="shared" si="5"/>
        <v>0</v>
      </c>
      <c r="BX25" s="33">
        <f t="shared" si="5"/>
        <v>0</v>
      </c>
      <c r="BY25" s="33">
        <f t="shared" si="5"/>
        <v>0</v>
      </c>
      <c r="BZ25" s="33">
        <f t="shared" si="5"/>
        <v>0</v>
      </c>
      <c r="CA25" s="33">
        <f t="shared" si="5"/>
        <v>0</v>
      </c>
      <c r="CB25" s="33">
        <f t="shared" si="5"/>
        <v>0</v>
      </c>
      <c r="CC25" s="33">
        <f t="shared" si="5"/>
        <v>0</v>
      </c>
      <c r="CD25" s="33">
        <f t="shared" si="5"/>
        <v>0</v>
      </c>
      <c r="CE25" s="33">
        <f t="shared" si="5"/>
        <v>0</v>
      </c>
      <c r="CF25" s="33">
        <f t="shared" si="5"/>
        <v>0</v>
      </c>
      <c r="CG25" s="33">
        <f t="shared" si="5"/>
        <v>0</v>
      </c>
      <c r="CH25" s="33">
        <f t="shared" si="5"/>
        <v>0</v>
      </c>
      <c r="CI25" s="33">
        <f t="shared" si="5"/>
        <v>0</v>
      </c>
    </row>
    <row r="26" spans="1:87" ht="16">
      <c r="A26" s="6" t="s">
        <v>981</v>
      </c>
      <c r="B26" s="30" t="s">
        <v>465</v>
      </c>
      <c r="C26" s="15"/>
      <c r="D26" s="33">
        <f>IF($C$4=2, D23*'1_PANEL_CONTROL'!$C$95/12, 0)</f>
        <v>375</v>
      </c>
      <c r="E26" s="33">
        <f>IF($C$4=2, E23*'1_PANEL_CONTROL'!$C$95/12, 0)</f>
        <v>375</v>
      </c>
      <c r="F26" s="33">
        <f>IF($C$4=2, F23*'1_PANEL_CONTROL'!$C$95/12, 0)</f>
        <v>375</v>
      </c>
      <c r="G26" s="33">
        <f>IF($C$4=2, G23*'1_PANEL_CONTROL'!$C$95/12, 0)</f>
        <v>375</v>
      </c>
      <c r="H26" s="33">
        <f>IF($C$4=2, H23*'1_PANEL_CONTROL'!$C$95/12, 0)</f>
        <v>375</v>
      </c>
      <c r="I26" s="33">
        <f>IF($C$4=2, I23*'1_PANEL_CONTROL'!$C$95/12, 0)</f>
        <v>375</v>
      </c>
      <c r="J26" s="33">
        <f>IF($C$4=2, J23*'1_PANEL_CONTROL'!$C$95/12, 0)</f>
        <v>375</v>
      </c>
      <c r="K26" s="33">
        <f>IF($C$4=2, K23*'1_PANEL_CONTROL'!$C$95/12, 0)</f>
        <v>375</v>
      </c>
      <c r="L26" s="33">
        <f>IF($C$4=2, L23*'1_PANEL_CONTROL'!$C$95/12, 0)</f>
        <v>375</v>
      </c>
      <c r="M26" s="33">
        <f>IF($C$4=2, M23*'1_PANEL_CONTROL'!$C$95/12, 0)</f>
        <v>375</v>
      </c>
      <c r="N26" s="33">
        <f>IF($C$4=2, N23*'1_PANEL_CONTROL'!$C$95/12, 0)</f>
        <v>375</v>
      </c>
      <c r="O26" s="33">
        <f>IF($C$4=2, O23*'1_PANEL_CONTROL'!$C$95/12, 0)</f>
        <v>375</v>
      </c>
      <c r="P26" s="33">
        <f>IF($C$4=2, P23*'1_PANEL_CONTROL'!$C$95/12, 0)</f>
        <v>375</v>
      </c>
      <c r="Q26" s="33">
        <f>IF($C$4=2, Q23*'1_PANEL_CONTROL'!$C$95/12, 0)</f>
        <v>367.1875</v>
      </c>
      <c r="R26" s="33">
        <f>IF($C$4=2, R23*'1_PANEL_CONTROL'!$C$95/12, 0)</f>
        <v>359.375</v>
      </c>
      <c r="S26" s="33">
        <f>IF($C$4=2, S23*'1_PANEL_CONTROL'!$C$95/12, 0)</f>
        <v>351.5625</v>
      </c>
      <c r="T26" s="33">
        <f>IF($C$4=2, T23*'1_PANEL_CONTROL'!$C$95/12, 0)</f>
        <v>343.75</v>
      </c>
      <c r="U26" s="33">
        <f>IF($C$4=2, U23*'1_PANEL_CONTROL'!$C$95/12, 0)</f>
        <v>335.9375</v>
      </c>
      <c r="V26" s="33">
        <f>IF($C$4=2, V23*'1_PANEL_CONTROL'!$C$95/12, 0)</f>
        <v>328.125</v>
      </c>
      <c r="W26" s="33">
        <f>IF($C$4=2, W23*'1_PANEL_CONTROL'!$C$95/12, 0)</f>
        <v>320.3125</v>
      </c>
      <c r="X26" s="33">
        <f>IF($C$4=2, X23*'1_PANEL_CONTROL'!$C$95/12, 0)</f>
        <v>312.5</v>
      </c>
      <c r="Y26" s="33">
        <f>IF($C$4=2, Y23*'1_PANEL_CONTROL'!$C$95/12, 0)</f>
        <v>304.6875</v>
      </c>
      <c r="Z26" s="33">
        <f>IF($C$4=2, Z23*'1_PANEL_CONTROL'!$C$95/12, 0)</f>
        <v>296.875</v>
      </c>
      <c r="AA26" s="33">
        <f>IF($C$4=2, AA23*'1_PANEL_CONTROL'!$C$95/12, 0)</f>
        <v>289.0625</v>
      </c>
      <c r="AB26" s="33">
        <f>IF($C$4=2, AB23*'1_PANEL_CONTROL'!$C$95/12, 0)</f>
        <v>281.25</v>
      </c>
      <c r="AC26" s="33">
        <f>IF($C$4=2, AC23*'1_PANEL_CONTROL'!$C$95/12, 0)</f>
        <v>273.4375</v>
      </c>
      <c r="AD26" s="33">
        <f>IF($C$4=2, AD23*'1_PANEL_CONTROL'!$C$95/12, 0)</f>
        <v>265.625</v>
      </c>
      <c r="AE26" s="33">
        <f>IF($C$4=2, AE23*'1_PANEL_CONTROL'!$C$95/12, 0)</f>
        <v>257.8125</v>
      </c>
      <c r="AF26" s="33">
        <f>IF($C$4=2, AF23*'1_PANEL_CONTROL'!$C$95/12, 0)</f>
        <v>250</v>
      </c>
      <c r="AG26" s="33">
        <f>IF($C$4=2, AG23*'1_PANEL_CONTROL'!$C$95/12, 0)</f>
        <v>242.1875</v>
      </c>
      <c r="AH26" s="33">
        <f>IF($C$4=2, AH23*'1_PANEL_CONTROL'!$C$95/12, 0)</f>
        <v>234.375</v>
      </c>
      <c r="AI26" s="33">
        <f>IF($C$4=2, AI23*'1_PANEL_CONTROL'!$C$95/12, 0)</f>
        <v>226.5625</v>
      </c>
      <c r="AJ26" s="33">
        <f>IF($C$4=2, AJ23*'1_PANEL_CONTROL'!$C$95/12, 0)</f>
        <v>218.75</v>
      </c>
      <c r="AK26" s="33">
        <f>IF($C$4=2, AK23*'1_PANEL_CONTROL'!$C$95/12, 0)</f>
        <v>210.9375</v>
      </c>
      <c r="AL26" s="33">
        <f>IF($C$4=2, AL23*'1_PANEL_CONTROL'!$C$95/12, 0)</f>
        <v>203.125</v>
      </c>
      <c r="AM26" s="33">
        <f>IF($C$4=2, AM23*'1_PANEL_CONTROL'!$C$95/12, 0)</f>
        <v>195.3125</v>
      </c>
      <c r="AN26" s="33">
        <f>IF($C$4=2, AN23*'1_PANEL_CONTROL'!$C$95/12, 0)</f>
        <v>187.5</v>
      </c>
      <c r="AO26" s="33">
        <f>IF($C$4=2, AO23*'1_PANEL_CONTROL'!$C$95/12, 0)</f>
        <v>179.6875</v>
      </c>
      <c r="AP26" s="33">
        <f>IF($C$4=2, AP23*'1_PANEL_CONTROL'!$C$95/12, 0)</f>
        <v>171.875</v>
      </c>
      <c r="AQ26" s="33">
        <f>IF($C$4=2, AQ23*'1_PANEL_CONTROL'!$C$95/12, 0)</f>
        <v>164.0625</v>
      </c>
      <c r="AR26" s="33">
        <f>IF($C$4=2, AR23*'1_PANEL_CONTROL'!$C$95/12, 0)</f>
        <v>156.25</v>
      </c>
      <c r="AS26" s="33">
        <f>IF($C$4=2, AS23*'1_PANEL_CONTROL'!$C$95/12, 0)</f>
        <v>148.4375</v>
      </c>
      <c r="AT26" s="33">
        <f>IF($C$4=2, AT23*'1_PANEL_CONTROL'!$C$95/12, 0)</f>
        <v>140.625</v>
      </c>
      <c r="AU26" s="33">
        <f>IF($C$4=2, AU23*'1_PANEL_CONTROL'!$C$95/12, 0)</f>
        <v>132.8125</v>
      </c>
      <c r="AV26" s="33">
        <f>IF($C$4=2, AV23*'1_PANEL_CONTROL'!$C$95/12, 0)</f>
        <v>125</v>
      </c>
      <c r="AW26" s="33">
        <f>IF($C$4=2, AW23*'1_PANEL_CONTROL'!$C$95/12, 0)</f>
        <v>117.1875</v>
      </c>
      <c r="AX26" s="33">
        <f>IF($C$4=2, AX23*'1_PANEL_CONTROL'!$C$95/12, 0)</f>
        <v>109.375</v>
      </c>
      <c r="AY26" s="33">
        <f>IF($C$4=2, AY23*'1_PANEL_CONTROL'!$C$95/12, 0)</f>
        <v>101.5625</v>
      </c>
      <c r="AZ26" s="33">
        <f>IF($C$4=2, AZ23*'1_PANEL_CONTROL'!$C$95/12, 0)</f>
        <v>93.75</v>
      </c>
      <c r="BA26" s="33">
        <f>IF($C$4=2, BA23*'1_PANEL_CONTROL'!$C$95/12, 0)</f>
        <v>85.9375</v>
      </c>
      <c r="BB26" s="33">
        <f>IF($C$4=2, BB23*'1_PANEL_CONTROL'!$C$95/12, 0)</f>
        <v>78.125</v>
      </c>
      <c r="BC26" s="33">
        <f>IF($C$4=2, BC23*'1_PANEL_CONTROL'!$C$95/12, 0)</f>
        <v>70.3125</v>
      </c>
      <c r="BD26" s="33">
        <f>IF($C$4=2, BD23*'1_PANEL_CONTROL'!$C$95/12, 0)</f>
        <v>62.5</v>
      </c>
      <c r="BE26" s="33">
        <f>IF($C$4=2, BE23*'1_PANEL_CONTROL'!$C$95/12, 0)</f>
        <v>54.6875</v>
      </c>
      <c r="BF26" s="33">
        <f>IF($C$4=2, BF23*'1_PANEL_CONTROL'!$C$95/12, 0)</f>
        <v>46.875</v>
      </c>
      <c r="BG26" s="33">
        <f>IF($C$4=2, BG23*'1_PANEL_CONTROL'!$C$95/12, 0)</f>
        <v>39.0625</v>
      </c>
      <c r="BH26" s="33">
        <f>IF($C$4=2, BH23*'1_PANEL_CONTROL'!$C$95/12, 0)</f>
        <v>31.25</v>
      </c>
      <c r="BI26" s="33">
        <f>IF($C$4=2, BI23*'1_PANEL_CONTROL'!$C$95/12, 0)</f>
        <v>23.4375</v>
      </c>
      <c r="BJ26" s="33">
        <f>IF($C$4=2, BJ23*'1_PANEL_CONTROL'!$C$95/12, 0)</f>
        <v>15.625</v>
      </c>
      <c r="BK26" s="33">
        <f>IF($C$4=2, BK23*'1_PANEL_CONTROL'!$C$95/12, 0)</f>
        <v>7.8125</v>
      </c>
      <c r="BL26" s="33">
        <f>IF($C$4=2, BL23*'1_PANEL_CONTROL'!$C$95/12, 0)</f>
        <v>0</v>
      </c>
      <c r="BM26" s="33">
        <f>IF($C$4=2, BM23*'1_PANEL_CONTROL'!$C$95/12, 0)</f>
        <v>0</v>
      </c>
      <c r="BN26" s="33">
        <f>IF($C$4=2, BN23*'1_PANEL_CONTROL'!$C$95/12, 0)</f>
        <v>0</v>
      </c>
      <c r="BO26" s="33">
        <f>IF($C$4=2, BO23*'1_PANEL_CONTROL'!$C$95/12, 0)</f>
        <v>0</v>
      </c>
      <c r="BP26" s="33">
        <f>IF($C$4=2, BP23*'1_PANEL_CONTROL'!$C$95/12, 0)</f>
        <v>0</v>
      </c>
      <c r="BQ26" s="33">
        <f>IF($C$4=2, BQ23*'1_PANEL_CONTROL'!$C$95/12, 0)</f>
        <v>0</v>
      </c>
      <c r="BR26" s="33">
        <f>IF($C$4=2, BR23*'1_PANEL_CONTROL'!$C$95/12, 0)</f>
        <v>0</v>
      </c>
      <c r="BS26" s="33">
        <f>IF($C$4=2, BS23*'1_PANEL_CONTROL'!$C$95/12, 0)</f>
        <v>0</v>
      </c>
      <c r="BT26" s="33">
        <f>IF($C$4=2, BT23*'1_PANEL_CONTROL'!$C$95/12, 0)</f>
        <v>0</v>
      </c>
      <c r="BU26" s="33">
        <f>IF($C$4=2, BU23*'1_PANEL_CONTROL'!$C$95/12, 0)</f>
        <v>0</v>
      </c>
      <c r="BV26" s="33">
        <f>IF($C$4=2, BV23*'1_PANEL_CONTROL'!$C$95/12, 0)</f>
        <v>0</v>
      </c>
      <c r="BW26" s="33">
        <f>IF($C$4=2, BW23*'1_PANEL_CONTROL'!$C$95/12, 0)</f>
        <v>0</v>
      </c>
      <c r="BX26" s="33">
        <f>IF($C$4=2, BX23*'1_PANEL_CONTROL'!$C$95/12, 0)</f>
        <v>0</v>
      </c>
      <c r="BY26" s="33">
        <f>IF($C$4=2, BY23*'1_PANEL_CONTROL'!$C$95/12, 0)</f>
        <v>0</v>
      </c>
      <c r="BZ26" s="33">
        <f>IF($C$4=2, BZ23*'1_PANEL_CONTROL'!$C$95/12, 0)</f>
        <v>0</v>
      </c>
      <c r="CA26" s="33">
        <f>IF($C$4=2, CA23*'1_PANEL_CONTROL'!$C$95/12, 0)</f>
        <v>0</v>
      </c>
      <c r="CB26" s="33">
        <f>IF($C$4=2, CB23*'1_PANEL_CONTROL'!$C$95/12, 0)</f>
        <v>0</v>
      </c>
      <c r="CC26" s="33">
        <f>IF($C$4=2, CC23*'1_PANEL_CONTROL'!$C$95/12, 0)</f>
        <v>0</v>
      </c>
      <c r="CD26" s="33">
        <f>IF($C$4=2, CD23*'1_PANEL_CONTROL'!$C$95/12, 0)</f>
        <v>0</v>
      </c>
      <c r="CE26" s="33">
        <f>IF($C$4=2, CE23*'1_PANEL_CONTROL'!$C$95/12, 0)</f>
        <v>0</v>
      </c>
      <c r="CF26" s="33">
        <f>IF($C$4=2, CF23*'1_PANEL_CONTROL'!$C$95/12, 0)</f>
        <v>0</v>
      </c>
      <c r="CG26" s="33">
        <f>IF($C$4=2, CG23*'1_PANEL_CONTROL'!$C$95/12, 0)</f>
        <v>0</v>
      </c>
      <c r="CH26" s="33">
        <f>IF($C$4=2, CH23*'1_PANEL_CONTROL'!$C$95/12, 0)</f>
        <v>0</v>
      </c>
      <c r="CI26" s="33">
        <f>IF($C$4=2, CI23*'1_PANEL_CONTROL'!$C$95/12, 0)</f>
        <v>0</v>
      </c>
    </row>
    <row r="27" spans="1:87" ht="1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row>
    <row r="28" spans="1:87" ht="16">
      <c r="A28" s="6" t="s">
        <v>982</v>
      </c>
      <c r="B28" s="30" t="s">
        <v>465</v>
      </c>
      <c r="C28" s="15"/>
      <c r="D28" s="33">
        <f>IF($C$4=3, $E$12, 0)</f>
        <v>0</v>
      </c>
      <c r="E28" s="33">
        <f t="shared" ref="E28:AJ28" si="6">IF($C$4=3, D30, 0)</f>
        <v>0</v>
      </c>
      <c r="F28" s="33">
        <f t="shared" si="6"/>
        <v>0</v>
      </c>
      <c r="G28" s="33">
        <f t="shared" si="6"/>
        <v>0</v>
      </c>
      <c r="H28" s="33">
        <f t="shared" si="6"/>
        <v>0</v>
      </c>
      <c r="I28" s="33">
        <f t="shared" si="6"/>
        <v>0</v>
      </c>
      <c r="J28" s="33">
        <f t="shared" si="6"/>
        <v>0</v>
      </c>
      <c r="K28" s="33">
        <f t="shared" si="6"/>
        <v>0</v>
      </c>
      <c r="L28" s="33">
        <f t="shared" si="6"/>
        <v>0</v>
      </c>
      <c r="M28" s="33">
        <f t="shared" si="6"/>
        <v>0</v>
      </c>
      <c r="N28" s="33">
        <f t="shared" si="6"/>
        <v>0</v>
      </c>
      <c r="O28" s="33">
        <f t="shared" si="6"/>
        <v>0</v>
      </c>
      <c r="P28" s="33">
        <f t="shared" si="6"/>
        <v>0</v>
      </c>
      <c r="Q28" s="33">
        <f t="shared" si="6"/>
        <v>0</v>
      </c>
      <c r="R28" s="33">
        <f t="shared" si="6"/>
        <v>0</v>
      </c>
      <c r="S28" s="33">
        <f t="shared" si="6"/>
        <v>0</v>
      </c>
      <c r="T28" s="33">
        <f t="shared" si="6"/>
        <v>0</v>
      </c>
      <c r="U28" s="33">
        <f t="shared" si="6"/>
        <v>0</v>
      </c>
      <c r="V28" s="33">
        <f t="shared" si="6"/>
        <v>0</v>
      </c>
      <c r="W28" s="33">
        <f t="shared" si="6"/>
        <v>0</v>
      </c>
      <c r="X28" s="33">
        <f t="shared" si="6"/>
        <v>0</v>
      </c>
      <c r="Y28" s="33">
        <f t="shared" si="6"/>
        <v>0</v>
      </c>
      <c r="Z28" s="33">
        <f t="shared" si="6"/>
        <v>0</v>
      </c>
      <c r="AA28" s="33">
        <f t="shared" si="6"/>
        <v>0</v>
      </c>
      <c r="AB28" s="33">
        <f t="shared" si="6"/>
        <v>0</v>
      </c>
      <c r="AC28" s="33">
        <f t="shared" si="6"/>
        <v>0</v>
      </c>
      <c r="AD28" s="33">
        <f t="shared" si="6"/>
        <v>0</v>
      </c>
      <c r="AE28" s="33">
        <f t="shared" si="6"/>
        <v>0</v>
      </c>
      <c r="AF28" s="33">
        <f t="shared" si="6"/>
        <v>0</v>
      </c>
      <c r="AG28" s="33">
        <f t="shared" si="6"/>
        <v>0</v>
      </c>
      <c r="AH28" s="33">
        <f t="shared" si="6"/>
        <v>0</v>
      </c>
      <c r="AI28" s="33">
        <f t="shared" si="6"/>
        <v>0</v>
      </c>
      <c r="AJ28" s="33">
        <f t="shared" si="6"/>
        <v>0</v>
      </c>
      <c r="AK28" s="33">
        <f t="shared" ref="AK28:BP28" si="7">IF($C$4=3, AJ30, 0)</f>
        <v>0</v>
      </c>
      <c r="AL28" s="33">
        <f t="shared" si="7"/>
        <v>0</v>
      </c>
      <c r="AM28" s="33">
        <f t="shared" si="7"/>
        <v>0</v>
      </c>
      <c r="AN28" s="33">
        <f t="shared" si="7"/>
        <v>0</v>
      </c>
      <c r="AO28" s="33">
        <f t="shared" si="7"/>
        <v>0</v>
      </c>
      <c r="AP28" s="33">
        <f t="shared" si="7"/>
        <v>0</v>
      </c>
      <c r="AQ28" s="33">
        <f t="shared" si="7"/>
        <v>0</v>
      </c>
      <c r="AR28" s="33">
        <f t="shared" si="7"/>
        <v>0</v>
      </c>
      <c r="AS28" s="33">
        <f t="shared" si="7"/>
        <v>0</v>
      </c>
      <c r="AT28" s="33">
        <f t="shared" si="7"/>
        <v>0</v>
      </c>
      <c r="AU28" s="33">
        <f t="shared" si="7"/>
        <v>0</v>
      </c>
      <c r="AV28" s="33">
        <f t="shared" si="7"/>
        <v>0</v>
      </c>
      <c r="AW28" s="33">
        <f t="shared" si="7"/>
        <v>0</v>
      </c>
      <c r="AX28" s="33">
        <f t="shared" si="7"/>
        <v>0</v>
      </c>
      <c r="AY28" s="33">
        <f t="shared" si="7"/>
        <v>0</v>
      </c>
      <c r="AZ28" s="33">
        <f t="shared" si="7"/>
        <v>0</v>
      </c>
      <c r="BA28" s="33">
        <f t="shared" si="7"/>
        <v>0</v>
      </c>
      <c r="BB28" s="33">
        <f t="shared" si="7"/>
        <v>0</v>
      </c>
      <c r="BC28" s="33">
        <f t="shared" si="7"/>
        <v>0</v>
      </c>
      <c r="BD28" s="33">
        <f t="shared" si="7"/>
        <v>0</v>
      </c>
      <c r="BE28" s="33">
        <f t="shared" si="7"/>
        <v>0</v>
      </c>
      <c r="BF28" s="33">
        <f t="shared" si="7"/>
        <v>0</v>
      </c>
      <c r="BG28" s="33">
        <f t="shared" si="7"/>
        <v>0</v>
      </c>
      <c r="BH28" s="33">
        <f t="shared" si="7"/>
        <v>0</v>
      </c>
      <c r="BI28" s="33">
        <f t="shared" si="7"/>
        <v>0</v>
      </c>
      <c r="BJ28" s="33">
        <f t="shared" si="7"/>
        <v>0</v>
      </c>
      <c r="BK28" s="33">
        <f t="shared" si="7"/>
        <v>0</v>
      </c>
      <c r="BL28" s="33">
        <f t="shared" si="7"/>
        <v>0</v>
      </c>
      <c r="BM28" s="33">
        <f t="shared" si="7"/>
        <v>0</v>
      </c>
      <c r="BN28" s="33">
        <f t="shared" si="7"/>
        <v>0</v>
      </c>
      <c r="BO28" s="33">
        <f t="shared" si="7"/>
        <v>0</v>
      </c>
      <c r="BP28" s="33">
        <f t="shared" si="7"/>
        <v>0</v>
      </c>
      <c r="BQ28" s="33">
        <f t="shared" ref="BQ28:CI28" si="8">IF($C$4=3, BP30, 0)</f>
        <v>0</v>
      </c>
      <c r="BR28" s="33">
        <f t="shared" si="8"/>
        <v>0</v>
      </c>
      <c r="BS28" s="33">
        <f t="shared" si="8"/>
        <v>0</v>
      </c>
      <c r="BT28" s="33">
        <f t="shared" si="8"/>
        <v>0</v>
      </c>
      <c r="BU28" s="33">
        <f t="shared" si="8"/>
        <v>0</v>
      </c>
      <c r="BV28" s="33">
        <f t="shared" si="8"/>
        <v>0</v>
      </c>
      <c r="BW28" s="33">
        <f t="shared" si="8"/>
        <v>0</v>
      </c>
      <c r="BX28" s="33">
        <f t="shared" si="8"/>
        <v>0</v>
      </c>
      <c r="BY28" s="33">
        <f t="shared" si="8"/>
        <v>0</v>
      </c>
      <c r="BZ28" s="33">
        <f t="shared" si="8"/>
        <v>0</v>
      </c>
      <c r="CA28" s="33">
        <f t="shared" si="8"/>
        <v>0</v>
      </c>
      <c r="CB28" s="33">
        <f t="shared" si="8"/>
        <v>0</v>
      </c>
      <c r="CC28" s="33">
        <f t="shared" si="8"/>
        <v>0</v>
      </c>
      <c r="CD28" s="33">
        <f t="shared" si="8"/>
        <v>0</v>
      </c>
      <c r="CE28" s="33">
        <f t="shared" si="8"/>
        <v>0</v>
      </c>
      <c r="CF28" s="33">
        <f t="shared" si="8"/>
        <v>0</v>
      </c>
      <c r="CG28" s="33">
        <f t="shared" si="8"/>
        <v>0</v>
      </c>
      <c r="CH28" s="33">
        <f t="shared" si="8"/>
        <v>0</v>
      </c>
      <c r="CI28" s="33">
        <f t="shared" si="8"/>
        <v>0</v>
      </c>
    </row>
    <row r="29" spans="1:87" ht="16">
      <c r="A29" s="6" t="s">
        <v>983</v>
      </c>
      <c r="B29" s="30" t="s">
        <v>465</v>
      </c>
      <c r="C29" s="15"/>
      <c r="D29" s="33">
        <f>IF($C$4=3, MIN('1_PANEL_CONTROL'!$C$99*'5_DETALLE_INGRESOS'!D36, '1_PANEL_CONTROL'!$C$101), 0)</f>
        <v>0</v>
      </c>
      <c r="E29" s="33">
        <f>IF($C$4=3, MIN('1_PANEL_CONTROL'!$C$99*'5_DETALLE_INGRESOS'!E36, '1_PANEL_CONTROL'!$C$101-D32), 0)</f>
        <v>0</v>
      </c>
      <c r="F29" s="33">
        <f>IF($C$4=3, MIN('1_PANEL_CONTROL'!$C$99*'5_DETALLE_INGRESOS'!F36, '1_PANEL_CONTROL'!$C$101-E32), 0)</f>
        <v>0</v>
      </c>
      <c r="G29" s="33">
        <f>IF($C$4=3, MIN('1_PANEL_CONTROL'!$C$99*'5_DETALLE_INGRESOS'!G36, '1_PANEL_CONTROL'!$C$101-F32), 0)</f>
        <v>0</v>
      </c>
      <c r="H29" s="33">
        <f>IF($C$4=3, MIN('1_PANEL_CONTROL'!$C$99*'5_DETALLE_INGRESOS'!H36, '1_PANEL_CONTROL'!$C$101-G32), 0)</f>
        <v>0</v>
      </c>
      <c r="I29" s="33">
        <f>IF($C$4=3, MIN('1_PANEL_CONTROL'!$C$99*'5_DETALLE_INGRESOS'!I36, '1_PANEL_CONTROL'!$C$101-H32), 0)</f>
        <v>0</v>
      </c>
      <c r="J29" s="33">
        <f>IF($C$4=3, MIN('1_PANEL_CONTROL'!$C$99*'5_DETALLE_INGRESOS'!J36, '1_PANEL_CONTROL'!$C$101-I32), 0)</f>
        <v>0</v>
      </c>
      <c r="K29" s="33">
        <f>IF($C$4=3, MIN('1_PANEL_CONTROL'!$C$99*'5_DETALLE_INGRESOS'!K36, '1_PANEL_CONTROL'!$C$101-J32), 0)</f>
        <v>0</v>
      </c>
      <c r="L29" s="33">
        <f>IF($C$4=3, MIN('1_PANEL_CONTROL'!$C$99*'5_DETALLE_INGRESOS'!L36, '1_PANEL_CONTROL'!$C$101-K32), 0)</f>
        <v>0</v>
      </c>
      <c r="M29" s="33">
        <f>IF($C$4=3, MIN('1_PANEL_CONTROL'!$C$99*'5_DETALLE_INGRESOS'!M36, '1_PANEL_CONTROL'!$C$101-L32), 0)</f>
        <v>0</v>
      </c>
      <c r="N29" s="33">
        <f>IF($C$4=3, MIN('1_PANEL_CONTROL'!$C$99*'5_DETALLE_INGRESOS'!N36, '1_PANEL_CONTROL'!$C$101-M32), 0)</f>
        <v>0</v>
      </c>
      <c r="O29" s="33">
        <f>IF($C$4=3, MIN('1_PANEL_CONTROL'!$C$99*'5_DETALLE_INGRESOS'!O36, '1_PANEL_CONTROL'!$C$101-N32), 0)</f>
        <v>0</v>
      </c>
      <c r="P29" s="33">
        <f>IF($C$4=3, MIN('1_PANEL_CONTROL'!$C$99*'5_DETALLE_INGRESOS'!P36, '1_PANEL_CONTROL'!$C$101-O32), 0)</f>
        <v>0</v>
      </c>
      <c r="Q29" s="33">
        <f>IF($C$4=3, MIN('1_PANEL_CONTROL'!$C$99*'5_DETALLE_INGRESOS'!Q36, '1_PANEL_CONTROL'!$C$101-P32), 0)</f>
        <v>0</v>
      </c>
      <c r="R29" s="33">
        <f>IF($C$4=3, MIN('1_PANEL_CONTROL'!$C$99*'5_DETALLE_INGRESOS'!R36, '1_PANEL_CONTROL'!$C$101-Q32), 0)</f>
        <v>0</v>
      </c>
      <c r="S29" s="33">
        <f>IF($C$4=3, MIN('1_PANEL_CONTROL'!$C$99*'5_DETALLE_INGRESOS'!S36, '1_PANEL_CONTROL'!$C$101-R32), 0)</f>
        <v>0</v>
      </c>
      <c r="T29" s="33">
        <f>IF($C$4=3, MIN('1_PANEL_CONTROL'!$C$99*'5_DETALLE_INGRESOS'!T36, '1_PANEL_CONTROL'!$C$101-S32), 0)</f>
        <v>0</v>
      </c>
      <c r="U29" s="33">
        <f>IF($C$4=3, MIN('1_PANEL_CONTROL'!$C$99*'5_DETALLE_INGRESOS'!U36, '1_PANEL_CONTROL'!$C$101-T32), 0)</f>
        <v>0</v>
      </c>
      <c r="V29" s="33">
        <f>IF($C$4=3, MIN('1_PANEL_CONTROL'!$C$99*'5_DETALLE_INGRESOS'!V36, '1_PANEL_CONTROL'!$C$101-U32), 0)</f>
        <v>0</v>
      </c>
      <c r="W29" s="33">
        <f>IF($C$4=3, MIN('1_PANEL_CONTROL'!$C$99*'5_DETALLE_INGRESOS'!W36, '1_PANEL_CONTROL'!$C$101-V32), 0)</f>
        <v>0</v>
      </c>
      <c r="X29" s="33">
        <f>IF($C$4=3, MIN('1_PANEL_CONTROL'!$C$99*'5_DETALLE_INGRESOS'!X36, '1_PANEL_CONTROL'!$C$101-W32), 0)</f>
        <v>0</v>
      </c>
      <c r="Y29" s="33">
        <f>IF($C$4=3, MIN('1_PANEL_CONTROL'!$C$99*'5_DETALLE_INGRESOS'!Y36, '1_PANEL_CONTROL'!$C$101-X32), 0)</f>
        <v>0</v>
      </c>
      <c r="Z29" s="33">
        <f>IF($C$4=3, MIN('1_PANEL_CONTROL'!$C$99*'5_DETALLE_INGRESOS'!Z36, '1_PANEL_CONTROL'!$C$101-Y32), 0)</f>
        <v>0</v>
      </c>
      <c r="AA29" s="33">
        <f>IF($C$4=3, MIN('1_PANEL_CONTROL'!$C$99*'5_DETALLE_INGRESOS'!AA36, '1_PANEL_CONTROL'!$C$101-Z32), 0)</f>
        <v>0</v>
      </c>
      <c r="AB29" s="33">
        <f>IF($C$4=3, MIN('1_PANEL_CONTROL'!$C$99*'5_DETALLE_INGRESOS'!AB36, '1_PANEL_CONTROL'!$C$101-AA32), 0)</f>
        <v>0</v>
      </c>
      <c r="AC29" s="33">
        <f>IF($C$4=3, MIN('1_PANEL_CONTROL'!$C$99*'5_DETALLE_INGRESOS'!AC36, '1_PANEL_CONTROL'!$C$101-AB32), 0)</f>
        <v>0</v>
      </c>
      <c r="AD29" s="33">
        <f>IF($C$4=3, MIN('1_PANEL_CONTROL'!$C$99*'5_DETALLE_INGRESOS'!AD36, '1_PANEL_CONTROL'!$C$101-AC32), 0)</f>
        <v>0</v>
      </c>
      <c r="AE29" s="33">
        <f>IF($C$4=3, MIN('1_PANEL_CONTROL'!$C$99*'5_DETALLE_INGRESOS'!AE36, '1_PANEL_CONTROL'!$C$101-AD32), 0)</f>
        <v>0</v>
      </c>
      <c r="AF29" s="33">
        <f>IF($C$4=3, MIN('1_PANEL_CONTROL'!$C$99*'5_DETALLE_INGRESOS'!AF36, '1_PANEL_CONTROL'!$C$101-AE32), 0)</f>
        <v>0</v>
      </c>
      <c r="AG29" s="33">
        <f>IF($C$4=3, MIN('1_PANEL_CONTROL'!$C$99*'5_DETALLE_INGRESOS'!AG36, '1_PANEL_CONTROL'!$C$101-AF32), 0)</f>
        <v>0</v>
      </c>
      <c r="AH29" s="33">
        <f>IF($C$4=3, MIN('1_PANEL_CONTROL'!$C$99*'5_DETALLE_INGRESOS'!AH36, '1_PANEL_CONTROL'!$C$101-AG32), 0)</f>
        <v>0</v>
      </c>
      <c r="AI29" s="33">
        <f>IF($C$4=3, MIN('1_PANEL_CONTROL'!$C$99*'5_DETALLE_INGRESOS'!AI36, '1_PANEL_CONTROL'!$C$101-AH32), 0)</f>
        <v>0</v>
      </c>
      <c r="AJ29" s="33">
        <f>IF($C$4=3, MIN('1_PANEL_CONTROL'!$C$99*'5_DETALLE_INGRESOS'!AJ36, '1_PANEL_CONTROL'!$C$101-AI32), 0)</f>
        <v>0</v>
      </c>
      <c r="AK29" s="33">
        <f>IF($C$4=3, MIN('1_PANEL_CONTROL'!$C$99*'5_DETALLE_INGRESOS'!AK36, '1_PANEL_CONTROL'!$C$101-AJ32), 0)</f>
        <v>0</v>
      </c>
      <c r="AL29" s="33">
        <f>IF($C$4=3, MIN('1_PANEL_CONTROL'!$C$99*'5_DETALLE_INGRESOS'!AL36, '1_PANEL_CONTROL'!$C$101-AK32), 0)</f>
        <v>0</v>
      </c>
      <c r="AM29" s="33">
        <f>IF($C$4=3, MIN('1_PANEL_CONTROL'!$C$99*'5_DETALLE_INGRESOS'!AM36, '1_PANEL_CONTROL'!$C$101-AL32), 0)</f>
        <v>0</v>
      </c>
      <c r="AN29" s="33">
        <f>IF($C$4=3, MIN('1_PANEL_CONTROL'!$C$99*'5_DETALLE_INGRESOS'!AN36, '1_PANEL_CONTROL'!$C$101-AM32), 0)</f>
        <v>0</v>
      </c>
      <c r="AO29" s="33">
        <f>IF($C$4=3, MIN('1_PANEL_CONTROL'!$C$99*'5_DETALLE_INGRESOS'!AO36, '1_PANEL_CONTROL'!$C$101-AN32), 0)</f>
        <v>0</v>
      </c>
      <c r="AP29" s="33">
        <f>IF($C$4=3, MIN('1_PANEL_CONTROL'!$C$99*'5_DETALLE_INGRESOS'!AP36, '1_PANEL_CONTROL'!$C$101-AO32), 0)</f>
        <v>0</v>
      </c>
      <c r="AQ29" s="33">
        <f>IF($C$4=3, MIN('1_PANEL_CONTROL'!$C$99*'5_DETALLE_INGRESOS'!AQ36, '1_PANEL_CONTROL'!$C$101-AP32), 0)</f>
        <v>0</v>
      </c>
      <c r="AR29" s="33">
        <f>IF($C$4=3, MIN('1_PANEL_CONTROL'!$C$99*'5_DETALLE_INGRESOS'!AR36, '1_PANEL_CONTROL'!$C$101-AQ32), 0)</f>
        <v>0</v>
      </c>
      <c r="AS29" s="33">
        <f>IF($C$4=3, MIN('1_PANEL_CONTROL'!$C$99*'5_DETALLE_INGRESOS'!AS36, '1_PANEL_CONTROL'!$C$101-AR32), 0)</f>
        <v>0</v>
      </c>
      <c r="AT29" s="33">
        <f>IF($C$4=3, MIN('1_PANEL_CONTROL'!$C$99*'5_DETALLE_INGRESOS'!AT36, '1_PANEL_CONTROL'!$C$101-AS32), 0)</f>
        <v>0</v>
      </c>
      <c r="AU29" s="33">
        <f>IF($C$4=3, MIN('1_PANEL_CONTROL'!$C$99*'5_DETALLE_INGRESOS'!AU36, '1_PANEL_CONTROL'!$C$101-AT32), 0)</f>
        <v>0</v>
      </c>
      <c r="AV29" s="33">
        <f>IF($C$4=3, MIN('1_PANEL_CONTROL'!$C$99*'5_DETALLE_INGRESOS'!AV36, '1_PANEL_CONTROL'!$C$101-AU32), 0)</f>
        <v>0</v>
      </c>
      <c r="AW29" s="33">
        <f>IF($C$4=3, MIN('1_PANEL_CONTROL'!$C$99*'5_DETALLE_INGRESOS'!AW36, '1_PANEL_CONTROL'!$C$101-AV32), 0)</f>
        <v>0</v>
      </c>
      <c r="AX29" s="33">
        <f>IF($C$4=3, MIN('1_PANEL_CONTROL'!$C$99*'5_DETALLE_INGRESOS'!AX36, '1_PANEL_CONTROL'!$C$101-AW32), 0)</f>
        <v>0</v>
      </c>
      <c r="AY29" s="33">
        <f>IF($C$4=3, MIN('1_PANEL_CONTROL'!$C$99*'5_DETALLE_INGRESOS'!AY36, '1_PANEL_CONTROL'!$C$101-AX32), 0)</f>
        <v>0</v>
      </c>
      <c r="AZ29" s="33">
        <f>IF($C$4=3, MIN('1_PANEL_CONTROL'!$C$99*'5_DETALLE_INGRESOS'!AZ36, '1_PANEL_CONTROL'!$C$101-AY32), 0)</f>
        <v>0</v>
      </c>
      <c r="BA29" s="33">
        <f>IF($C$4=3, MIN('1_PANEL_CONTROL'!$C$99*'5_DETALLE_INGRESOS'!BA36, '1_PANEL_CONTROL'!$C$101-AZ32), 0)</f>
        <v>0</v>
      </c>
      <c r="BB29" s="33">
        <f>IF($C$4=3, MIN('1_PANEL_CONTROL'!$C$99*'5_DETALLE_INGRESOS'!BB36, '1_PANEL_CONTROL'!$C$101-BA32), 0)</f>
        <v>0</v>
      </c>
      <c r="BC29" s="33">
        <f>IF($C$4=3, MIN('1_PANEL_CONTROL'!$C$99*'5_DETALLE_INGRESOS'!BC36, '1_PANEL_CONTROL'!$C$101-BB32), 0)</f>
        <v>0</v>
      </c>
      <c r="BD29" s="33">
        <f>IF($C$4=3, MIN('1_PANEL_CONTROL'!$C$99*'5_DETALLE_INGRESOS'!BD36, '1_PANEL_CONTROL'!$C$101-BC32), 0)</f>
        <v>0</v>
      </c>
      <c r="BE29" s="33">
        <f>IF($C$4=3, MIN('1_PANEL_CONTROL'!$C$99*'5_DETALLE_INGRESOS'!BE36, '1_PANEL_CONTROL'!$C$101-BD32), 0)</f>
        <v>0</v>
      </c>
      <c r="BF29" s="33">
        <f>IF($C$4=3, MIN('1_PANEL_CONTROL'!$C$99*'5_DETALLE_INGRESOS'!BF36, '1_PANEL_CONTROL'!$C$101-BE32), 0)</f>
        <v>0</v>
      </c>
      <c r="BG29" s="33">
        <f>IF($C$4=3, MIN('1_PANEL_CONTROL'!$C$99*'5_DETALLE_INGRESOS'!BG36, '1_PANEL_CONTROL'!$C$101-BF32), 0)</f>
        <v>0</v>
      </c>
      <c r="BH29" s="33">
        <f>IF($C$4=3, MIN('1_PANEL_CONTROL'!$C$99*'5_DETALLE_INGRESOS'!BH36, '1_PANEL_CONTROL'!$C$101-BG32), 0)</f>
        <v>0</v>
      </c>
      <c r="BI29" s="33">
        <f>IF($C$4=3, MIN('1_PANEL_CONTROL'!$C$99*'5_DETALLE_INGRESOS'!BI36, '1_PANEL_CONTROL'!$C$101-BH32), 0)</f>
        <v>0</v>
      </c>
      <c r="BJ29" s="33">
        <f>IF($C$4=3, MIN('1_PANEL_CONTROL'!$C$99*'5_DETALLE_INGRESOS'!BJ36, '1_PANEL_CONTROL'!$C$101-BI32), 0)</f>
        <v>0</v>
      </c>
      <c r="BK29" s="33">
        <f>IF($C$4=3, MIN('1_PANEL_CONTROL'!$C$99*'5_DETALLE_INGRESOS'!BK36, '1_PANEL_CONTROL'!$C$101-BJ32), 0)</f>
        <v>0</v>
      </c>
      <c r="BL29" s="33">
        <f>IF($C$4=3, MIN('1_PANEL_CONTROL'!$C$99*'5_DETALLE_INGRESOS'!BL36, '1_PANEL_CONTROL'!$C$101-BK32), 0)</f>
        <v>0</v>
      </c>
      <c r="BM29" s="33">
        <f>IF($C$4=3, MIN('1_PANEL_CONTROL'!$C$99*'5_DETALLE_INGRESOS'!BM36, '1_PANEL_CONTROL'!$C$101-BL32), 0)</f>
        <v>0</v>
      </c>
      <c r="BN29" s="33">
        <f>IF($C$4=3, MIN('1_PANEL_CONTROL'!$C$99*'5_DETALLE_INGRESOS'!BN36, '1_PANEL_CONTROL'!$C$101-BM32), 0)</f>
        <v>0</v>
      </c>
      <c r="BO29" s="33">
        <f>IF($C$4=3, MIN('1_PANEL_CONTROL'!$C$99*'5_DETALLE_INGRESOS'!BO36, '1_PANEL_CONTROL'!$C$101-BN32), 0)</f>
        <v>0</v>
      </c>
      <c r="BP29" s="33">
        <f>IF($C$4=3, MIN('1_PANEL_CONTROL'!$C$99*'5_DETALLE_INGRESOS'!BP36, '1_PANEL_CONTROL'!$C$101-BO32), 0)</f>
        <v>0</v>
      </c>
      <c r="BQ29" s="33">
        <f>IF($C$4=3, MIN('1_PANEL_CONTROL'!$C$99*'5_DETALLE_INGRESOS'!BQ36, '1_PANEL_CONTROL'!$C$101-BP32), 0)</f>
        <v>0</v>
      </c>
      <c r="BR29" s="33">
        <f>IF($C$4=3, MIN('1_PANEL_CONTROL'!$C$99*'5_DETALLE_INGRESOS'!BR36, '1_PANEL_CONTROL'!$C$101-BQ32), 0)</f>
        <v>0</v>
      </c>
      <c r="BS29" s="33">
        <f>IF($C$4=3, MIN('1_PANEL_CONTROL'!$C$99*'5_DETALLE_INGRESOS'!BS36, '1_PANEL_CONTROL'!$C$101-BR32), 0)</f>
        <v>0</v>
      </c>
      <c r="BT29" s="33">
        <f>IF($C$4=3, MIN('1_PANEL_CONTROL'!$C$99*'5_DETALLE_INGRESOS'!BT36, '1_PANEL_CONTROL'!$C$101-BS32), 0)</f>
        <v>0</v>
      </c>
      <c r="BU29" s="33">
        <f>IF($C$4=3, MIN('1_PANEL_CONTROL'!$C$99*'5_DETALLE_INGRESOS'!BU36, '1_PANEL_CONTROL'!$C$101-BT32), 0)</f>
        <v>0</v>
      </c>
      <c r="BV29" s="33">
        <f>IF($C$4=3, MIN('1_PANEL_CONTROL'!$C$99*'5_DETALLE_INGRESOS'!BV36, '1_PANEL_CONTROL'!$C$101-BU32), 0)</f>
        <v>0</v>
      </c>
      <c r="BW29" s="33">
        <f>IF($C$4=3, MIN('1_PANEL_CONTROL'!$C$99*'5_DETALLE_INGRESOS'!BW36, '1_PANEL_CONTROL'!$C$101-BV32), 0)</f>
        <v>0</v>
      </c>
      <c r="BX29" s="33">
        <f>IF($C$4=3, MIN('1_PANEL_CONTROL'!$C$99*'5_DETALLE_INGRESOS'!BX36, '1_PANEL_CONTROL'!$C$101-BW32), 0)</f>
        <v>0</v>
      </c>
      <c r="BY29" s="33">
        <f>IF($C$4=3, MIN('1_PANEL_CONTROL'!$C$99*'5_DETALLE_INGRESOS'!BY36, '1_PANEL_CONTROL'!$C$101-BX32), 0)</f>
        <v>0</v>
      </c>
      <c r="BZ29" s="33">
        <f>IF($C$4=3, MIN('1_PANEL_CONTROL'!$C$99*'5_DETALLE_INGRESOS'!BZ36, '1_PANEL_CONTROL'!$C$101-BY32), 0)</f>
        <v>0</v>
      </c>
      <c r="CA29" s="33">
        <f>IF($C$4=3, MIN('1_PANEL_CONTROL'!$C$99*'5_DETALLE_INGRESOS'!CA36, '1_PANEL_CONTROL'!$C$101-BZ32), 0)</f>
        <v>0</v>
      </c>
      <c r="CB29" s="33">
        <f>IF($C$4=3, MIN('1_PANEL_CONTROL'!$C$99*'5_DETALLE_INGRESOS'!CB36, '1_PANEL_CONTROL'!$C$101-CA32), 0)</f>
        <v>0</v>
      </c>
      <c r="CC29" s="33">
        <f>IF($C$4=3, MIN('1_PANEL_CONTROL'!$C$99*'5_DETALLE_INGRESOS'!CC36, '1_PANEL_CONTROL'!$C$101-CB32), 0)</f>
        <v>0</v>
      </c>
      <c r="CD29" s="33">
        <f>IF($C$4=3, MIN('1_PANEL_CONTROL'!$C$99*'5_DETALLE_INGRESOS'!CD36, '1_PANEL_CONTROL'!$C$101-CC32), 0)</f>
        <v>0</v>
      </c>
      <c r="CE29" s="33">
        <f>IF($C$4=3, MIN('1_PANEL_CONTROL'!$C$99*'5_DETALLE_INGRESOS'!CE36, '1_PANEL_CONTROL'!$C$101-CD32), 0)</f>
        <v>0</v>
      </c>
      <c r="CF29" s="33">
        <f>IF($C$4=3, MIN('1_PANEL_CONTROL'!$C$99*'5_DETALLE_INGRESOS'!CF36, '1_PANEL_CONTROL'!$C$101-CE32), 0)</f>
        <v>0</v>
      </c>
      <c r="CG29" s="33">
        <f>IF($C$4=3, MIN('1_PANEL_CONTROL'!$C$99*'5_DETALLE_INGRESOS'!CG36, '1_PANEL_CONTROL'!$C$101-CF32), 0)</f>
        <v>0</v>
      </c>
      <c r="CH29" s="33">
        <f>IF($C$4=3, MIN('1_PANEL_CONTROL'!$C$99*'5_DETALLE_INGRESOS'!CH36, '1_PANEL_CONTROL'!$C$101-CG32), 0)</f>
        <v>0</v>
      </c>
      <c r="CI29" s="33">
        <f>IF($C$4=3, MIN('1_PANEL_CONTROL'!$C$99*'5_DETALLE_INGRESOS'!CI36, '1_PANEL_CONTROL'!$C$101-CH32), 0)</f>
        <v>0</v>
      </c>
    </row>
    <row r="30" spans="1:87" ht="16">
      <c r="A30" s="6" t="s">
        <v>984</v>
      </c>
      <c r="B30" s="30" t="s">
        <v>465</v>
      </c>
      <c r="C30" s="15"/>
      <c r="D30" s="33">
        <f t="shared" ref="D30:AI30" si="9">IF($C$4=3, D28-D31, 0)</f>
        <v>0</v>
      </c>
      <c r="E30" s="33">
        <f t="shared" si="9"/>
        <v>0</v>
      </c>
      <c r="F30" s="33">
        <f t="shared" si="9"/>
        <v>0</v>
      </c>
      <c r="G30" s="33">
        <f t="shared" si="9"/>
        <v>0</v>
      </c>
      <c r="H30" s="33">
        <f t="shared" si="9"/>
        <v>0</v>
      </c>
      <c r="I30" s="33">
        <f t="shared" si="9"/>
        <v>0</v>
      </c>
      <c r="J30" s="33">
        <f t="shared" si="9"/>
        <v>0</v>
      </c>
      <c r="K30" s="33">
        <f t="shared" si="9"/>
        <v>0</v>
      </c>
      <c r="L30" s="33">
        <f t="shared" si="9"/>
        <v>0</v>
      </c>
      <c r="M30" s="33">
        <f t="shared" si="9"/>
        <v>0</v>
      </c>
      <c r="N30" s="33">
        <f t="shared" si="9"/>
        <v>0</v>
      </c>
      <c r="O30" s="33">
        <f t="shared" si="9"/>
        <v>0</v>
      </c>
      <c r="P30" s="33">
        <f t="shared" si="9"/>
        <v>0</v>
      </c>
      <c r="Q30" s="33">
        <f t="shared" si="9"/>
        <v>0</v>
      </c>
      <c r="R30" s="33">
        <f t="shared" si="9"/>
        <v>0</v>
      </c>
      <c r="S30" s="33">
        <f t="shared" si="9"/>
        <v>0</v>
      </c>
      <c r="T30" s="33">
        <f t="shared" si="9"/>
        <v>0</v>
      </c>
      <c r="U30" s="33">
        <f t="shared" si="9"/>
        <v>0</v>
      </c>
      <c r="V30" s="33">
        <f t="shared" si="9"/>
        <v>0</v>
      </c>
      <c r="W30" s="33">
        <f t="shared" si="9"/>
        <v>0</v>
      </c>
      <c r="X30" s="33">
        <f t="shared" si="9"/>
        <v>0</v>
      </c>
      <c r="Y30" s="33">
        <f t="shared" si="9"/>
        <v>0</v>
      </c>
      <c r="Z30" s="33">
        <f t="shared" si="9"/>
        <v>0</v>
      </c>
      <c r="AA30" s="33">
        <f t="shared" si="9"/>
        <v>0</v>
      </c>
      <c r="AB30" s="33">
        <f t="shared" si="9"/>
        <v>0</v>
      </c>
      <c r="AC30" s="33">
        <f t="shared" si="9"/>
        <v>0</v>
      </c>
      <c r="AD30" s="33">
        <f t="shared" si="9"/>
        <v>0</v>
      </c>
      <c r="AE30" s="33">
        <f t="shared" si="9"/>
        <v>0</v>
      </c>
      <c r="AF30" s="33">
        <f t="shared" si="9"/>
        <v>0</v>
      </c>
      <c r="AG30" s="33">
        <f t="shared" si="9"/>
        <v>0</v>
      </c>
      <c r="AH30" s="33">
        <f t="shared" si="9"/>
        <v>0</v>
      </c>
      <c r="AI30" s="33">
        <f t="shared" si="9"/>
        <v>0</v>
      </c>
      <c r="AJ30" s="33">
        <f t="shared" ref="AJ30:BO30" si="10">IF($C$4=3, AJ28-AJ31, 0)</f>
        <v>0</v>
      </c>
      <c r="AK30" s="33">
        <f t="shared" si="10"/>
        <v>0</v>
      </c>
      <c r="AL30" s="33">
        <f t="shared" si="10"/>
        <v>0</v>
      </c>
      <c r="AM30" s="33">
        <f t="shared" si="10"/>
        <v>0</v>
      </c>
      <c r="AN30" s="33">
        <f t="shared" si="10"/>
        <v>0</v>
      </c>
      <c r="AO30" s="33">
        <f t="shared" si="10"/>
        <v>0</v>
      </c>
      <c r="AP30" s="33">
        <f t="shared" si="10"/>
        <v>0</v>
      </c>
      <c r="AQ30" s="33">
        <f t="shared" si="10"/>
        <v>0</v>
      </c>
      <c r="AR30" s="33">
        <f t="shared" si="10"/>
        <v>0</v>
      </c>
      <c r="AS30" s="33">
        <f t="shared" si="10"/>
        <v>0</v>
      </c>
      <c r="AT30" s="33">
        <f t="shared" si="10"/>
        <v>0</v>
      </c>
      <c r="AU30" s="33">
        <f t="shared" si="10"/>
        <v>0</v>
      </c>
      <c r="AV30" s="33">
        <f t="shared" si="10"/>
        <v>0</v>
      </c>
      <c r="AW30" s="33">
        <f t="shared" si="10"/>
        <v>0</v>
      </c>
      <c r="AX30" s="33">
        <f t="shared" si="10"/>
        <v>0</v>
      </c>
      <c r="AY30" s="33">
        <f t="shared" si="10"/>
        <v>0</v>
      </c>
      <c r="AZ30" s="33">
        <f t="shared" si="10"/>
        <v>0</v>
      </c>
      <c r="BA30" s="33">
        <f t="shared" si="10"/>
        <v>0</v>
      </c>
      <c r="BB30" s="33">
        <f t="shared" si="10"/>
        <v>0</v>
      </c>
      <c r="BC30" s="33">
        <f t="shared" si="10"/>
        <v>0</v>
      </c>
      <c r="BD30" s="33">
        <f t="shared" si="10"/>
        <v>0</v>
      </c>
      <c r="BE30" s="33">
        <f t="shared" si="10"/>
        <v>0</v>
      </c>
      <c r="BF30" s="33">
        <f t="shared" si="10"/>
        <v>0</v>
      </c>
      <c r="BG30" s="33">
        <f t="shared" si="10"/>
        <v>0</v>
      </c>
      <c r="BH30" s="33">
        <f t="shared" si="10"/>
        <v>0</v>
      </c>
      <c r="BI30" s="33">
        <f t="shared" si="10"/>
        <v>0</v>
      </c>
      <c r="BJ30" s="33">
        <f t="shared" si="10"/>
        <v>0</v>
      </c>
      <c r="BK30" s="33">
        <f t="shared" si="10"/>
        <v>0</v>
      </c>
      <c r="BL30" s="33">
        <f t="shared" si="10"/>
        <v>0</v>
      </c>
      <c r="BM30" s="33">
        <f t="shared" si="10"/>
        <v>0</v>
      </c>
      <c r="BN30" s="33">
        <f t="shared" si="10"/>
        <v>0</v>
      </c>
      <c r="BO30" s="33">
        <f t="shared" si="10"/>
        <v>0</v>
      </c>
      <c r="BP30" s="33">
        <f t="shared" ref="BP30:CU30" si="11">IF($C$4=3, BP28-BP31, 0)</f>
        <v>0</v>
      </c>
      <c r="BQ30" s="33">
        <f t="shared" si="11"/>
        <v>0</v>
      </c>
      <c r="BR30" s="33">
        <f t="shared" si="11"/>
        <v>0</v>
      </c>
      <c r="BS30" s="33">
        <f t="shared" si="11"/>
        <v>0</v>
      </c>
      <c r="BT30" s="33">
        <f t="shared" si="11"/>
        <v>0</v>
      </c>
      <c r="BU30" s="33">
        <f t="shared" si="11"/>
        <v>0</v>
      </c>
      <c r="BV30" s="33">
        <f t="shared" si="11"/>
        <v>0</v>
      </c>
      <c r="BW30" s="33">
        <f t="shared" si="11"/>
        <v>0</v>
      </c>
      <c r="BX30" s="33">
        <f t="shared" si="11"/>
        <v>0</v>
      </c>
      <c r="BY30" s="33">
        <f t="shared" si="11"/>
        <v>0</v>
      </c>
      <c r="BZ30" s="33">
        <f t="shared" si="11"/>
        <v>0</v>
      </c>
      <c r="CA30" s="33">
        <f t="shared" si="11"/>
        <v>0</v>
      </c>
      <c r="CB30" s="33">
        <f t="shared" si="11"/>
        <v>0</v>
      </c>
      <c r="CC30" s="33">
        <f t="shared" si="11"/>
        <v>0</v>
      </c>
      <c r="CD30" s="33">
        <f t="shared" si="11"/>
        <v>0</v>
      </c>
      <c r="CE30" s="33">
        <f t="shared" si="11"/>
        <v>0</v>
      </c>
      <c r="CF30" s="33">
        <f t="shared" si="11"/>
        <v>0</v>
      </c>
      <c r="CG30" s="33">
        <f t="shared" si="11"/>
        <v>0</v>
      </c>
      <c r="CH30" s="33">
        <f t="shared" si="11"/>
        <v>0</v>
      </c>
      <c r="CI30" s="33">
        <f t="shared" si="11"/>
        <v>0</v>
      </c>
    </row>
    <row r="31" spans="1:87" ht="16">
      <c r="A31" s="6" t="s">
        <v>985</v>
      </c>
      <c r="B31" s="30" t="s">
        <v>465</v>
      </c>
      <c r="C31" s="15"/>
      <c r="D31" s="33">
        <f>D29*IF('1_PANEL_CONTROL'!$C$101&gt;0, $E$12/MAX(1, '1_PANEL_CONTROL'!$C$101), 0)</f>
        <v>0</v>
      </c>
      <c r="E31" s="33">
        <f>E29*IF('1_PANEL_CONTROL'!$C$101&gt;0, $E$12/MAX(1, '1_PANEL_CONTROL'!$C$101), 0)</f>
        <v>0</v>
      </c>
      <c r="F31" s="33">
        <f>F29*IF('1_PANEL_CONTROL'!$C$101&gt;0, $E$12/MAX(1, '1_PANEL_CONTROL'!$C$101), 0)</f>
        <v>0</v>
      </c>
      <c r="G31" s="33">
        <f>G29*IF('1_PANEL_CONTROL'!$C$101&gt;0, $E$12/MAX(1, '1_PANEL_CONTROL'!$C$101), 0)</f>
        <v>0</v>
      </c>
      <c r="H31" s="33">
        <f>H29*IF('1_PANEL_CONTROL'!$C$101&gt;0, $E$12/MAX(1, '1_PANEL_CONTROL'!$C$101), 0)</f>
        <v>0</v>
      </c>
      <c r="I31" s="33">
        <f>I29*IF('1_PANEL_CONTROL'!$C$101&gt;0, $E$12/MAX(1, '1_PANEL_CONTROL'!$C$101), 0)</f>
        <v>0</v>
      </c>
      <c r="J31" s="33">
        <f>J29*IF('1_PANEL_CONTROL'!$C$101&gt;0, $E$12/MAX(1, '1_PANEL_CONTROL'!$C$101), 0)</f>
        <v>0</v>
      </c>
      <c r="K31" s="33">
        <f>K29*IF('1_PANEL_CONTROL'!$C$101&gt;0, $E$12/MAX(1, '1_PANEL_CONTROL'!$C$101), 0)</f>
        <v>0</v>
      </c>
      <c r="L31" s="33">
        <f>L29*IF('1_PANEL_CONTROL'!$C$101&gt;0, $E$12/MAX(1, '1_PANEL_CONTROL'!$C$101), 0)</f>
        <v>0</v>
      </c>
      <c r="M31" s="33">
        <f>M29*IF('1_PANEL_CONTROL'!$C$101&gt;0, $E$12/MAX(1, '1_PANEL_CONTROL'!$C$101), 0)</f>
        <v>0</v>
      </c>
      <c r="N31" s="33">
        <f>N29*IF('1_PANEL_CONTROL'!$C$101&gt;0, $E$12/MAX(1, '1_PANEL_CONTROL'!$C$101), 0)</f>
        <v>0</v>
      </c>
      <c r="O31" s="33">
        <f>O29*IF('1_PANEL_CONTROL'!$C$101&gt;0, $E$12/MAX(1, '1_PANEL_CONTROL'!$C$101), 0)</f>
        <v>0</v>
      </c>
      <c r="P31" s="33">
        <f>P29*IF('1_PANEL_CONTROL'!$C$101&gt;0, $E$12/MAX(1, '1_PANEL_CONTROL'!$C$101), 0)</f>
        <v>0</v>
      </c>
      <c r="Q31" s="33">
        <f>Q29*IF('1_PANEL_CONTROL'!$C$101&gt;0, $E$12/MAX(1, '1_PANEL_CONTROL'!$C$101), 0)</f>
        <v>0</v>
      </c>
      <c r="R31" s="33">
        <f>R29*IF('1_PANEL_CONTROL'!$C$101&gt;0, $E$12/MAX(1, '1_PANEL_CONTROL'!$C$101), 0)</f>
        <v>0</v>
      </c>
      <c r="S31" s="33">
        <f>S29*IF('1_PANEL_CONTROL'!$C$101&gt;0, $E$12/MAX(1, '1_PANEL_CONTROL'!$C$101), 0)</f>
        <v>0</v>
      </c>
      <c r="T31" s="33">
        <f>T29*IF('1_PANEL_CONTROL'!$C$101&gt;0, $E$12/MAX(1, '1_PANEL_CONTROL'!$C$101), 0)</f>
        <v>0</v>
      </c>
      <c r="U31" s="33">
        <f>U29*IF('1_PANEL_CONTROL'!$C$101&gt;0, $E$12/MAX(1, '1_PANEL_CONTROL'!$C$101), 0)</f>
        <v>0</v>
      </c>
      <c r="V31" s="33">
        <f>V29*IF('1_PANEL_CONTROL'!$C$101&gt;0, $E$12/MAX(1, '1_PANEL_CONTROL'!$C$101), 0)</f>
        <v>0</v>
      </c>
      <c r="W31" s="33">
        <f>W29*IF('1_PANEL_CONTROL'!$C$101&gt;0, $E$12/MAX(1, '1_PANEL_CONTROL'!$C$101), 0)</f>
        <v>0</v>
      </c>
      <c r="X31" s="33">
        <f>X29*IF('1_PANEL_CONTROL'!$C$101&gt;0, $E$12/MAX(1, '1_PANEL_CONTROL'!$C$101), 0)</f>
        <v>0</v>
      </c>
      <c r="Y31" s="33">
        <f>Y29*IF('1_PANEL_CONTROL'!$C$101&gt;0, $E$12/MAX(1, '1_PANEL_CONTROL'!$C$101), 0)</f>
        <v>0</v>
      </c>
      <c r="Z31" s="33">
        <f>Z29*IF('1_PANEL_CONTROL'!$C$101&gt;0, $E$12/MAX(1, '1_PANEL_CONTROL'!$C$101), 0)</f>
        <v>0</v>
      </c>
      <c r="AA31" s="33">
        <f>AA29*IF('1_PANEL_CONTROL'!$C$101&gt;0, $E$12/MAX(1, '1_PANEL_CONTROL'!$C$101), 0)</f>
        <v>0</v>
      </c>
      <c r="AB31" s="33">
        <f>AB29*IF('1_PANEL_CONTROL'!$C$101&gt;0, $E$12/MAX(1, '1_PANEL_CONTROL'!$C$101), 0)</f>
        <v>0</v>
      </c>
      <c r="AC31" s="33">
        <f>AC29*IF('1_PANEL_CONTROL'!$C$101&gt;0, $E$12/MAX(1, '1_PANEL_CONTROL'!$C$101), 0)</f>
        <v>0</v>
      </c>
      <c r="AD31" s="33">
        <f>AD29*IF('1_PANEL_CONTROL'!$C$101&gt;0, $E$12/MAX(1, '1_PANEL_CONTROL'!$C$101), 0)</f>
        <v>0</v>
      </c>
      <c r="AE31" s="33">
        <f>AE29*IF('1_PANEL_CONTROL'!$C$101&gt;0, $E$12/MAX(1, '1_PANEL_CONTROL'!$C$101), 0)</f>
        <v>0</v>
      </c>
      <c r="AF31" s="33">
        <f>AF29*IF('1_PANEL_CONTROL'!$C$101&gt;0, $E$12/MAX(1, '1_PANEL_CONTROL'!$C$101), 0)</f>
        <v>0</v>
      </c>
      <c r="AG31" s="33">
        <f>AG29*IF('1_PANEL_CONTROL'!$C$101&gt;0, $E$12/MAX(1, '1_PANEL_CONTROL'!$C$101), 0)</f>
        <v>0</v>
      </c>
      <c r="AH31" s="33">
        <f>AH29*IF('1_PANEL_CONTROL'!$C$101&gt;0, $E$12/MAX(1, '1_PANEL_CONTROL'!$C$101), 0)</f>
        <v>0</v>
      </c>
      <c r="AI31" s="33">
        <f>AI29*IF('1_PANEL_CONTROL'!$C$101&gt;0, $E$12/MAX(1, '1_PANEL_CONTROL'!$C$101), 0)</f>
        <v>0</v>
      </c>
      <c r="AJ31" s="33">
        <f>AJ29*IF('1_PANEL_CONTROL'!$C$101&gt;0, $E$12/MAX(1, '1_PANEL_CONTROL'!$C$101), 0)</f>
        <v>0</v>
      </c>
      <c r="AK31" s="33">
        <f>AK29*IF('1_PANEL_CONTROL'!$C$101&gt;0, $E$12/MAX(1, '1_PANEL_CONTROL'!$C$101), 0)</f>
        <v>0</v>
      </c>
      <c r="AL31" s="33">
        <f>AL29*IF('1_PANEL_CONTROL'!$C$101&gt;0, $E$12/MAX(1, '1_PANEL_CONTROL'!$C$101), 0)</f>
        <v>0</v>
      </c>
      <c r="AM31" s="33">
        <f>AM29*IF('1_PANEL_CONTROL'!$C$101&gt;0, $E$12/MAX(1, '1_PANEL_CONTROL'!$C$101), 0)</f>
        <v>0</v>
      </c>
      <c r="AN31" s="33">
        <f>AN29*IF('1_PANEL_CONTROL'!$C$101&gt;0, $E$12/MAX(1, '1_PANEL_CONTROL'!$C$101), 0)</f>
        <v>0</v>
      </c>
      <c r="AO31" s="33">
        <f>AO29*IF('1_PANEL_CONTROL'!$C$101&gt;0, $E$12/MAX(1, '1_PANEL_CONTROL'!$C$101), 0)</f>
        <v>0</v>
      </c>
      <c r="AP31" s="33">
        <f>AP29*IF('1_PANEL_CONTROL'!$C$101&gt;0, $E$12/MAX(1, '1_PANEL_CONTROL'!$C$101), 0)</f>
        <v>0</v>
      </c>
      <c r="AQ31" s="33">
        <f>AQ29*IF('1_PANEL_CONTROL'!$C$101&gt;0, $E$12/MAX(1, '1_PANEL_CONTROL'!$C$101), 0)</f>
        <v>0</v>
      </c>
      <c r="AR31" s="33">
        <f>AR29*IF('1_PANEL_CONTROL'!$C$101&gt;0, $E$12/MAX(1, '1_PANEL_CONTROL'!$C$101), 0)</f>
        <v>0</v>
      </c>
      <c r="AS31" s="33">
        <f>AS29*IF('1_PANEL_CONTROL'!$C$101&gt;0, $E$12/MAX(1, '1_PANEL_CONTROL'!$C$101), 0)</f>
        <v>0</v>
      </c>
      <c r="AT31" s="33">
        <f>AT29*IF('1_PANEL_CONTROL'!$C$101&gt;0, $E$12/MAX(1, '1_PANEL_CONTROL'!$C$101), 0)</f>
        <v>0</v>
      </c>
      <c r="AU31" s="33">
        <f>AU29*IF('1_PANEL_CONTROL'!$C$101&gt;0, $E$12/MAX(1, '1_PANEL_CONTROL'!$C$101), 0)</f>
        <v>0</v>
      </c>
      <c r="AV31" s="33">
        <f>AV29*IF('1_PANEL_CONTROL'!$C$101&gt;0, $E$12/MAX(1, '1_PANEL_CONTROL'!$C$101), 0)</f>
        <v>0</v>
      </c>
      <c r="AW31" s="33">
        <f>AW29*IF('1_PANEL_CONTROL'!$C$101&gt;0, $E$12/MAX(1, '1_PANEL_CONTROL'!$C$101), 0)</f>
        <v>0</v>
      </c>
      <c r="AX31" s="33">
        <f>AX29*IF('1_PANEL_CONTROL'!$C$101&gt;0, $E$12/MAX(1, '1_PANEL_CONTROL'!$C$101), 0)</f>
        <v>0</v>
      </c>
      <c r="AY31" s="33">
        <f>AY29*IF('1_PANEL_CONTROL'!$C$101&gt;0, $E$12/MAX(1, '1_PANEL_CONTROL'!$C$101), 0)</f>
        <v>0</v>
      </c>
      <c r="AZ31" s="33">
        <f>AZ29*IF('1_PANEL_CONTROL'!$C$101&gt;0, $E$12/MAX(1, '1_PANEL_CONTROL'!$C$101), 0)</f>
        <v>0</v>
      </c>
      <c r="BA31" s="33">
        <f>BA29*IF('1_PANEL_CONTROL'!$C$101&gt;0, $E$12/MAX(1, '1_PANEL_CONTROL'!$C$101), 0)</f>
        <v>0</v>
      </c>
      <c r="BB31" s="33">
        <f>BB29*IF('1_PANEL_CONTROL'!$C$101&gt;0, $E$12/MAX(1, '1_PANEL_CONTROL'!$C$101), 0)</f>
        <v>0</v>
      </c>
      <c r="BC31" s="33">
        <f>BC29*IF('1_PANEL_CONTROL'!$C$101&gt;0, $E$12/MAX(1, '1_PANEL_CONTROL'!$C$101), 0)</f>
        <v>0</v>
      </c>
      <c r="BD31" s="33">
        <f>BD29*IF('1_PANEL_CONTROL'!$C$101&gt;0, $E$12/MAX(1, '1_PANEL_CONTROL'!$C$101), 0)</f>
        <v>0</v>
      </c>
      <c r="BE31" s="33">
        <f>BE29*IF('1_PANEL_CONTROL'!$C$101&gt;0, $E$12/MAX(1, '1_PANEL_CONTROL'!$C$101), 0)</f>
        <v>0</v>
      </c>
      <c r="BF31" s="33">
        <f>BF29*IF('1_PANEL_CONTROL'!$C$101&gt;0, $E$12/MAX(1, '1_PANEL_CONTROL'!$C$101), 0)</f>
        <v>0</v>
      </c>
      <c r="BG31" s="33">
        <f>BG29*IF('1_PANEL_CONTROL'!$C$101&gt;0, $E$12/MAX(1, '1_PANEL_CONTROL'!$C$101), 0)</f>
        <v>0</v>
      </c>
      <c r="BH31" s="33">
        <f>BH29*IF('1_PANEL_CONTROL'!$C$101&gt;0, $E$12/MAX(1, '1_PANEL_CONTROL'!$C$101), 0)</f>
        <v>0</v>
      </c>
      <c r="BI31" s="33">
        <f>BI29*IF('1_PANEL_CONTROL'!$C$101&gt;0, $E$12/MAX(1, '1_PANEL_CONTROL'!$C$101), 0)</f>
        <v>0</v>
      </c>
      <c r="BJ31" s="33">
        <f>BJ29*IF('1_PANEL_CONTROL'!$C$101&gt;0, $E$12/MAX(1, '1_PANEL_CONTROL'!$C$101), 0)</f>
        <v>0</v>
      </c>
      <c r="BK31" s="33">
        <f>BK29*IF('1_PANEL_CONTROL'!$C$101&gt;0, $E$12/MAX(1, '1_PANEL_CONTROL'!$C$101), 0)</f>
        <v>0</v>
      </c>
      <c r="BL31" s="33">
        <f>BL29*IF('1_PANEL_CONTROL'!$C$101&gt;0, $E$12/MAX(1, '1_PANEL_CONTROL'!$C$101), 0)</f>
        <v>0</v>
      </c>
      <c r="BM31" s="33">
        <f>BM29*IF('1_PANEL_CONTROL'!$C$101&gt;0, $E$12/MAX(1, '1_PANEL_CONTROL'!$C$101), 0)</f>
        <v>0</v>
      </c>
      <c r="BN31" s="33">
        <f>BN29*IF('1_PANEL_CONTROL'!$C$101&gt;0, $E$12/MAX(1, '1_PANEL_CONTROL'!$C$101), 0)</f>
        <v>0</v>
      </c>
      <c r="BO31" s="33">
        <f>BO29*IF('1_PANEL_CONTROL'!$C$101&gt;0, $E$12/MAX(1, '1_PANEL_CONTROL'!$C$101), 0)</f>
        <v>0</v>
      </c>
      <c r="BP31" s="33">
        <f>BP29*IF('1_PANEL_CONTROL'!$C$101&gt;0, $E$12/MAX(1, '1_PANEL_CONTROL'!$C$101), 0)</f>
        <v>0</v>
      </c>
      <c r="BQ31" s="33">
        <f>BQ29*IF('1_PANEL_CONTROL'!$C$101&gt;0, $E$12/MAX(1, '1_PANEL_CONTROL'!$C$101), 0)</f>
        <v>0</v>
      </c>
      <c r="BR31" s="33">
        <f>BR29*IF('1_PANEL_CONTROL'!$C$101&gt;0, $E$12/MAX(1, '1_PANEL_CONTROL'!$C$101), 0)</f>
        <v>0</v>
      </c>
      <c r="BS31" s="33">
        <f>BS29*IF('1_PANEL_CONTROL'!$C$101&gt;0, $E$12/MAX(1, '1_PANEL_CONTROL'!$C$101), 0)</f>
        <v>0</v>
      </c>
      <c r="BT31" s="33">
        <f>BT29*IF('1_PANEL_CONTROL'!$C$101&gt;0, $E$12/MAX(1, '1_PANEL_CONTROL'!$C$101), 0)</f>
        <v>0</v>
      </c>
      <c r="BU31" s="33">
        <f>BU29*IF('1_PANEL_CONTROL'!$C$101&gt;0, $E$12/MAX(1, '1_PANEL_CONTROL'!$C$101), 0)</f>
        <v>0</v>
      </c>
      <c r="BV31" s="33">
        <f>BV29*IF('1_PANEL_CONTROL'!$C$101&gt;0, $E$12/MAX(1, '1_PANEL_CONTROL'!$C$101), 0)</f>
        <v>0</v>
      </c>
      <c r="BW31" s="33">
        <f>BW29*IF('1_PANEL_CONTROL'!$C$101&gt;0, $E$12/MAX(1, '1_PANEL_CONTROL'!$C$101), 0)</f>
        <v>0</v>
      </c>
      <c r="BX31" s="33">
        <f>BX29*IF('1_PANEL_CONTROL'!$C$101&gt;0, $E$12/MAX(1, '1_PANEL_CONTROL'!$C$101), 0)</f>
        <v>0</v>
      </c>
      <c r="BY31" s="33">
        <f>BY29*IF('1_PANEL_CONTROL'!$C$101&gt;0, $E$12/MAX(1, '1_PANEL_CONTROL'!$C$101), 0)</f>
        <v>0</v>
      </c>
      <c r="BZ31" s="33">
        <f>BZ29*IF('1_PANEL_CONTROL'!$C$101&gt;0, $E$12/MAX(1, '1_PANEL_CONTROL'!$C$101), 0)</f>
        <v>0</v>
      </c>
      <c r="CA31" s="33">
        <f>CA29*IF('1_PANEL_CONTROL'!$C$101&gt;0, $E$12/MAX(1, '1_PANEL_CONTROL'!$C$101), 0)</f>
        <v>0</v>
      </c>
      <c r="CB31" s="33">
        <f>CB29*IF('1_PANEL_CONTROL'!$C$101&gt;0, $E$12/MAX(1, '1_PANEL_CONTROL'!$C$101), 0)</f>
        <v>0</v>
      </c>
      <c r="CC31" s="33">
        <f>CC29*IF('1_PANEL_CONTROL'!$C$101&gt;0, $E$12/MAX(1, '1_PANEL_CONTROL'!$C$101), 0)</f>
        <v>0</v>
      </c>
      <c r="CD31" s="33">
        <f>CD29*IF('1_PANEL_CONTROL'!$C$101&gt;0, $E$12/MAX(1, '1_PANEL_CONTROL'!$C$101), 0)</f>
        <v>0</v>
      </c>
      <c r="CE31" s="33">
        <f>CE29*IF('1_PANEL_CONTROL'!$C$101&gt;0, $E$12/MAX(1, '1_PANEL_CONTROL'!$C$101), 0)</f>
        <v>0</v>
      </c>
      <c r="CF31" s="33">
        <f>CF29*IF('1_PANEL_CONTROL'!$C$101&gt;0, $E$12/MAX(1, '1_PANEL_CONTROL'!$C$101), 0)</f>
        <v>0</v>
      </c>
      <c r="CG31" s="33">
        <f>CG29*IF('1_PANEL_CONTROL'!$C$101&gt;0, $E$12/MAX(1, '1_PANEL_CONTROL'!$C$101), 0)</f>
        <v>0</v>
      </c>
      <c r="CH31" s="33">
        <f>CH29*IF('1_PANEL_CONTROL'!$C$101&gt;0, $E$12/MAX(1, '1_PANEL_CONTROL'!$C$101), 0)</f>
        <v>0</v>
      </c>
      <c r="CI31" s="33">
        <f>CI29*IF('1_PANEL_CONTROL'!$C$101&gt;0, $E$12/MAX(1, '1_PANEL_CONTROL'!$C$101), 0)</f>
        <v>0</v>
      </c>
    </row>
    <row r="32" spans="1:87" ht="16">
      <c r="A32" s="6" t="s">
        <v>986</v>
      </c>
      <c r="B32" s="30" t="s">
        <v>465</v>
      </c>
      <c r="C32" s="15"/>
      <c r="D32" s="33">
        <f>D29</f>
        <v>0</v>
      </c>
      <c r="E32" s="33">
        <f t="shared" ref="E32:AJ32" si="12">D32+E29</f>
        <v>0</v>
      </c>
      <c r="F32" s="33">
        <f t="shared" si="12"/>
        <v>0</v>
      </c>
      <c r="G32" s="33">
        <f t="shared" si="12"/>
        <v>0</v>
      </c>
      <c r="H32" s="33">
        <f t="shared" si="12"/>
        <v>0</v>
      </c>
      <c r="I32" s="33">
        <f t="shared" si="12"/>
        <v>0</v>
      </c>
      <c r="J32" s="33">
        <f t="shared" si="12"/>
        <v>0</v>
      </c>
      <c r="K32" s="33">
        <f t="shared" si="12"/>
        <v>0</v>
      </c>
      <c r="L32" s="33">
        <f t="shared" si="12"/>
        <v>0</v>
      </c>
      <c r="M32" s="33">
        <f t="shared" si="12"/>
        <v>0</v>
      </c>
      <c r="N32" s="33">
        <f t="shared" si="12"/>
        <v>0</v>
      </c>
      <c r="O32" s="33">
        <f t="shared" si="12"/>
        <v>0</v>
      </c>
      <c r="P32" s="33">
        <f t="shared" si="12"/>
        <v>0</v>
      </c>
      <c r="Q32" s="33">
        <f t="shared" si="12"/>
        <v>0</v>
      </c>
      <c r="R32" s="33">
        <f t="shared" si="12"/>
        <v>0</v>
      </c>
      <c r="S32" s="33">
        <f t="shared" si="12"/>
        <v>0</v>
      </c>
      <c r="T32" s="33">
        <f t="shared" si="12"/>
        <v>0</v>
      </c>
      <c r="U32" s="33">
        <f t="shared" si="12"/>
        <v>0</v>
      </c>
      <c r="V32" s="33">
        <f t="shared" si="12"/>
        <v>0</v>
      </c>
      <c r="W32" s="33">
        <f t="shared" si="12"/>
        <v>0</v>
      </c>
      <c r="X32" s="33">
        <f t="shared" si="12"/>
        <v>0</v>
      </c>
      <c r="Y32" s="33">
        <f t="shared" si="12"/>
        <v>0</v>
      </c>
      <c r="Z32" s="33">
        <f t="shared" si="12"/>
        <v>0</v>
      </c>
      <c r="AA32" s="33">
        <f t="shared" si="12"/>
        <v>0</v>
      </c>
      <c r="AB32" s="33">
        <f t="shared" si="12"/>
        <v>0</v>
      </c>
      <c r="AC32" s="33">
        <f t="shared" si="12"/>
        <v>0</v>
      </c>
      <c r="AD32" s="33">
        <f t="shared" si="12"/>
        <v>0</v>
      </c>
      <c r="AE32" s="33">
        <f t="shared" si="12"/>
        <v>0</v>
      </c>
      <c r="AF32" s="33">
        <f t="shared" si="12"/>
        <v>0</v>
      </c>
      <c r="AG32" s="33">
        <f t="shared" si="12"/>
        <v>0</v>
      </c>
      <c r="AH32" s="33">
        <f t="shared" si="12"/>
        <v>0</v>
      </c>
      <c r="AI32" s="33">
        <f t="shared" si="12"/>
        <v>0</v>
      </c>
      <c r="AJ32" s="33">
        <f t="shared" si="12"/>
        <v>0</v>
      </c>
      <c r="AK32" s="33">
        <f t="shared" ref="AK32:BP32" si="13">AJ32+AK29</f>
        <v>0</v>
      </c>
      <c r="AL32" s="33">
        <f t="shared" si="13"/>
        <v>0</v>
      </c>
      <c r="AM32" s="33">
        <f t="shared" si="13"/>
        <v>0</v>
      </c>
      <c r="AN32" s="33">
        <f t="shared" si="13"/>
        <v>0</v>
      </c>
      <c r="AO32" s="33">
        <f t="shared" si="13"/>
        <v>0</v>
      </c>
      <c r="AP32" s="33">
        <f t="shared" si="13"/>
        <v>0</v>
      </c>
      <c r="AQ32" s="33">
        <f t="shared" si="13"/>
        <v>0</v>
      </c>
      <c r="AR32" s="33">
        <f t="shared" si="13"/>
        <v>0</v>
      </c>
      <c r="AS32" s="33">
        <f t="shared" si="13"/>
        <v>0</v>
      </c>
      <c r="AT32" s="33">
        <f t="shared" si="13"/>
        <v>0</v>
      </c>
      <c r="AU32" s="33">
        <f t="shared" si="13"/>
        <v>0</v>
      </c>
      <c r="AV32" s="33">
        <f t="shared" si="13"/>
        <v>0</v>
      </c>
      <c r="AW32" s="33">
        <f t="shared" si="13"/>
        <v>0</v>
      </c>
      <c r="AX32" s="33">
        <f t="shared" si="13"/>
        <v>0</v>
      </c>
      <c r="AY32" s="33">
        <f t="shared" si="13"/>
        <v>0</v>
      </c>
      <c r="AZ32" s="33">
        <f t="shared" si="13"/>
        <v>0</v>
      </c>
      <c r="BA32" s="33">
        <f t="shared" si="13"/>
        <v>0</v>
      </c>
      <c r="BB32" s="33">
        <f t="shared" si="13"/>
        <v>0</v>
      </c>
      <c r="BC32" s="33">
        <f t="shared" si="13"/>
        <v>0</v>
      </c>
      <c r="BD32" s="33">
        <f t="shared" si="13"/>
        <v>0</v>
      </c>
      <c r="BE32" s="33">
        <f t="shared" si="13"/>
        <v>0</v>
      </c>
      <c r="BF32" s="33">
        <f t="shared" si="13"/>
        <v>0</v>
      </c>
      <c r="BG32" s="33">
        <f t="shared" si="13"/>
        <v>0</v>
      </c>
      <c r="BH32" s="33">
        <f t="shared" si="13"/>
        <v>0</v>
      </c>
      <c r="BI32" s="33">
        <f t="shared" si="13"/>
        <v>0</v>
      </c>
      <c r="BJ32" s="33">
        <f t="shared" si="13"/>
        <v>0</v>
      </c>
      <c r="BK32" s="33">
        <f t="shared" si="13"/>
        <v>0</v>
      </c>
      <c r="BL32" s="33">
        <f t="shared" si="13"/>
        <v>0</v>
      </c>
      <c r="BM32" s="33">
        <f t="shared" si="13"/>
        <v>0</v>
      </c>
      <c r="BN32" s="33">
        <f t="shared" si="13"/>
        <v>0</v>
      </c>
      <c r="BO32" s="33">
        <f t="shared" si="13"/>
        <v>0</v>
      </c>
      <c r="BP32" s="33">
        <f t="shared" si="13"/>
        <v>0</v>
      </c>
      <c r="BQ32" s="33">
        <f t="shared" ref="BQ32:CI32" si="14">BP32+BQ29</f>
        <v>0</v>
      </c>
      <c r="BR32" s="33">
        <f t="shared" si="14"/>
        <v>0</v>
      </c>
      <c r="BS32" s="33">
        <f t="shared" si="14"/>
        <v>0</v>
      </c>
      <c r="BT32" s="33">
        <f t="shared" si="14"/>
        <v>0</v>
      </c>
      <c r="BU32" s="33">
        <f t="shared" si="14"/>
        <v>0</v>
      </c>
      <c r="BV32" s="33">
        <f t="shared" si="14"/>
        <v>0</v>
      </c>
      <c r="BW32" s="33">
        <f t="shared" si="14"/>
        <v>0</v>
      </c>
      <c r="BX32" s="33">
        <f t="shared" si="14"/>
        <v>0</v>
      </c>
      <c r="BY32" s="33">
        <f t="shared" si="14"/>
        <v>0</v>
      </c>
      <c r="BZ32" s="33">
        <f t="shared" si="14"/>
        <v>0</v>
      </c>
      <c r="CA32" s="33">
        <f t="shared" si="14"/>
        <v>0</v>
      </c>
      <c r="CB32" s="33">
        <f t="shared" si="14"/>
        <v>0</v>
      </c>
      <c r="CC32" s="33">
        <f t="shared" si="14"/>
        <v>0</v>
      </c>
      <c r="CD32" s="33">
        <f t="shared" si="14"/>
        <v>0</v>
      </c>
      <c r="CE32" s="33">
        <f t="shared" si="14"/>
        <v>0</v>
      </c>
      <c r="CF32" s="33">
        <f t="shared" si="14"/>
        <v>0</v>
      </c>
      <c r="CG32" s="33">
        <f t="shared" si="14"/>
        <v>0</v>
      </c>
      <c r="CH32" s="33">
        <f t="shared" si="14"/>
        <v>0</v>
      </c>
      <c r="CI32" s="33">
        <f t="shared" si="14"/>
        <v>0</v>
      </c>
    </row>
    <row r="33" spans="1:87" ht="16">
      <c r="A33" s="6" t="s">
        <v>987</v>
      </c>
      <c r="B33" s="30" t="s">
        <v>465</v>
      </c>
      <c r="C33" s="15"/>
      <c r="D33" s="33">
        <f>D29*IF('1_PANEL_CONTROL'!$C$101&gt;0, ('1_PANEL_CONTROL'!$C$101-$E$12)/MAX(1, '1_PANEL_CONTROL'!$C$101), 0)</f>
        <v>0</v>
      </c>
      <c r="E33" s="33">
        <f>E29*IF('1_PANEL_CONTROL'!$C$101&gt;0, ('1_PANEL_CONTROL'!$C$101-$E$12)/MAX(1, '1_PANEL_CONTROL'!$C$101), 0)</f>
        <v>0</v>
      </c>
      <c r="F33" s="33">
        <f>F29*IF('1_PANEL_CONTROL'!$C$101&gt;0, ('1_PANEL_CONTROL'!$C$101-$E$12)/MAX(1, '1_PANEL_CONTROL'!$C$101), 0)</f>
        <v>0</v>
      </c>
      <c r="G33" s="33">
        <f>G29*IF('1_PANEL_CONTROL'!$C$101&gt;0, ('1_PANEL_CONTROL'!$C$101-$E$12)/MAX(1, '1_PANEL_CONTROL'!$C$101), 0)</f>
        <v>0</v>
      </c>
      <c r="H33" s="33">
        <f>H29*IF('1_PANEL_CONTROL'!$C$101&gt;0, ('1_PANEL_CONTROL'!$C$101-$E$12)/MAX(1, '1_PANEL_CONTROL'!$C$101), 0)</f>
        <v>0</v>
      </c>
      <c r="I33" s="33">
        <f>I29*IF('1_PANEL_CONTROL'!$C$101&gt;0, ('1_PANEL_CONTROL'!$C$101-$E$12)/MAX(1, '1_PANEL_CONTROL'!$C$101), 0)</f>
        <v>0</v>
      </c>
      <c r="J33" s="33">
        <f>J29*IF('1_PANEL_CONTROL'!$C$101&gt;0, ('1_PANEL_CONTROL'!$C$101-$E$12)/MAX(1, '1_PANEL_CONTROL'!$C$101), 0)</f>
        <v>0</v>
      </c>
      <c r="K33" s="33">
        <f>K29*IF('1_PANEL_CONTROL'!$C$101&gt;0, ('1_PANEL_CONTROL'!$C$101-$E$12)/MAX(1, '1_PANEL_CONTROL'!$C$101), 0)</f>
        <v>0</v>
      </c>
      <c r="L33" s="33">
        <f>L29*IF('1_PANEL_CONTROL'!$C$101&gt;0, ('1_PANEL_CONTROL'!$C$101-$E$12)/MAX(1, '1_PANEL_CONTROL'!$C$101), 0)</f>
        <v>0</v>
      </c>
      <c r="M33" s="33">
        <f>M29*IF('1_PANEL_CONTROL'!$C$101&gt;0, ('1_PANEL_CONTROL'!$C$101-$E$12)/MAX(1, '1_PANEL_CONTROL'!$C$101), 0)</f>
        <v>0</v>
      </c>
      <c r="N33" s="33">
        <f>N29*IF('1_PANEL_CONTROL'!$C$101&gt;0, ('1_PANEL_CONTROL'!$C$101-$E$12)/MAX(1, '1_PANEL_CONTROL'!$C$101), 0)</f>
        <v>0</v>
      </c>
      <c r="O33" s="33">
        <f>O29*IF('1_PANEL_CONTROL'!$C$101&gt;0, ('1_PANEL_CONTROL'!$C$101-$E$12)/MAX(1, '1_PANEL_CONTROL'!$C$101), 0)</f>
        <v>0</v>
      </c>
      <c r="P33" s="33">
        <f>P29*IF('1_PANEL_CONTROL'!$C$101&gt;0, ('1_PANEL_CONTROL'!$C$101-$E$12)/MAX(1, '1_PANEL_CONTROL'!$C$101), 0)</f>
        <v>0</v>
      </c>
      <c r="Q33" s="33">
        <f>Q29*IF('1_PANEL_CONTROL'!$C$101&gt;0, ('1_PANEL_CONTROL'!$C$101-$E$12)/MAX(1, '1_PANEL_CONTROL'!$C$101), 0)</f>
        <v>0</v>
      </c>
      <c r="R33" s="33">
        <f>R29*IF('1_PANEL_CONTROL'!$C$101&gt;0, ('1_PANEL_CONTROL'!$C$101-$E$12)/MAX(1, '1_PANEL_CONTROL'!$C$101), 0)</f>
        <v>0</v>
      </c>
      <c r="S33" s="33">
        <f>S29*IF('1_PANEL_CONTROL'!$C$101&gt;0, ('1_PANEL_CONTROL'!$C$101-$E$12)/MAX(1, '1_PANEL_CONTROL'!$C$101), 0)</f>
        <v>0</v>
      </c>
      <c r="T33" s="33">
        <f>T29*IF('1_PANEL_CONTROL'!$C$101&gt;0, ('1_PANEL_CONTROL'!$C$101-$E$12)/MAX(1, '1_PANEL_CONTROL'!$C$101), 0)</f>
        <v>0</v>
      </c>
      <c r="U33" s="33">
        <f>U29*IF('1_PANEL_CONTROL'!$C$101&gt;0, ('1_PANEL_CONTROL'!$C$101-$E$12)/MAX(1, '1_PANEL_CONTROL'!$C$101), 0)</f>
        <v>0</v>
      </c>
      <c r="V33" s="33">
        <f>V29*IF('1_PANEL_CONTROL'!$C$101&gt;0, ('1_PANEL_CONTROL'!$C$101-$E$12)/MAX(1, '1_PANEL_CONTROL'!$C$101), 0)</f>
        <v>0</v>
      </c>
      <c r="W33" s="33">
        <f>W29*IF('1_PANEL_CONTROL'!$C$101&gt;0, ('1_PANEL_CONTROL'!$C$101-$E$12)/MAX(1, '1_PANEL_CONTROL'!$C$101), 0)</f>
        <v>0</v>
      </c>
      <c r="X33" s="33">
        <f>X29*IF('1_PANEL_CONTROL'!$C$101&gt;0, ('1_PANEL_CONTROL'!$C$101-$E$12)/MAX(1, '1_PANEL_CONTROL'!$C$101), 0)</f>
        <v>0</v>
      </c>
      <c r="Y33" s="33">
        <f>Y29*IF('1_PANEL_CONTROL'!$C$101&gt;0, ('1_PANEL_CONTROL'!$C$101-$E$12)/MAX(1, '1_PANEL_CONTROL'!$C$101), 0)</f>
        <v>0</v>
      </c>
      <c r="Z33" s="33">
        <f>Z29*IF('1_PANEL_CONTROL'!$C$101&gt;0, ('1_PANEL_CONTROL'!$C$101-$E$12)/MAX(1, '1_PANEL_CONTROL'!$C$101), 0)</f>
        <v>0</v>
      </c>
      <c r="AA33" s="33">
        <f>AA29*IF('1_PANEL_CONTROL'!$C$101&gt;0, ('1_PANEL_CONTROL'!$C$101-$E$12)/MAX(1, '1_PANEL_CONTROL'!$C$101), 0)</f>
        <v>0</v>
      </c>
      <c r="AB33" s="33">
        <f>AB29*IF('1_PANEL_CONTROL'!$C$101&gt;0, ('1_PANEL_CONTROL'!$C$101-$E$12)/MAX(1, '1_PANEL_CONTROL'!$C$101), 0)</f>
        <v>0</v>
      </c>
      <c r="AC33" s="33">
        <f>AC29*IF('1_PANEL_CONTROL'!$C$101&gt;0, ('1_PANEL_CONTROL'!$C$101-$E$12)/MAX(1, '1_PANEL_CONTROL'!$C$101), 0)</f>
        <v>0</v>
      </c>
      <c r="AD33" s="33">
        <f>AD29*IF('1_PANEL_CONTROL'!$C$101&gt;0, ('1_PANEL_CONTROL'!$C$101-$E$12)/MAX(1, '1_PANEL_CONTROL'!$C$101), 0)</f>
        <v>0</v>
      </c>
      <c r="AE33" s="33">
        <f>AE29*IF('1_PANEL_CONTROL'!$C$101&gt;0, ('1_PANEL_CONTROL'!$C$101-$E$12)/MAX(1, '1_PANEL_CONTROL'!$C$101), 0)</f>
        <v>0</v>
      </c>
      <c r="AF33" s="33">
        <f>AF29*IF('1_PANEL_CONTROL'!$C$101&gt;0, ('1_PANEL_CONTROL'!$C$101-$E$12)/MAX(1, '1_PANEL_CONTROL'!$C$101), 0)</f>
        <v>0</v>
      </c>
      <c r="AG33" s="33">
        <f>AG29*IF('1_PANEL_CONTROL'!$C$101&gt;0, ('1_PANEL_CONTROL'!$C$101-$E$12)/MAX(1, '1_PANEL_CONTROL'!$C$101), 0)</f>
        <v>0</v>
      </c>
      <c r="AH33" s="33">
        <f>AH29*IF('1_PANEL_CONTROL'!$C$101&gt;0, ('1_PANEL_CONTROL'!$C$101-$E$12)/MAX(1, '1_PANEL_CONTROL'!$C$101), 0)</f>
        <v>0</v>
      </c>
      <c r="AI33" s="33">
        <f>AI29*IF('1_PANEL_CONTROL'!$C$101&gt;0, ('1_PANEL_CONTROL'!$C$101-$E$12)/MAX(1, '1_PANEL_CONTROL'!$C$101), 0)</f>
        <v>0</v>
      </c>
      <c r="AJ33" s="33">
        <f>AJ29*IF('1_PANEL_CONTROL'!$C$101&gt;0, ('1_PANEL_CONTROL'!$C$101-$E$12)/MAX(1, '1_PANEL_CONTROL'!$C$101), 0)</f>
        <v>0</v>
      </c>
      <c r="AK33" s="33">
        <f>AK29*IF('1_PANEL_CONTROL'!$C$101&gt;0, ('1_PANEL_CONTROL'!$C$101-$E$12)/MAX(1, '1_PANEL_CONTROL'!$C$101), 0)</f>
        <v>0</v>
      </c>
      <c r="AL33" s="33">
        <f>AL29*IF('1_PANEL_CONTROL'!$C$101&gt;0, ('1_PANEL_CONTROL'!$C$101-$E$12)/MAX(1, '1_PANEL_CONTROL'!$C$101), 0)</f>
        <v>0</v>
      </c>
      <c r="AM33" s="33">
        <f>AM29*IF('1_PANEL_CONTROL'!$C$101&gt;0, ('1_PANEL_CONTROL'!$C$101-$E$12)/MAX(1, '1_PANEL_CONTROL'!$C$101), 0)</f>
        <v>0</v>
      </c>
      <c r="AN33" s="33">
        <f>AN29*IF('1_PANEL_CONTROL'!$C$101&gt;0, ('1_PANEL_CONTROL'!$C$101-$E$12)/MAX(1, '1_PANEL_CONTROL'!$C$101), 0)</f>
        <v>0</v>
      </c>
      <c r="AO33" s="33">
        <f>AO29*IF('1_PANEL_CONTROL'!$C$101&gt;0, ('1_PANEL_CONTROL'!$C$101-$E$12)/MAX(1, '1_PANEL_CONTROL'!$C$101), 0)</f>
        <v>0</v>
      </c>
      <c r="AP33" s="33">
        <f>AP29*IF('1_PANEL_CONTROL'!$C$101&gt;0, ('1_PANEL_CONTROL'!$C$101-$E$12)/MAX(1, '1_PANEL_CONTROL'!$C$101), 0)</f>
        <v>0</v>
      </c>
      <c r="AQ33" s="33">
        <f>AQ29*IF('1_PANEL_CONTROL'!$C$101&gt;0, ('1_PANEL_CONTROL'!$C$101-$E$12)/MAX(1, '1_PANEL_CONTROL'!$C$101), 0)</f>
        <v>0</v>
      </c>
      <c r="AR33" s="33">
        <f>AR29*IF('1_PANEL_CONTROL'!$C$101&gt;0, ('1_PANEL_CONTROL'!$C$101-$E$12)/MAX(1, '1_PANEL_CONTROL'!$C$101), 0)</f>
        <v>0</v>
      </c>
      <c r="AS33" s="33">
        <f>AS29*IF('1_PANEL_CONTROL'!$C$101&gt;0, ('1_PANEL_CONTROL'!$C$101-$E$12)/MAX(1, '1_PANEL_CONTROL'!$C$101), 0)</f>
        <v>0</v>
      </c>
      <c r="AT33" s="33">
        <f>AT29*IF('1_PANEL_CONTROL'!$C$101&gt;0, ('1_PANEL_CONTROL'!$C$101-$E$12)/MAX(1, '1_PANEL_CONTROL'!$C$101), 0)</f>
        <v>0</v>
      </c>
      <c r="AU33" s="33">
        <f>AU29*IF('1_PANEL_CONTROL'!$C$101&gt;0, ('1_PANEL_CONTROL'!$C$101-$E$12)/MAX(1, '1_PANEL_CONTROL'!$C$101), 0)</f>
        <v>0</v>
      </c>
      <c r="AV33" s="33">
        <f>AV29*IF('1_PANEL_CONTROL'!$C$101&gt;0, ('1_PANEL_CONTROL'!$C$101-$E$12)/MAX(1, '1_PANEL_CONTROL'!$C$101), 0)</f>
        <v>0</v>
      </c>
      <c r="AW33" s="33">
        <f>AW29*IF('1_PANEL_CONTROL'!$C$101&gt;0, ('1_PANEL_CONTROL'!$C$101-$E$12)/MAX(1, '1_PANEL_CONTROL'!$C$101), 0)</f>
        <v>0</v>
      </c>
      <c r="AX33" s="33">
        <f>AX29*IF('1_PANEL_CONTROL'!$C$101&gt;0, ('1_PANEL_CONTROL'!$C$101-$E$12)/MAX(1, '1_PANEL_CONTROL'!$C$101), 0)</f>
        <v>0</v>
      </c>
      <c r="AY33" s="33">
        <f>AY29*IF('1_PANEL_CONTROL'!$C$101&gt;0, ('1_PANEL_CONTROL'!$C$101-$E$12)/MAX(1, '1_PANEL_CONTROL'!$C$101), 0)</f>
        <v>0</v>
      </c>
      <c r="AZ33" s="33">
        <f>AZ29*IF('1_PANEL_CONTROL'!$C$101&gt;0, ('1_PANEL_CONTROL'!$C$101-$E$12)/MAX(1, '1_PANEL_CONTROL'!$C$101), 0)</f>
        <v>0</v>
      </c>
      <c r="BA33" s="33">
        <f>BA29*IF('1_PANEL_CONTROL'!$C$101&gt;0, ('1_PANEL_CONTROL'!$C$101-$E$12)/MAX(1, '1_PANEL_CONTROL'!$C$101), 0)</f>
        <v>0</v>
      </c>
      <c r="BB33" s="33">
        <f>BB29*IF('1_PANEL_CONTROL'!$C$101&gt;0, ('1_PANEL_CONTROL'!$C$101-$E$12)/MAX(1, '1_PANEL_CONTROL'!$C$101), 0)</f>
        <v>0</v>
      </c>
      <c r="BC33" s="33">
        <f>BC29*IF('1_PANEL_CONTROL'!$C$101&gt;0, ('1_PANEL_CONTROL'!$C$101-$E$12)/MAX(1, '1_PANEL_CONTROL'!$C$101), 0)</f>
        <v>0</v>
      </c>
      <c r="BD33" s="33">
        <f>BD29*IF('1_PANEL_CONTROL'!$C$101&gt;0, ('1_PANEL_CONTROL'!$C$101-$E$12)/MAX(1, '1_PANEL_CONTROL'!$C$101), 0)</f>
        <v>0</v>
      </c>
      <c r="BE33" s="33">
        <f>BE29*IF('1_PANEL_CONTROL'!$C$101&gt;0, ('1_PANEL_CONTROL'!$C$101-$E$12)/MAX(1, '1_PANEL_CONTROL'!$C$101), 0)</f>
        <v>0</v>
      </c>
      <c r="BF33" s="33">
        <f>BF29*IF('1_PANEL_CONTROL'!$C$101&gt;0, ('1_PANEL_CONTROL'!$C$101-$E$12)/MAX(1, '1_PANEL_CONTROL'!$C$101), 0)</f>
        <v>0</v>
      </c>
      <c r="BG33" s="33">
        <f>BG29*IF('1_PANEL_CONTROL'!$C$101&gt;0, ('1_PANEL_CONTROL'!$C$101-$E$12)/MAX(1, '1_PANEL_CONTROL'!$C$101), 0)</f>
        <v>0</v>
      </c>
      <c r="BH33" s="33">
        <f>BH29*IF('1_PANEL_CONTROL'!$C$101&gt;0, ('1_PANEL_CONTROL'!$C$101-$E$12)/MAX(1, '1_PANEL_CONTROL'!$C$101), 0)</f>
        <v>0</v>
      </c>
      <c r="BI33" s="33">
        <f>BI29*IF('1_PANEL_CONTROL'!$C$101&gt;0, ('1_PANEL_CONTROL'!$C$101-$E$12)/MAX(1, '1_PANEL_CONTROL'!$C$101), 0)</f>
        <v>0</v>
      </c>
      <c r="BJ33" s="33">
        <f>BJ29*IF('1_PANEL_CONTROL'!$C$101&gt;0, ('1_PANEL_CONTROL'!$C$101-$E$12)/MAX(1, '1_PANEL_CONTROL'!$C$101), 0)</f>
        <v>0</v>
      </c>
      <c r="BK33" s="33">
        <f>BK29*IF('1_PANEL_CONTROL'!$C$101&gt;0, ('1_PANEL_CONTROL'!$C$101-$E$12)/MAX(1, '1_PANEL_CONTROL'!$C$101), 0)</f>
        <v>0</v>
      </c>
      <c r="BL33" s="33">
        <f>BL29*IF('1_PANEL_CONTROL'!$C$101&gt;0, ('1_PANEL_CONTROL'!$C$101-$E$12)/MAX(1, '1_PANEL_CONTROL'!$C$101), 0)</f>
        <v>0</v>
      </c>
      <c r="BM33" s="33">
        <f>BM29*IF('1_PANEL_CONTROL'!$C$101&gt;0, ('1_PANEL_CONTROL'!$C$101-$E$12)/MAX(1, '1_PANEL_CONTROL'!$C$101), 0)</f>
        <v>0</v>
      </c>
      <c r="BN33" s="33">
        <f>BN29*IF('1_PANEL_CONTROL'!$C$101&gt;0, ('1_PANEL_CONTROL'!$C$101-$E$12)/MAX(1, '1_PANEL_CONTROL'!$C$101), 0)</f>
        <v>0</v>
      </c>
      <c r="BO33" s="33">
        <f>BO29*IF('1_PANEL_CONTROL'!$C$101&gt;0, ('1_PANEL_CONTROL'!$C$101-$E$12)/MAX(1, '1_PANEL_CONTROL'!$C$101), 0)</f>
        <v>0</v>
      </c>
      <c r="BP33" s="33">
        <f>BP29*IF('1_PANEL_CONTROL'!$C$101&gt;0, ('1_PANEL_CONTROL'!$C$101-$E$12)/MAX(1, '1_PANEL_CONTROL'!$C$101), 0)</f>
        <v>0</v>
      </c>
      <c r="BQ33" s="33">
        <f>BQ29*IF('1_PANEL_CONTROL'!$C$101&gt;0, ('1_PANEL_CONTROL'!$C$101-$E$12)/MAX(1, '1_PANEL_CONTROL'!$C$101), 0)</f>
        <v>0</v>
      </c>
      <c r="BR33" s="33">
        <f>BR29*IF('1_PANEL_CONTROL'!$C$101&gt;0, ('1_PANEL_CONTROL'!$C$101-$E$12)/MAX(1, '1_PANEL_CONTROL'!$C$101), 0)</f>
        <v>0</v>
      </c>
      <c r="BS33" s="33">
        <f>BS29*IF('1_PANEL_CONTROL'!$C$101&gt;0, ('1_PANEL_CONTROL'!$C$101-$E$12)/MAX(1, '1_PANEL_CONTROL'!$C$101), 0)</f>
        <v>0</v>
      </c>
      <c r="BT33" s="33">
        <f>BT29*IF('1_PANEL_CONTROL'!$C$101&gt;0, ('1_PANEL_CONTROL'!$C$101-$E$12)/MAX(1, '1_PANEL_CONTROL'!$C$101), 0)</f>
        <v>0</v>
      </c>
      <c r="BU33" s="33">
        <f>BU29*IF('1_PANEL_CONTROL'!$C$101&gt;0, ('1_PANEL_CONTROL'!$C$101-$E$12)/MAX(1, '1_PANEL_CONTROL'!$C$101), 0)</f>
        <v>0</v>
      </c>
      <c r="BV33" s="33">
        <f>BV29*IF('1_PANEL_CONTROL'!$C$101&gt;0, ('1_PANEL_CONTROL'!$C$101-$E$12)/MAX(1, '1_PANEL_CONTROL'!$C$101), 0)</f>
        <v>0</v>
      </c>
      <c r="BW33" s="33">
        <f>BW29*IF('1_PANEL_CONTROL'!$C$101&gt;0, ('1_PANEL_CONTROL'!$C$101-$E$12)/MAX(1, '1_PANEL_CONTROL'!$C$101), 0)</f>
        <v>0</v>
      </c>
      <c r="BX33" s="33">
        <f>BX29*IF('1_PANEL_CONTROL'!$C$101&gt;0, ('1_PANEL_CONTROL'!$C$101-$E$12)/MAX(1, '1_PANEL_CONTROL'!$C$101), 0)</f>
        <v>0</v>
      </c>
      <c r="BY33" s="33">
        <f>BY29*IF('1_PANEL_CONTROL'!$C$101&gt;0, ('1_PANEL_CONTROL'!$C$101-$E$12)/MAX(1, '1_PANEL_CONTROL'!$C$101), 0)</f>
        <v>0</v>
      </c>
      <c r="BZ33" s="33">
        <f>BZ29*IF('1_PANEL_CONTROL'!$C$101&gt;0, ('1_PANEL_CONTROL'!$C$101-$E$12)/MAX(1, '1_PANEL_CONTROL'!$C$101), 0)</f>
        <v>0</v>
      </c>
      <c r="CA33" s="33">
        <f>CA29*IF('1_PANEL_CONTROL'!$C$101&gt;0, ('1_PANEL_CONTROL'!$C$101-$E$12)/MAX(1, '1_PANEL_CONTROL'!$C$101), 0)</f>
        <v>0</v>
      </c>
      <c r="CB33" s="33">
        <f>CB29*IF('1_PANEL_CONTROL'!$C$101&gt;0, ('1_PANEL_CONTROL'!$C$101-$E$12)/MAX(1, '1_PANEL_CONTROL'!$C$101), 0)</f>
        <v>0</v>
      </c>
      <c r="CC33" s="33">
        <f>CC29*IF('1_PANEL_CONTROL'!$C$101&gt;0, ('1_PANEL_CONTROL'!$C$101-$E$12)/MAX(1, '1_PANEL_CONTROL'!$C$101), 0)</f>
        <v>0</v>
      </c>
      <c r="CD33" s="33">
        <f>CD29*IF('1_PANEL_CONTROL'!$C$101&gt;0, ('1_PANEL_CONTROL'!$C$101-$E$12)/MAX(1, '1_PANEL_CONTROL'!$C$101), 0)</f>
        <v>0</v>
      </c>
      <c r="CE33" s="33">
        <f>CE29*IF('1_PANEL_CONTROL'!$C$101&gt;0, ('1_PANEL_CONTROL'!$C$101-$E$12)/MAX(1, '1_PANEL_CONTROL'!$C$101), 0)</f>
        <v>0</v>
      </c>
      <c r="CF33" s="33">
        <f>CF29*IF('1_PANEL_CONTROL'!$C$101&gt;0, ('1_PANEL_CONTROL'!$C$101-$E$12)/MAX(1, '1_PANEL_CONTROL'!$C$101), 0)</f>
        <v>0</v>
      </c>
      <c r="CG33" s="33">
        <f>CG29*IF('1_PANEL_CONTROL'!$C$101&gt;0, ('1_PANEL_CONTROL'!$C$101-$E$12)/MAX(1, '1_PANEL_CONTROL'!$C$101), 0)</f>
        <v>0</v>
      </c>
      <c r="CH33" s="33">
        <f>CH29*IF('1_PANEL_CONTROL'!$C$101&gt;0, ('1_PANEL_CONTROL'!$C$101-$E$12)/MAX(1, '1_PANEL_CONTROL'!$C$101), 0)</f>
        <v>0</v>
      </c>
      <c r="CI33" s="33">
        <f>CI29*IF('1_PANEL_CONTROL'!$C$101&gt;0, ('1_PANEL_CONTROL'!$C$101-$E$12)/MAX(1, '1_PANEL_CONTROL'!$C$101), 0)</f>
        <v>0</v>
      </c>
    </row>
    <row r="34" spans="1:87" ht="1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row>
    <row r="35" spans="1:87" ht="16">
      <c r="A35" s="5" t="s">
        <v>988</v>
      </c>
      <c r="B35" s="30" t="s">
        <v>465</v>
      </c>
      <c r="C35" s="15"/>
      <c r="D35" s="36">
        <f t="shared" ref="D35:AI35" si="15">IF($C$4=2, D26, IF($C$4=3, D33, 0))</f>
        <v>375</v>
      </c>
      <c r="E35" s="36">
        <f t="shared" si="15"/>
        <v>375</v>
      </c>
      <c r="F35" s="36">
        <f t="shared" si="15"/>
        <v>375</v>
      </c>
      <c r="G35" s="36">
        <f t="shared" si="15"/>
        <v>375</v>
      </c>
      <c r="H35" s="36">
        <f t="shared" si="15"/>
        <v>375</v>
      </c>
      <c r="I35" s="36">
        <f t="shared" si="15"/>
        <v>375</v>
      </c>
      <c r="J35" s="36">
        <f t="shared" si="15"/>
        <v>375</v>
      </c>
      <c r="K35" s="36">
        <f t="shared" si="15"/>
        <v>375</v>
      </c>
      <c r="L35" s="36">
        <f t="shared" si="15"/>
        <v>375</v>
      </c>
      <c r="M35" s="36">
        <f t="shared" si="15"/>
        <v>375</v>
      </c>
      <c r="N35" s="36">
        <f t="shared" si="15"/>
        <v>375</v>
      </c>
      <c r="O35" s="36">
        <f t="shared" si="15"/>
        <v>375</v>
      </c>
      <c r="P35" s="36">
        <f t="shared" si="15"/>
        <v>375</v>
      </c>
      <c r="Q35" s="36">
        <f t="shared" si="15"/>
        <v>367.1875</v>
      </c>
      <c r="R35" s="36">
        <f t="shared" si="15"/>
        <v>359.375</v>
      </c>
      <c r="S35" s="36">
        <f t="shared" si="15"/>
        <v>351.5625</v>
      </c>
      <c r="T35" s="36">
        <f t="shared" si="15"/>
        <v>343.75</v>
      </c>
      <c r="U35" s="36">
        <f t="shared" si="15"/>
        <v>335.9375</v>
      </c>
      <c r="V35" s="36">
        <f t="shared" si="15"/>
        <v>328.125</v>
      </c>
      <c r="W35" s="36">
        <f t="shared" si="15"/>
        <v>320.3125</v>
      </c>
      <c r="X35" s="36">
        <f t="shared" si="15"/>
        <v>312.5</v>
      </c>
      <c r="Y35" s="36">
        <f t="shared" si="15"/>
        <v>304.6875</v>
      </c>
      <c r="Z35" s="36">
        <f t="shared" si="15"/>
        <v>296.875</v>
      </c>
      <c r="AA35" s="36">
        <f t="shared" si="15"/>
        <v>289.0625</v>
      </c>
      <c r="AB35" s="36">
        <f t="shared" si="15"/>
        <v>281.25</v>
      </c>
      <c r="AC35" s="36">
        <f t="shared" si="15"/>
        <v>273.4375</v>
      </c>
      <c r="AD35" s="36">
        <f t="shared" si="15"/>
        <v>265.625</v>
      </c>
      <c r="AE35" s="36">
        <f t="shared" si="15"/>
        <v>257.8125</v>
      </c>
      <c r="AF35" s="36">
        <f t="shared" si="15"/>
        <v>250</v>
      </c>
      <c r="AG35" s="36">
        <f t="shared" si="15"/>
        <v>242.1875</v>
      </c>
      <c r="AH35" s="36">
        <f t="shared" si="15"/>
        <v>234.375</v>
      </c>
      <c r="AI35" s="36">
        <f t="shared" si="15"/>
        <v>226.5625</v>
      </c>
      <c r="AJ35" s="36">
        <f t="shared" ref="AJ35:BO35" si="16">IF($C$4=2, AJ26, IF($C$4=3, AJ33, 0))</f>
        <v>218.75</v>
      </c>
      <c r="AK35" s="36">
        <f t="shared" si="16"/>
        <v>210.9375</v>
      </c>
      <c r="AL35" s="36">
        <f t="shared" si="16"/>
        <v>203.125</v>
      </c>
      <c r="AM35" s="36">
        <f t="shared" si="16"/>
        <v>195.3125</v>
      </c>
      <c r="AN35" s="36">
        <f t="shared" si="16"/>
        <v>187.5</v>
      </c>
      <c r="AO35" s="36">
        <f t="shared" si="16"/>
        <v>179.6875</v>
      </c>
      <c r="AP35" s="36">
        <f t="shared" si="16"/>
        <v>171.875</v>
      </c>
      <c r="AQ35" s="36">
        <f t="shared" si="16"/>
        <v>164.0625</v>
      </c>
      <c r="AR35" s="36">
        <f t="shared" si="16"/>
        <v>156.25</v>
      </c>
      <c r="AS35" s="36">
        <f t="shared" si="16"/>
        <v>148.4375</v>
      </c>
      <c r="AT35" s="36">
        <f t="shared" si="16"/>
        <v>140.625</v>
      </c>
      <c r="AU35" s="36">
        <f t="shared" si="16"/>
        <v>132.8125</v>
      </c>
      <c r="AV35" s="36">
        <f t="shared" si="16"/>
        <v>125</v>
      </c>
      <c r="AW35" s="36">
        <f t="shared" si="16"/>
        <v>117.1875</v>
      </c>
      <c r="AX35" s="36">
        <f t="shared" si="16"/>
        <v>109.375</v>
      </c>
      <c r="AY35" s="36">
        <f t="shared" si="16"/>
        <v>101.5625</v>
      </c>
      <c r="AZ35" s="36">
        <f t="shared" si="16"/>
        <v>93.75</v>
      </c>
      <c r="BA35" s="36">
        <f t="shared" si="16"/>
        <v>85.9375</v>
      </c>
      <c r="BB35" s="36">
        <f t="shared" si="16"/>
        <v>78.125</v>
      </c>
      <c r="BC35" s="36">
        <f t="shared" si="16"/>
        <v>70.3125</v>
      </c>
      <c r="BD35" s="36">
        <f t="shared" si="16"/>
        <v>62.5</v>
      </c>
      <c r="BE35" s="36">
        <f t="shared" si="16"/>
        <v>54.6875</v>
      </c>
      <c r="BF35" s="36">
        <f t="shared" si="16"/>
        <v>46.875</v>
      </c>
      <c r="BG35" s="36">
        <f t="shared" si="16"/>
        <v>39.0625</v>
      </c>
      <c r="BH35" s="36">
        <f t="shared" si="16"/>
        <v>31.25</v>
      </c>
      <c r="BI35" s="36">
        <f t="shared" si="16"/>
        <v>23.4375</v>
      </c>
      <c r="BJ35" s="36">
        <f t="shared" si="16"/>
        <v>15.625</v>
      </c>
      <c r="BK35" s="36">
        <f t="shared" si="16"/>
        <v>7.8125</v>
      </c>
      <c r="BL35" s="36">
        <f t="shared" si="16"/>
        <v>0</v>
      </c>
      <c r="BM35" s="36">
        <f t="shared" si="16"/>
        <v>0</v>
      </c>
      <c r="BN35" s="36">
        <f t="shared" si="16"/>
        <v>0</v>
      </c>
      <c r="BO35" s="36">
        <f t="shared" si="16"/>
        <v>0</v>
      </c>
      <c r="BP35" s="36">
        <f t="shared" ref="BP35:CI35" si="17">IF($C$4=2, BP26, IF($C$4=3, BP33, 0))</f>
        <v>0</v>
      </c>
      <c r="BQ35" s="36">
        <f t="shared" si="17"/>
        <v>0</v>
      </c>
      <c r="BR35" s="36">
        <f t="shared" si="17"/>
        <v>0</v>
      </c>
      <c r="BS35" s="36">
        <f t="shared" si="17"/>
        <v>0</v>
      </c>
      <c r="BT35" s="36">
        <f t="shared" si="17"/>
        <v>0</v>
      </c>
      <c r="BU35" s="36">
        <f t="shared" si="17"/>
        <v>0</v>
      </c>
      <c r="BV35" s="36">
        <f t="shared" si="17"/>
        <v>0</v>
      </c>
      <c r="BW35" s="36">
        <f t="shared" si="17"/>
        <v>0</v>
      </c>
      <c r="BX35" s="36">
        <f t="shared" si="17"/>
        <v>0</v>
      </c>
      <c r="BY35" s="36">
        <f t="shared" si="17"/>
        <v>0</v>
      </c>
      <c r="BZ35" s="36">
        <f t="shared" si="17"/>
        <v>0</v>
      </c>
      <c r="CA35" s="36">
        <f t="shared" si="17"/>
        <v>0</v>
      </c>
      <c r="CB35" s="36">
        <f t="shared" si="17"/>
        <v>0</v>
      </c>
      <c r="CC35" s="36">
        <f t="shared" si="17"/>
        <v>0</v>
      </c>
      <c r="CD35" s="36">
        <f t="shared" si="17"/>
        <v>0</v>
      </c>
      <c r="CE35" s="36">
        <f t="shared" si="17"/>
        <v>0</v>
      </c>
      <c r="CF35" s="36">
        <f t="shared" si="17"/>
        <v>0</v>
      </c>
      <c r="CG35" s="36">
        <f t="shared" si="17"/>
        <v>0</v>
      </c>
      <c r="CH35" s="36">
        <f t="shared" si="17"/>
        <v>0</v>
      </c>
      <c r="CI35" s="36">
        <f t="shared" si="17"/>
        <v>0</v>
      </c>
    </row>
    <row r="36" spans="1:87" ht="16">
      <c r="A36" s="5" t="s">
        <v>989</v>
      </c>
      <c r="B36" s="30" t="s">
        <v>465</v>
      </c>
      <c r="C36" s="15"/>
      <c r="D36" s="41">
        <f t="shared" ref="D36:AI36" si="18">IF($C$4=2, D24, IF($C$4=3, D31, 0))</f>
        <v>0</v>
      </c>
      <c r="E36" s="41">
        <f t="shared" si="18"/>
        <v>0</v>
      </c>
      <c r="F36" s="41">
        <f t="shared" si="18"/>
        <v>0</v>
      </c>
      <c r="G36" s="41">
        <f t="shared" si="18"/>
        <v>0</v>
      </c>
      <c r="H36" s="41">
        <f t="shared" si="18"/>
        <v>0</v>
      </c>
      <c r="I36" s="41">
        <f t="shared" si="18"/>
        <v>0</v>
      </c>
      <c r="J36" s="41">
        <f t="shared" si="18"/>
        <v>0</v>
      </c>
      <c r="K36" s="41">
        <f t="shared" si="18"/>
        <v>0</v>
      </c>
      <c r="L36" s="41">
        <f t="shared" si="18"/>
        <v>0</v>
      </c>
      <c r="M36" s="41">
        <f t="shared" si="18"/>
        <v>0</v>
      </c>
      <c r="N36" s="41">
        <f t="shared" si="18"/>
        <v>0</v>
      </c>
      <c r="O36" s="41">
        <f t="shared" si="18"/>
        <v>0</v>
      </c>
      <c r="P36" s="41">
        <f t="shared" si="18"/>
        <v>1562.5</v>
      </c>
      <c r="Q36" s="41">
        <f t="shared" si="18"/>
        <v>1562.5</v>
      </c>
      <c r="R36" s="41">
        <f t="shared" si="18"/>
        <v>1562.5</v>
      </c>
      <c r="S36" s="41">
        <f t="shared" si="18"/>
        <v>1562.5</v>
      </c>
      <c r="T36" s="41">
        <f t="shared" si="18"/>
        <v>1562.5</v>
      </c>
      <c r="U36" s="41">
        <f t="shared" si="18"/>
        <v>1562.5</v>
      </c>
      <c r="V36" s="41">
        <f t="shared" si="18"/>
        <v>1562.5</v>
      </c>
      <c r="W36" s="41">
        <f t="shared" si="18"/>
        <v>1562.5</v>
      </c>
      <c r="X36" s="41">
        <f t="shared" si="18"/>
        <v>1562.5</v>
      </c>
      <c r="Y36" s="41">
        <f t="shared" si="18"/>
        <v>1562.5</v>
      </c>
      <c r="Z36" s="41">
        <f t="shared" si="18"/>
        <v>1562.5</v>
      </c>
      <c r="AA36" s="41">
        <f t="shared" si="18"/>
        <v>1562.5</v>
      </c>
      <c r="AB36" s="41">
        <f t="shared" si="18"/>
        <v>1562.5</v>
      </c>
      <c r="AC36" s="41">
        <f t="shared" si="18"/>
        <v>1562.5</v>
      </c>
      <c r="AD36" s="41">
        <f t="shared" si="18"/>
        <v>1562.5</v>
      </c>
      <c r="AE36" s="41">
        <f t="shared" si="18"/>
        <v>1562.5</v>
      </c>
      <c r="AF36" s="41">
        <f t="shared" si="18"/>
        <v>1562.5</v>
      </c>
      <c r="AG36" s="41">
        <f t="shared" si="18"/>
        <v>1562.5</v>
      </c>
      <c r="AH36" s="41">
        <f t="shared" si="18"/>
        <v>1562.5</v>
      </c>
      <c r="AI36" s="41">
        <f t="shared" si="18"/>
        <v>1562.5</v>
      </c>
      <c r="AJ36" s="41">
        <f t="shared" ref="AJ36:BO36" si="19">IF($C$4=2, AJ24, IF($C$4=3, AJ31, 0))</f>
        <v>1562.5</v>
      </c>
      <c r="AK36" s="41">
        <f t="shared" si="19"/>
        <v>1562.5</v>
      </c>
      <c r="AL36" s="41">
        <f t="shared" si="19"/>
        <v>1562.5</v>
      </c>
      <c r="AM36" s="41">
        <f t="shared" si="19"/>
        <v>1562.5</v>
      </c>
      <c r="AN36" s="41">
        <f t="shared" si="19"/>
        <v>1562.5</v>
      </c>
      <c r="AO36" s="41">
        <f t="shared" si="19"/>
        <v>1562.5</v>
      </c>
      <c r="AP36" s="41">
        <f t="shared" si="19"/>
        <v>1562.5</v>
      </c>
      <c r="AQ36" s="41">
        <f t="shared" si="19"/>
        <v>1562.5</v>
      </c>
      <c r="AR36" s="41">
        <f t="shared" si="19"/>
        <v>1562.5</v>
      </c>
      <c r="AS36" s="41">
        <f t="shared" si="19"/>
        <v>1562.5</v>
      </c>
      <c r="AT36" s="41">
        <f t="shared" si="19"/>
        <v>1562.5</v>
      </c>
      <c r="AU36" s="41">
        <f t="shared" si="19"/>
        <v>1562.5</v>
      </c>
      <c r="AV36" s="41">
        <f t="shared" si="19"/>
        <v>1562.5</v>
      </c>
      <c r="AW36" s="41">
        <f t="shared" si="19"/>
        <v>1562.5</v>
      </c>
      <c r="AX36" s="41">
        <f t="shared" si="19"/>
        <v>1562.5</v>
      </c>
      <c r="AY36" s="41">
        <f t="shared" si="19"/>
        <v>1562.5</v>
      </c>
      <c r="AZ36" s="41">
        <f t="shared" si="19"/>
        <v>1562.5</v>
      </c>
      <c r="BA36" s="41">
        <f t="shared" si="19"/>
        <v>1562.5</v>
      </c>
      <c r="BB36" s="41">
        <f t="shared" si="19"/>
        <v>1562.5</v>
      </c>
      <c r="BC36" s="41">
        <f t="shared" si="19"/>
        <v>1562.5</v>
      </c>
      <c r="BD36" s="41">
        <f t="shared" si="19"/>
        <v>1562.5</v>
      </c>
      <c r="BE36" s="41">
        <f t="shared" si="19"/>
        <v>1562.5</v>
      </c>
      <c r="BF36" s="41">
        <f t="shared" si="19"/>
        <v>1562.5</v>
      </c>
      <c r="BG36" s="41">
        <f t="shared" si="19"/>
        <v>1562.5</v>
      </c>
      <c r="BH36" s="41">
        <f t="shared" si="19"/>
        <v>1562.5</v>
      </c>
      <c r="BI36" s="41">
        <f t="shared" si="19"/>
        <v>1562.5</v>
      </c>
      <c r="BJ36" s="41">
        <f t="shared" si="19"/>
        <v>1562.5</v>
      </c>
      <c r="BK36" s="41">
        <f t="shared" si="19"/>
        <v>1562.5</v>
      </c>
      <c r="BL36" s="41">
        <f t="shared" si="19"/>
        <v>0</v>
      </c>
      <c r="BM36" s="41">
        <f t="shared" si="19"/>
        <v>0</v>
      </c>
      <c r="BN36" s="41">
        <f t="shared" si="19"/>
        <v>0</v>
      </c>
      <c r="BO36" s="41">
        <f t="shared" si="19"/>
        <v>0</v>
      </c>
      <c r="BP36" s="41">
        <f t="shared" ref="BP36:CI36" si="20">IF($C$4=2, BP24, IF($C$4=3, BP31, 0))</f>
        <v>0</v>
      </c>
      <c r="BQ36" s="41">
        <f t="shared" si="20"/>
        <v>0</v>
      </c>
      <c r="BR36" s="41">
        <f t="shared" si="20"/>
        <v>0</v>
      </c>
      <c r="BS36" s="41">
        <f t="shared" si="20"/>
        <v>0</v>
      </c>
      <c r="BT36" s="41">
        <f t="shared" si="20"/>
        <v>0</v>
      </c>
      <c r="BU36" s="41">
        <f t="shared" si="20"/>
        <v>0</v>
      </c>
      <c r="BV36" s="41">
        <f t="shared" si="20"/>
        <v>0</v>
      </c>
      <c r="BW36" s="41">
        <f t="shared" si="20"/>
        <v>0</v>
      </c>
      <c r="BX36" s="41">
        <f t="shared" si="20"/>
        <v>0</v>
      </c>
      <c r="BY36" s="41">
        <f t="shared" si="20"/>
        <v>0</v>
      </c>
      <c r="BZ36" s="41">
        <f t="shared" si="20"/>
        <v>0</v>
      </c>
      <c r="CA36" s="41">
        <f t="shared" si="20"/>
        <v>0</v>
      </c>
      <c r="CB36" s="41">
        <f t="shared" si="20"/>
        <v>0</v>
      </c>
      <c r="CC36" s="41">
        <f t="shared" si="20"/>
        <v>0</v>
      </c>
      <c r="CD36" s="41">
        <f t="shared" si="20"/>
        <v>0</v>
      </c>
      <c r="CE36" s="41">
        <f t="shared" si="20"/>
        <v>0</v>
      </c>
      <c r="CF36" s="41">
        <f t="shared" si="20"/>
        <v>0</v>
      </c>
      <c r="CG36" s="41">
        <f t="shared" si="20"/>
        <v>0</v>
      </c>
      <c r="CH36" s="41">
        <f t="shared" si="20"/>
        <v>0</v>
      </c>
      <c r="CI36" s="41">
        <f t="shared" si="20"/>
        <v>0</v>
      </c>
    </row>
    <row r="37" spans="1:87" ht="16.5">
      <c r="A37" s="5" t="s">
        <v>990</v>
      </c>
      <c r="B37" s="30" t="s">
        <v>465</v>
      </c>
      <c r="C37" s="17" t="s">
        <v>991</v>
      </c>
      <c r="D37" s="36">
        <f t="shared" ref="D37:AI37" si="21">D35</f>
        <v>375</v>
      </c>
      <c r="E37" s="36">
        <f t="shared" si="21"/>
        <v>375</v>
      </c>
      <c r="F37" s="36">
        <f t="shared" si="21"/>
        <v>375</v>
      </c>
      <c r="G37" s="36">
        <f t="shared" si="21"/>
        <v>375</v>
      </c>
      <c r="H37" s="36">
        <f t="shared" si="21"/>
        <v>375</v>
      </c>
      <c r="I37" s="36">
        <f t="shared" si="21"/>
        <v>375</v>
      </c>
      <c r="J37" s="36">
        <f t="shared" si="21"/>
        <v>375</v>
      </c>
      <c r="K37" s="36">
        <f t="shared" si="21"/>
        <v>375</v>
      </c>
      <c r="L37" s="36">
        <f t="shared" si="21"/>
        <v>375</v>
      </c>
      <c r="M37" s="36">
        <f t="shared" si="21"/>
        <v>375</v>
      </c>
      <c r="N37" s="36">
        <f t="shared" si="21"/>
        <v>375</v>
      </c>
      <c r="O37" s="36">
        <f t="shared" si="21"/>
        <v>375</v>
      </c>
      <c r="P37" s="36">
        <f t="shared" si="21"/>
        <v>375</v>
      </c>
      <c r="Q37" s="36">
        <f t="shared" si="21"/>
        <v>367.1875</v>
      </c>
      <c r="R37" s="36">
        <f t="shared" si="21"/>
        <v>359.375</v>
      </c>
      <c r="S37" s="36">
        <f t="shared" si="21"/>
        <v>351.5625</v>
      </c>
      <c r="T37" s="36">
        <f t="shared" si="21"/>
        <v>343.75</v>
      </c>
      <c r="U37" s="36">
        <f t="shared" si="21"/>
        <v>335.9375</v>
      </c>
      <c r="V37" s="36">
        <f t="shared" si="21"/>
        <v>328.125</v>
      </c>
      <c r="W37" s="36">
        <f t="shared" si="21"/>
        <v>320.3125</v>
      </c>
      <c r="X37" s="36">
        <f t="shared" si="21"/>
        <v>312.5</v>
      </c>
      <c r="Y37" s="36">
        <f t="shared" si="21"/>
        <v>304.6875</v>
      </c>
      <c r="Z37" s="36">
        <f t="shared" si="21"/>
        <v>296.875</v>
      </c>
      <c r="AA37" s="36">
        <f t="shared" si="21"/>
        <v>289.0625</v>
      </c>
      <c r="AB37" s="36">
        <f t="shared" si="21"/>
        <v>281.25</v>
      </c>
      <c r="AC37" s="36">
        <f t="shared" si="21"/>
        <v>273.4375</v>
      </c>
      <c r="AD37" s="36">
        <f t="shared" si="21"/>
        <v>265.625</v>
      </c>
      <c r="AE37" s="36">
        <f t="shared" si="21"/>
        <v>257.8125</v>
      </c>
      <c r="AF37" s="36">
        <f t="shared" si="21"/>
        <v>250</v>
      </c>
      <c r="AG37" s="36">
        <f t="shared" si="21"/>
        <v>242.1875</v>
      </c>
      <c r="AH37" s="36">
        <f t="shared" si="21"/>
        <v>234.375</v>
      </c>
      <c r="AI37" s="36">
        <f t="shared" si="21"/>
        <v>226.5625</v>
      </c>
      <c r="AJ37" s="36">
        <f t="shared" ref="AJ37:BO37" si="22">AJ35</f>
        <v>218.75</v>
      </c>
      <c r="AK37" s="36">
        <f t="shared" si="22"/>
        <v>210.9375</v>
      </c>
      <c r="AL37" s="36">
        <f t="shared" si="22"/>
        <v>203.125</v>
      </c>
      <c r="AM37" s="36">
        <f t="shared" si="22"/>
        <v>195.3125</v>
      </c>
      <c r="AN37" s="36">
        <f t="shared" si="22"/>
        <v>187.5</v>
      </c>
      <c r="AO37" s="36">
        <f t="shared" si="22"/>
        <v>179.6875</v>
      </c>
      <c r="AP37" s="36">
        <f t="shared" si="22"/>
        <v>171.875</v>
      </c>
      <c r="AQ37" s="36">
        <f t="shared" si="22"/>
        <v>164.0625</v>
      </c>
      <c r="AR37" s="36">
        <f t="shared" si="22"/>
        <v>156.25</v>
      </c>
      <c r="AS37" s="36">
        <f t="shared" si="22"/>
        <v>148.4375</v>
      </c>
      <c r="AT37" s="36">
        <f t="shared" si="22"/>
        <v>140.625</v>
      </c>
      <c r="AU37" s="36">
        <f t="shared" si="22"/>
        <v>132.8125</v>
      </c>
      <c r="AV37" s="36">
        <f t="shared" si="22"/>
        <v>125</v>
      </c>
      <c r="AW37" s="36">
        <f t="shared" si="22"/>
        <v>117.1875</v>
      </c>
      <c r="AX37" s="36">
        <f t="shared" si="22"/>
        <v>109.375</v>
      </c>
      <c r="AY37" s="36">
        <f t="shared" si="22"/>
        <v>101.5625</v>
      </c>
      <c r="AZ37" s="36">
        <f t="shared" si="22"/>
        <v>93.75</v>
      </c>
      <c r="BA37" s="36">
        <f t="shared" si="22"/>
        <v>85.9375</v>
      </c>
      <c r="BB37" s="36">
        <f t="shared" si="22"/>
        <v>78.125</v>
      </c>
      <c r="BC37" s="36">
        <f t="shared" si="22"/>
        <v>70.3125</v>
      </c>
      <c r="BD37" s="36">
        <f t="shared" si="22"/>
        <v>62.5</v>
      </c>
      <c r="BE37" s="36">
        <f t="shared" si="22"/>
        <v>54.6875</v>
      </c>
      <c r="BF37" s="36">
        <f t="shared" si="22"/>
        <v>46.875</v>
      </c>
      <c r="BG37" s="36">
        <f t="shared" si="22"/>
        <v>39.0625</v>
      </c>
      <c r="BH37" s="36">
        <f t="shared" si="22"/>
        <v>31.25</v>
      </c>
      <c r="BI37" s="36">
        <f t="shared" si="22"/>
        <v>23.4375</v>
      </c>
      <c r="BJ37" s="36">
        <f t="shared" si="22"/>
        <v>15.625</v>
      </c>
      <c r="BK37" s="36">
        <f t="shared" si="22"/>
        <v>7.8125</v>
      </c>
      <c r="BL37" s="36">
        <f t="shared" si="22"/>
        <v>0</v>
      </c>
      <c r="BM37" s="36">
        <f t="shared" si="22"/>
        <v>0</v>
      </c>
      <c r="BN37" s="36">
        <f t="shared" si="22"/>
        <v>0</v>
      </c>
      <c r="BO37" s="36">
        <f t="shared" si="22"/>
        <v>0</v>
      </c>
      <c r="BP37" s="36">
        <f t="shared" ref="BP37:CI37" si="23">BP35</f>
        <v>0</v>
      </c>
      <c r="BQ37" s="36">
        <f t="shared" si="23"/>
        <v>0</v>
      </c>
      <c r="BR37" s="36">
        <f t="shared" si="23"/>
        <v>0</v>
      </c>
      <c r="BS37" s="36">
        <f t="shared" si="23"/>
        <v>0</v>
      </c>
      <c r="BT37" s="36">
        <f t="shared" si="23"/>
        <v>0</v>
      </c>
      <c r="BU37" s="36">
        <f t="shared" si="23"/>
        <v>0</v>
      </c>
      <c r="BV37" s="36">
        <f t="shared" si="23"/>
        <v>0</v>
      </c>
      <c r="BW37" s="36">
        <f t="shared" si="23"/>
        <v>0</v>
      </c>
      <c r="BX37" s="36">
        <f t="shared" si="23"/>
        <v>0</v>
      </c>
      <c r="BY37" s="36">
        <f t="shared" si="23"/>
        <v>0</v>
      </c>
      <c r="BZ37" s="36">
        <f t="shared" si="23"/>
        <v>0</v>
      </c>
      <c r="CA37" s="36">
        <f t="shared" si="23"/>
        <v>0</v>
      </c>
      <c r="CB37" s="36">
        <f t="shared" si="23"/>
        <v>0</v>
      </c>
      <c r="CC37" s="36">
        <f t="shared" si="23"/>
        <v>0</v>
      </c>
      <c r="CD37" s="36">
        <f t="shared" si="23"/>
        <v>0</v>
      </c>
      <c r="CE37" s="36">
        <f t="shared" si="23"/>
        <v>0</v>
      </c>
      <c r="CF37" s="36">
        <f t="shared" si="23"/>
        <v>0</v>
      </c>
      <c r="CG37" s="36">
        <f t="shared" si="23"/>
        <v>0</v>
      </c>
      <c r="CH37" s="36">
        <f t="shared" si="23"/>
        <v>0</v>
      </c>
      <c r="CI37" s="36">
        <f t="shared" si="23"/>
        <v>0</v>
      </c>
    </row>
    <row r="38" spans="1:87" ht="16.5">
      <c r="A38" s="5" t="s">
        <v>992</v>
      </c>
      <c r="B38" s="30" t="s">
        <v>465</v>
      </c>
      <c r="C38" s="17" t="s">
        <v>993</v>
      </c>
      <c r="D38" s="41">
        <f t="shared" ref="D38:AI38" si="24">D36</f>
        <v>0</v>
      </c>
      <c r="E38" s="41">
        <f t="shared" si="24"/>
        <v>0</v>
      </c>
      <c r="F38" s="41">
        <f t="shared" si="24"/>
        <v>0</v>
      </c>
      <c r="G38" s="41">
        <f t="shared" si="24"/>
        <v>0</v>
      </c>
      <c r="H38" s="41">
        <f t="shared" si="24"/>
        <v>0</v>
      </c>
      <c r="I38" s="41">
        <f t="shared" si="24"/>
        <v>0</v>
      </c>
      <c r="J38" s="41">
        <f t="shared" si="24"/>
        <v>0</v>
      </c>
      <c r="K38" s="41">
        <f t="shared" si="24"/>
        <v>0</v>
      </c>
      <c r="L38" s="41">
        <f t="shared" si="24"/>
        <v>0</v>
      </c>
      <c r="M38" s="41">
        <f t="shared" si="24"/>
        <v>0</v>
      </c>
      <c r="N38" s="41">
        <f t="shared" si="24"/>
        <v>0</v>
      </c>
      <c r="O38" s="41">
        <f t="shared" si="24"/>
        <v>0</v>
      </c>
      <c r="P38" s="41">
        <f t="shared" si="24"/>
        <v>1562.5</v>
      </c>
      <c r="Q38" s="41">
        <f t="shared" si="24"/>
        <v>1562.5</v>
      </c>
      <c r="R38" s="41">
        <f t="shared" si="24"/>
        <v>1562.5</v>
      </c>
      <c r="S38" s="41">
        <f t="shared" si="24"/>
        <v>1562.5</v>
      </c>
      <c r="T38" s="41">
        <f t="shared" si="24"/>
        <v>1562.5</v>
      </c>
      <c r="U38" s="41">
        <f t="shared" si="24"/>
        <v>1562.5</v>
      </c>
      <c r="V38" s="41">
        <f t="shared" si="24"/>
        <v>1562.5</v>
      </c>
      <c r="W38" s="41">
        <f t="shared" si="24"/>
        <v>1562.5</v>
      </c>
      <c r="X38" s="41">
        <f t="shared" si="24"/>
        <v>1562.5</v>
      </c>
      <c r="Y38" s="41">
        <f t="shared" si="24"/>
        <v>1562.5</v>
      </c>
      <c r="Z38" s="41">
        <f t="shared" si="24"/>
        <v>1562.5</v>
      </c>
      <c r="AA38" s="41">
        <f t="shared" si="24"/>
        <v>1562.5</v>
      </c>
      <c r="AB38" s="41">
        <f t="shared" si="24"/>
        <v>1562.5</v>
      </c>
      <c r="AC38" s="41">
        <f t="shared" si="24"/>
        <v>1562.5</v>
      </c>
      <c r="AD38" s="41">
        <f t="shared" si="24"/>
        <v>1562.5</v>
      </c>
      <c r="AE38" s="41">
        <f t="shared" si="24"/>
        <v>1562.5</v>
      </c>
      <c r="AF38" s="41">
        <f t="shared" si="24"/>
        <v>1562.5</v>
      </c>
      <c r="AG38" s="41">
        <f t="shared" si="24"/>
        <v>1562.5</v>
      </c>
      <c r="AH38" s="41">
        <f t="shared" si="24"/>
        <v>1562.5</v>
      </c>
      <c r="AI38" s="41">
        <f t="shared" si="24"/>
        <v>1562.5</v>
      </c>
      <c r="AJ38" s="41">
        <f t="shared" ref="AJ38:BO38" si="25">AJ36</f>
        <v>1562.5</v>
      </c>
      <c r="AK38" s="41">
        <f t="shared" si="25"/>
        <v>1562.5</v>
      </c>
      <c r="AL38" s="41">
        <f t="shared" si="25"/>
        <v>1562.5</v>
      </c>
      <c r="AM38" s="41">
        <f t="shared" si="25"/>
        <v>1562.5</v>
      </c>
      <c r="AN38" s="41">
        <f t="shared" si="25"/>
        <v>1562.5</v>
      </c>
      <c r="AO38" s="41">
        <f t="shared" si="25"/>
        <v>1562.5</v>
      </c>
      <c r="AP38" s="41">
        <f t="shared" si="25"/>
        <v>1562.5</v>
      </c>
      <c r="AQ38" s="41">
        <f t="shared" si="25"/>
        <v>1562.5</v>
      </c>
      <c r="AR38" s="41">
        <f t="shared" si="25"/>
        <v>1562.5</v>
      </c>
      <c r="AS38" s="41">
        <f t="shared" si="25"/>
        <v>1562.5</v>
      </c>
      <c r="AT38" s="41">
        <f t="shared" si="25"/>
        <v>1562.5</v>
      </c>
      <c r="AU38" s="41">
        <f t="shared" si="25"/>
        <v>1562.5</v>
      </c>
      <c r="AV38" s="41">
        <f t="shared" si="25"/>
        <v>1562.5</v>
      </c>
      <c r="AW38" s="41">
        <f t="shared" si="25"/>
        <v>1562.5</v>
      </c>
      <c r="AX38" s="41">
        <f t="shared" si="25"/>
        <v>1562.5</v>
      </c>
      <c r="AY38" s="41">
        <f t="shared" si="25"/>
        <v>1562.5</v>
      </c>
      <c r="AZ38" s="41">
        <f t="shared" si="25"/>
        <v>1562.5</v>
      </c>
      <c r="BA38" s="41">
        <f t="shared" si="25"/>
        <v>1562.5</v>
      </c>
      <c r="BB38" s="41">
        <f t="shared" si="25"/>
        <v>1562.5</v>
      </c>
      <c r="BC38" s="41">
        <f t="shared" si="25"/>
        <v>1562.5</v>
      </c>
      <c r="BD38" s="41">
        <f t="shared" si="25"/>
        <v>1562.5</v>
      </c>
      <c r="BE38" s="41">
        <f t="shared" si="25"/>
        <v>1562.5</v>
      </c>
      <c r="BF38" s="41">
        <f t="shared" si="25"/>
        <v>1562.5</v>
      </c>
      <c r="BG38" s="41">
        <f t="shared" si="25"/>
        <v>1562.5</v>
      </c>
      <c r="BH38" s="41">
        <f t="shared" si="25"/>
        <v>1562.5</v>
      </c>
      <c r="BI38" s="41">
        <f t="shared" si="25"/>
        <v>1562.5</v>
      </c>
      <c r="BJ38" s="41">
        <f t="shared" si="25"/>
        <v>1562.5</v>
      </c>
      <c r="BK38" s="41">
        <f t="shared" si="25"/>
        <v>1562.5</v>
      </c>
      <c r="BL38" s="41">
        <f t="shared" si="25"/>
        <v>0</v>
      </c>
      <c r="BM38" s="41">
        <f t="shared" si="25"/>
        <v>0</v>
      </c>
      <c r="BN38" s="41">
        <f t="shared" si="25"/>
        <v>0</v>
      </c>
      <c r="BO38" s="41">
        <f t="shared" si="25"/>
        <v>0</v>
      </c>
      <c r="BP38" s="41">
        <f t="shared" ref="BP38:CI38" si="26">BP36</f>
        <v>0</v>
      </c>
      <c r="BQ38" s="41">
        <f t="shared" si="26"/>
        <v>0</v>
      </c>
      <c r="BR38" s="41">
        <f t="shared" si="26"/>
        <v>0</v>
      </c>
      <c r="BS38" s="41">
        <f t="shared" si="26"/>
        <v>0</v>
      </c>
      <c r="BT38" s="41">
        <f t="shared" si="26"/>
        <v>0</v>
      </c>
      <c r="BU38" s="41">
        <f t="shared" si="26"/>
        <v>0</v>
      </c>
      <c r="BV38" s="41">
        <f t="shared" si="26"/>
        <v>0</v>
      </c>
      <c r="BW38" s="41">
        <f t="shared" si="26"/>
        <v>0</v>
      </c>
      <c r="BX38" s="41">
        <f t="shared" si="26"/>
        <v>0</v>
      </c>
      <c r="BY38" s="41">
        <f t="shared" si="26"/>
        <v>0</v>
      </c>
      <c r="BZ38" s="41">
        <f t="shared" si="26"/>
        <v>0</v>
      </c>
      <c r="CA38" s="41">
        <f t="shared" si="26"/>
        <v>0</v>
      </c>
      <c r="CB38" s="41">
        <f t="shared" si="26"/>
        <v>0</v>
      </c>
      <c r="CC38" s="41">
        <f t="shared" si="26"/>
        <v>0</v>
      </c>
      <c r="CD38" s="41">
        <f t="shared" si="26"/>
        <v>0</v>
      </c>
      <c r="CE38" s="41">
        <f t="shared" si="26"/>
        <v>0</v>
      </c>
      <c r="CF38" s="41">
        <f t="shared" si="26"/>
        <v>0</v>
      </c>
      <c r="CG38" s="41">
        <f t="shared" si="26"/>
        <v>0</v>
      </c>
      <c r="CH38" s="41">
        <f t="shared" si="26"/>
        <v>0</v>
      </c>
      <c r="CI38" s="41">
        <f t="shared" si="26"/>
        <v>0</v>
      </c>
    </row>
    <row r="41" spans="1:87" ht="17.5">
      <c r="B41" s="111" t="s">
        <v>994</v>
      </c>
      <c r="C41" s="112"/>
      <c r="D41" s="112"/>
      <c r="E41" s="113"/>
    </row>
    <row r="42" spans="1:87" ht="30" customHeight="1">
      <c r="B42" s="47" t="s">
        <v>995</v>
      </c>
      <c r="C42" s="47" t="s">
        <v>965</v>
      </c>
      <c r="D42" s="47" t="s">
        <v>966</v>
      </c>
      <c r="E42" s="47" t="s">
        <v>967</v>
      </c>
    </row>
    <row r="43" spans="1:87" ht="20" customHeight="1">
      <c r="B43" s="6" t="s">
        <v>996</v>
      </c>
      <c r="C43" s="69">
        <f>IF(C8+C9+C10=0, 0, C8/(C8+C9+C10))</f>
        <v>1</v>
      </c>
      <c r="D43" s="69">
        <f>IF(D8+D9+D10=0, 0, D8/(D8+D9+D10))</f>
        <v>0.42857142857142855</v>
      </c>
      <c r="E43" s="69">
        <f>IF(E8+E9+E10=0, 0, E8/(E8+E9+E10))</f>
        <v>0.31578947368421051</v>
      </c>
    </row>
    <row r="44" spans="1:87" ht="20" customHeight="1">
      <c r="B44" s="6" t="s">
        <v>997</v>
      </c>
      <c r="C44" s="69">
        <f>IF(C8+C9+C10=0, 0, C9/(C8+C9+C10))</f>
        <v>0</v>
      </c>
      <c r="D44" s="69">
        <f>IF(D8+D9+D10=0, 0, D9/(D8+D9+D10))</f>
        <v>0.5714285714285714</v>
      </c>
      <c r="E44" s="69">
        <f>IF(E8+E9+E10=0, 0, E9/(E8+E9+E10))</f>
        <v>0.57894736842105265</v>
      </c>
    </row>
    <row r="45" spans="1:87" ht="20" customHeight="1">
      <c r="B45" s="6" t="s">
        <v>998</v>
      </c>
      <c r="C45" s="69">
        <f>IF(C8+C9+C10=0, 0, C10/(C8+C9+C10))</f>
        <v>0</v>
      </c>
      <c r="D45" s="69">
        <f>IF(D8+D9+D10=0, 0, D10/(D8+D9+D10))</f>
        <v>0</v>
      </c>
      <c r="E45" s="69">
        <f>IF(E8+E9+E10=0, 0, E10/(E8+E9+E10))</f>
        <v>0.10526315789473684</v>
      </c>
    </row>
    <row r="46" spans="1:87" ht="20" customHeight="1">
      <c r="B46" s="50" t="s">
        <v>999</v>
      </c>
      <c r="C46" s="70">
        <f>SUM(C43:C45)</f>
        <v>1</v>
      </c>
      <c r="D46" s="70">
        <f>SUM(D43:D45)</f>
        <v>1</v>
      </c>
      <c r="E46" s="70">
        <f>SUM(E43:E45)</f>
        <v>1</v>
      </c>
    </row>
    <row r="47" spans="1:87" ht="20" customHeight="1">
      <c r="B47" s="50" t="s">
        <v>1000</v>
      </c>
      <c r="C47" s="71">
        <f>C13 / ((SUM('9_FLUJO_CAJA'!$D$27:$O$27)+SUM('9_FLUJO_CAJA'!$D$28:$O$28)+SUM('9_FLUJO_CAJA'!$D$29:$O$29)) / 12)</f>
        <v>2.1952786322109636</v>
      </c>
      <c r="D47" s="71">
        <f>D13 / ((SUM('9_FLUJO_CAJA'!$D$27:$O$27)+SUM('9_FLUJO_CAJA'!$D$28:$O$28)+SUM('9_FLUJO_CAJA'!$D$29:$O$29)) / 12)</f>
        <v>7.8664150987559536</v>
      </c>
      <c r="E47" s="71">
        <f>E13 / ((SUM('9_FLUJO_CAJA'!$D$27:$O$27)+SUM('9_FLUJO_CAJA'!$D$28:$O$28)+SUM('9_FLUJO_CAJA'!$D$29:$O$29)) / 12)</f>
        <v>8.2322948707911134</v>
      </c>
    </row>
    <row r="49" spans="2:8" ht="20" customHeight="1">
      <c r="B49" s="126" t="s">
        <v>1001</v>
      </c>
      <c r="C49" s="112"/>
      <c r="D49" s="112"/>
      <c r="E49" s="113"/>
    </row>
    <row r="50" spans="2:8" ht="20" customHeight="1">
      <c r="B50" s="116" t="s">
        <v>1002</v>
      </c>
      <c r="C50" s="117"/>
      <c r="D50" s="117"/>
      <c r="E50" s="118"/>
    </row>
    <row r="51" spans="2:8" ht="20" customHeight="1">
      <c r="B51" s="119"/>
      <c r="C51" s="120"/>
      <c r="D51" s="120"/>
      <c r="E51" s="121"/>
    </row>
    <row r="52" spans="2:8" ht="20" customHeight="1">
      <c r="B52" s="119"/>
      <c r="C52" s="120"/>
      <c r="D52" s="120"/>
      <c r="E52" s="121"/>
    </row>
    <row r="53" spans="2:8" ht="20" customHeight="1">
      <c r="B53" s="119"/>
      <c r="C53" s="120"/>
      <c r="D53" s="120"/>
      <c r="E53" s="121"/>
    </row>
    <row r="54" spans="2:8" ht="20" customHeight="1">
      <c r="B54" s="119"/>
      <c r="C54" s="120"/>
      <c r="D54" s="120"/>
      <c r="E54" s="121"/>
    </row>
    <row r="55" spans="2:8" ht="20" customHeight="1">
      <c r="B55" s="119"/>
      <c r="C55" s="120"/>
      <c r="D55" s="120"/>
      <c r="E55" s="121"/>
    </row>
    <row r="56" spans="2:8" ht="20" customHeight="1">
      <c r="B56" s="122"/>
      <c r="C56" s="123"/>
      <c r="D56" s="123"/>
      <c r="E56" s="124"/>
    </row>
    <row r="58" spans="2:8" ht="24" customHeight="1">
      <c r="B58" s="109" t="s">
        <v>1003</v>
      </c>
      <c r="C58" s="110"/>
      <c r="D58" s="110"/>
      <c r="E58" s="110"/>
      <c r="F58" s="110"/>
      <c r="G58" s="110"/>
      <c r="H58" s="110"/>
    </row>
    <row r="59" spans="2:8" ht="19" customHeight="1">
      <c r="B59" s="102" t="s">
        <v>1004</v>
      </c>
      <c r="C59" s="103"/>
      <c r="D59" s="103"/>
      <c r="E59" s="103"/>
      <c r="F59" s="103"/>
      <c r="G59" s="103"/>
      <c r="H59" s="104"/>
    </row>
    <row r="60" spans="2:8" ht="19" customHeight="1">
      <c r="B60" s="105"/>
      <c r="C60" s="103"/>
      <c r="D60" s="103"/>
      <c r="E60" s="103"/>
      <c r="F60" s="103"/>
      <c r="G60" s="103"/>
      <c r="H60" s="104"/>
    </row>
    <row r="61" spans="2:8" ht="19" customHeight="1">
      <c r="B61" s="105"/>
      <c r="C61" s="103"/>
      <c r="D61" s="103"/>
      <c r="E61" s="103"/>
      <c r="F61" s="103"/>
      <c r="G61" s="103"/>
      <c r="H61" s="104"/>
    </row>
    <row r="62" spans="2:8" ht="19" customHeight="1">
      <c r="B62" s="105"/>
      <c r="C62" s="103"/>
      <c r="D62" s="103"/>
      <c r="E62" s="103"/>
      <c r="F62" s="103"/>
      <c r="G62" s="103"/>
      <c r="H62" s="104"/>
    </row>
    <row r="63" spans="2:8" ht="19" customHeight="1">
      <c r="B63" s="105"/>
      <c r="C63" s="103"/>
      <c r="D63" s="103"/>
      <c r="E63" s="103"/>
      <c r="F63" s="103"/>
      <c r="G63" s="103"/>
      <c r="H63" s="104"/>
    </row>
    <row r="64" spans="2:8" ht="19" customHeight="1">
      <c r="B64" s="105"/>
      <c r="C64" s="103"/>
      <c r="D64" s="103"/>
      <c r="E64" s="103"/>
      <c r="F64" s="103"/>
      <c r="G64" s="103"/>
      <c r="H64" s="104"/>
    </row>
    <row r="65" spans="2:8" ht="19" customHeight="1">
      <c r="B65" s="105"/>
      <c r="C65" s="103"/>
      <c r="D65" s="103"/>
      <c r="E65" s="103"/>
      <c r="F65" s="103"/>
      <c r="G65" s="103"/>
      <c r="H65" s="104"/>
    </row>
    <row r="66" spans="2:8" ht="19" customHeight="1">
      <c r="B66" s="106"/>
      <c r="C66" s="107"/>
      <c r="D66" s="107"/>
      <c r="E66" s="107"/>
      <c r="F66" s="107"/>
      <c r="G66" s="107"/>
      <c r="H66" s="108"/>
    </row>
  </sheetData>
  <mergeCells count="6">
    <mergeCell ref="B41:E41"/>
    <mergeCell ref="B49:E49"/>
    <mergeCell ref="B58:H58"/>
    <mergeCell ref="B59:H66"/>
    <mergeCell ref="B3:E3"/>
    <mergeCell ref="B50:E5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C4899"/>
  </sheetPr>
  <dimension ref="B2:I114"/>
  <sheetViews>
    <sheetView workbookViewId="0"/>
  </sheetViews>
  <sheetFormatPr baseColWidth="10" defaultColWidth="8.7265625" defaultRowHeight="14.5"/>
  <cols>
    <col min="2" max="2" width="38" customWidth="1"/>
    <col min="3" max="3" width="18" customWidth="1"/>
    <col min="4" max="4" width="12" customWidth="1"/>
    <col min="5" max="5" width="45" customWidth="1"/>
    <col min="8" max="8" width="16" customWidth="1"/>
    <col min="9" max="9" width="18" customWidth="1"/>
  </cols>
  <sheetData>
    <row r="2" spans="2:6" ht="25">
      <c r="B2" s="22" t="s">
        <v>1005</v>
      </c>
      <c r="E2" s="23" t="s">
        <v>296</v>
      </c>
      <c r="F2" s="24" t="str">
        <f>CHOOSE('1_PANEL_CONTROL'!$C$4, "🔴 1: NEGATIVO", "🟡 2: EQUILIBRIO", "🟢 3: POSITIVO")</f>
        <v>🟡 2: EQUILIBRIO</v>
      </c>
    </row>
    <row r="3" spans="2:6" ht="16.5">
      <c r="B3" s="2" t="s">
        <v>1006</v>
      </c>
    </row>
    <row r="4" spans="2:6" ht="45" customHeight="1">
      <c r="B4" s="116" t="str">
        <f>CHOOSE('1_PANEL_CONTROL'!$C$4, "[NEGATIVO] ANÁLISIS DE UNIT ECONOMICS. El alto churn del 8% y el CPL de 15 € deprimen el LTV y alargan el periodo de retorno de inversión.", "[EQUILIBRIO] ANÁLISIS DE UNIT ECONOMICS. Excelente rendimiento: ratio LTV/CAC Blended de 5.5x y periodo de retorno (Payback) de caja de 4.0 meses.", "[POSITIVO] ANÁLISIS DE UNIT ECONOMICS. Máxima eficiencia comercial: ratio LTV/CAC de 6.4x con rápida recuperación de la inversión en pauta publicitaria.")</f>
        <v>[EQUILIBRIO] ANÁLISIS DE UNIT ECONOMICS. Excelente rendimiento: ratio LTV/CAC Blended de 5.5x y periodo de retorno (Payback) de caja de 4.0 meses.</v>
      </c>
      <c r="C4" s="112"/>
      <c r="D4" s="112"/>
      <c r="E4" s="113"/>
    </row>
    <row r="5" spans="2:6" ht="16">
      <c r="B5" s="4" t="s">
        <v>1007</v>
      </c>
    </row>
    <row r="6" spans="2:6" ht="24" customHeight="1">
      <c r="B6" s="72" t="s">
        <v>1008</v>
      </c>
      <c r="C6" s="72" t="s">
        <v>1009</v>
      </c>
      <c r="D6" s="72" t="s">
        <v>367</v>
      </c>
      <c r="E6" s="72" t="s">
        <v>1010</v>
      </c>
    </row>
    <row r="7" spans="2:6" ht="20" customHeight="1">
      <c r="B7" s="6" t="s">
        <v>1011</v>
      </c>
      <c r="C7" s="48">
        <f>C8+C9</f>
        <v>69157.199999999983</v>
      </c>
      <c r="D7" s="30" t="s">
        <v>465</v>
      </c>
      <c r="E7" s="17" t="s">
        <v>1012</v>
      </c>
    </row>
    <row r="8" spans="2:6" ht="20" customHeight="1">
      <c r="B8" s="6" t="s">
        <v>1013</v>
      </c>
      <c r="C8" s="48">
        <f>SUM('8_COSTES_OPEX'!$D$26:$O$27)+SUM('8_COSTES_OPEX'!$D$29:$O$29)+SUM('8_COSTES_OPEX'!$D$31:$O$32)+SUM('8_COSTES_OPEX'!$D$34:$O$34)</f>
        <v>45156</v>
      </c>
      <c r="D8" s="30" t="s">
        <v>465</v>
      </c>
      <c r="E8" s="17" t="s">
        <v>1014</v>
      </c>
    </row>
    <row r="9" spans="2:6" ht="20" customHeight="1">
      <c r="B9" s="6" t="s">
        <v>1015</v>
      </c>
      <c r="C9" s="48">
        <f>SUM('8_COSTES_OPEX'!$D$21:$O$25)</f>
        <v>24001.19999999999</v>
      </c>
      <c r="D9" s="30" t="s">
        <v>465</v>
      </c>
      <c r="E9" s="17" t="s">
        <v>1016</v>
      </c>
    </row>
    <row r="10" spans="2:6" ht="20" customHeight="1">
      <c r="B10" s="6" t="s">
        <v>1017</v>
      </c>
      <c r="C10" s="73">
        <f>SUM('5_DETALLE_INGRESOS'!$D$16:$O$16)</f>
        <v>830</v>
      </c>
      <c r="D10" s="30" t="s">
        <v>1018</v>
      </c>
      <c r="E10" s="17" t="s">
        <v>1019</v>
      </c>
    </row>
    <row r="11" spans="2:6" ht="20" customHeight="1">
      <c r="B11" s="6" t="s">
        <v>1020</v>
      </c>
      <c r="C11" s="73">
        <f>SUM('5_DETALLE_INGRESOS'!$D$15:$O$15)</f>
        <v>60</v>
      </c>
      <c r="D11" s="30" t="s">
        <v>1018</v>
      </c>
      <c r="E11" s="17" t="s">
        <v>1021</v>
      </c>
    </row>
    <row r="12" spans="2:6" ht="20" customHeight="1">
      <c r="B12" s="5" t="s">
        <v>1022</v>
      </c>
      <c r="C12" s="74">
        <f>C7/C10</f>
        <v>83.321927710843354</v>
      </c>
      <c r="D12" s="30" t="s">
        <v>1023</v>
      </c>
      <c r="E12" s="17" t="s">
        <v>1024</v>
      </c>
    </row>
    <row r="13" spans="2:6" ht="20" customHeight="1">
      <c r="B13" s="5" t="s">
        <v>1025</v>
      </c>
      <c r="C13" s="74">
        <f>C8/C11</f>
        <v>752.6</v>
      </c>
      <c r="D13" s="30" t="s">
        <v>1023</v>
      </c>
      <c r="E13" s="17" t="s">
        <v>1026</v>
      </c>
    </row>
    <row r="16" spans="2:6" ht="16">
      <c r="B16" s="4" t="s">
        <v>1027</v>
      </c>
    </row>
    <row r="17" spans="2:5" ht="24" customHeight="1">
      <c r="B17" s="72" t="s">
        <v>1008</v>
      </c>
      <c r="C17" s="72" t="s">
        <v>1009</v>
      </c>
      <c r="D17" s="72" t="s">
        <v>367</v>
      </c>
      <c r="E17" s="72" t="s">
        <v>1010</v>
      </c>
    </row>
    <row r="18" spans="2:5" ht="20" customHeight="1">
      <c r="B18" s="6" t="s">
        <v>1028</v>
      </c>
      <c r="C18" s="75">
        <f>'1_PANEL_CONTROL'!$C$15</f>
        <v>30</v>
      </c>
      <c r="D18" s="30" t="s">
        <v>1029</v>
      </c>
      <c r="E18" s="17" t="s">
        <v>1030</v>
      </c>
    </row>
    <row r="19" spans="2:5" ht="20" customHeight="1">
      <c r="B19" s="6" t="s">
        <v>1031</v>
      </c>
      <c r="C19" s="75">
        <f>'1_PANEL_CONTROL'!$C$15 * (1 - '1_PANEL_CONTROL'!$C$138 * '1_PANEL_CONTROL'!$C$139)</f>
        <v>28.65</v>
      </c>
      <c r="D19" s="30" t="s">
        <v>1029</v>
      </c>
      <c r="E19" s="17" t="s">
        <v>1032</v>
      </c>
    </row>
    <row r="20" spans="2:5" ht="20" customHeight="1">
      <c r="B20" s="6" t="s">
        <v>1033</v>
      </c>
      <c r="C20" s="75">
        <f>SUM('5_DETALLE_INGRESOS'!D37:O37)/SUM('5_DETALLE_INGRESOS'!D18:O18)</f>
        <v>75.426769793961313</v>
      </c>
      <c r="D20" s="30" t="s">
        <v>1029</v>
      </c>
      <c r="E20" s="17" t="s">
        <v>1034</v>
      </c>
    </row>
    <row r="21" spans="2:5" ht="20" customHeight="1">
      <c r="B21" s="6" t="s">
        <v>941</v>
      </c>
      <c r="C21" s="69">
        <f>'3_HIPOTESIS_NEGOCIO'!$C$6</f>
        <v>4.8000000000000001E-2</v>
      </c>
      <c r="D21" s="30" t="s">
        <v>1035</v>
      </c>
      <c r="E21" s="17" t="s">
        <v>1036</v>
      </c>
    </row>
    <row r="22" spans="2:5" ht="20" customHeight="1">
      <c r="B22" s="5" t="s">
        <v>1037</v>
      </c>
      <c r="C22" s="76">
        <f>1/C21</f>
        <v>20.833333333333332</v>
      </c>
      <c r="D22" s="30" t="s">
        <v>1038</v>
      </c>
      <c r="E22" s="17" t="s">
        <v>1039</v>
      </c>
    </row>
    <row r="23" spans="2:5" ht="20" customHeight="1">
      <c r="B23" s="5" t="s">
        <v>1040</v>
      </c>
      <c r="C23" s="76">
        <f>C19 * C22</f>
        <v>596.87499999999989</v>
      </c>
      <c r="D23" s="30" t="s">
        <v>465</v>
      </c>
      <c r="E23" s="17" t="s">
        <v>1041</v>
      </c>
    </row>
    <row r="24" spans="2:5" ht="20" customHeight="1">
      <c r="B24" s="5" t="s">
        <v>1042</v>
      </c>
      <c r="C24" s="76">
        <f>C20 * C22</f>
        <v>1571.391037374194</v>
      </c>
      <c r="D24" s="30" t="s">
        <v>465</v>
      </c>
      <c r="E24" s="17" t="s">
        <v>1043</v>
      </c>
    </row>
    <row r="27" spans="2:5" ht="16">
      <c r="B27" s="4" t="s">
        <v>1044</v>
      </c>
    </row>
    <row r="28" spans="2:5" ht="24" customHeight="1">
      <c r="B28" s="72" t="s">
        <v>1008</v>
      </c>
      <c r="C28" s="72" t="s">
        <v>1009</v>
      </c>
      <c r="D28" s="72" t="s">
        <v>367</v>
      </c>
      <c r="E28" s="72" t="s">
        <v>1010</v>
      </c>
    </row>
    <row r="29" spans="2:5" ht="20" customHeight="1">
      <c r="B29" s="6" t="s">
        <v>1045</v>
      </c>
      <c r="C29" s="75">
        <f>0.6+0.37</f>
        <v>0.97</v>
      </c>
      <c r="D29" s="30" t="s">
        <v>1029</v>
      </c>
      <c r="E29" s="17" t="s">
        <v>1046</v>
      </c>
    </row>
    <row r="30" spans="2:5" ht="20" customHeight="1">
      <c r="B30" s="6" t="s">
        <v>1047</v>
      </c>
      <c r="C30" s="75">
        <f>C20 - C29 - (C19 * 0.025)</f>
        <v>73.740519793961312</v>
      </c>
      <c r="D30" s="30" t="s">
        <v>1029</v>
      </c>
      <c r="E30" s="17" t="s">
        <v>1048</v>
      </c>
    </row>
    <row r="31" spans="2:5" ht="20" customHeight="1">
      <c r="B31" s="6" t="s">
        <v>1049</v>
      </c>
      <c r="C31" s="75">
        <f>C19 - C29 - (C19 * 0.025)</f>
        <v>26.963750000000001</v>
      </c>
      <c r="D31" s="30" t="s">
        <v>1029</v>
      </c>
      <c r="E31" s="17" t="s">
        <v>1050</v>
      </c>
    </row>
    <row r="32" spans="2:5" ht="20" customHeight="1">
      <c r="B32" s="5" t="s">
        <v>1051</v>
      </c>
      <c r="C32" s="77">
        <f>C12/C30</f>
        <v>1.1299340978834091</v>
      </c>
      <c r="D32" s="30" t="s">
        <v>1038</v>
      </c>
      <c r="E32" s="17" t="s">
        <v>1052</v>
      </c>
    </row>
    <row r="33" spans="2:5" ht="20" customHeight="1">
      <c r="B33" s="5" t="s">
        <v>1053</v>
      </c>
      <c r="C33" s="77">
        <f>C12/C31</f>
        <v>3.0901461299278976</v>
      </c>
      <c r="D33" s="30" t="s">
        <v>1038</v>
      </c>
      <c r="E33" s="17" t="s">
        <v>1054</v>
      </c>
    </row>
    <row r="34" spans="2:5" ht="20" customHeight="1">
      <c r="B34" s="5" t="s">
        <v>1055</v>
      </c>
      <c r="C34" s="77">
        <f>C13/C30</f>
        <v>10.206057702099779</v>
      </c>
      <c r="D34" s="30" t="s">
        <v>1038</v>
      </c>
      <c r="E34" s="17" t="s">
        <v>1056</v>
      </c>
    </row>
    <row r="35" spans="2:5" ht="20" customHeight="1">
      <c r="B35" s="5" t="s">
        <v>1057</v>
      </c>
      <c r="C35" s="77">
        <f>C13/C31</f>
        <v>27.91154791154791</v>
      </c>
      <c r="D35" s="30" t="s">
        <v>1038</v>
      </c>
      <c r="E35" s="17" t="s">
        <v>1058</v>
      </c>
    </row>
    <row r="36" spans="2:5" ht="20" customHeight="1">
      <c r="B36" s="5" t="s">
        <v>1059</v>
      </c>
      <c r="C36" s="76">
        <f>C24/C12</f>
        <v>18.859273669561251</v>
      </c>
      <c r="D36" s="30" t="s">
        <v>1060</v>
      </c>
      <c r="E36" s="17" t="s">
        <v>1061</v>
      </c>
    </row>
    <row r="37" spans="2:5" ht="20" customHeight="1">
      <c r="B37" s="5" t="s">
        <v>1062</v>
      </c>
      <c r="C37" s="76">
        <f>C24/C13</f>
        <v>2.0879498237765</v>
      </c>
      <c r="D37" s="30" t="s">
        <v>1060</v>
      </c>
      <c r="E37" s="17" t="s">
        <v>1063</v>
      </c>
    </row>
    <row r="39" spans="2:5" ht="20" customHeight="1">
      <c r="B39" s="126" t="s">
        <v>1064</v>
      </c>
      <c r="C39" s="112"/>
      <c r="D39" s="112"/>
      <c r="E39" s="113"/>
    </row>
    <row r="40" spans="2:5" ht="20" customHeight="1">
      <c r="B40" s="116" t="str">
        <f>"1. RELACIÓN LTV / CAC (EFICIENCIA):" &amp; CHAR(10) &amp; "   - CUDI registra una relación LTV/CAC Blended de " &amp; TEXT(C23/C12, "0,0") &amp; "x (SaaS only) y " &amp; TEXT(C36, "0,0") &amp; "x (Consolidado), superando con creces la marca de viabilidad industrial (3.0x). Esto demuestra que cada euro invertido en captación global rinde " &amp; TEXT(C23/C12, "0,00") &amp; " € (SaaS) o " &amp; TEXT(C24/C12, "0,00") &amp; " € (Consolidado) de valor en la vida útil del cliente." &amp; CHAR(10) &amp; "   - En pauta pura de pago (CAC Paid), la relación consolidada es de " &amp; TEXT(C37, "0,0") &amp; "x, reflejando que la inversión publicitaria es rentable por sí sola." &amp; CHAR(10) &amp; CHAR(10) &amp; "2. PERIODO DE RENTABILIZACIÓN (PAYBACK PERIOD):" &amp; CHAR(10) &amp; "   - En el modelo de caja consolidado (Blended), el cliente se rentabiliza en solo " &amp; TEXT(C32, "0,0") &amp; " meses, aportando valor de caja neto durante los siguientes " &amp; TEXT(C22-C32, "0,0") &amp; " meses de su vida media de " &amp; TEXT(C22, "0,0") &amp; " meses." &amp; CHAR(10) &amp; "   - Utilizando únicamente el ingreso de la suscripción SaaS (excluyendo marketplace y seguros), el Payback es de " &amp; TEXT(C33, "0,0") &amp; " meses, un valor sumamente competitivo para una startup pet-tech B2C."</f>
        <v>1. RELACIÓN LTV / CAC (EFICIENCIA):
   - CUDI registra una relación LTV/CAC Blended de 7,2x (SaaS only) y 18,9x (Consolidado), superando con creces la marca de viabilidad industrial (3.0x). Esto demuestra que cada euro invertido en captación global rinde 7,16 € (SaaS) o 18,86 € (Consolidado) de valor en la vida útil del cliente.
   - En pauta pura de pago (CAC Paid), la relación consolidada es de 2,1x, reflejando que la inversión publicitaria es rentable por sí sola.
2. PERIODO DE RENTABILIZACIÓN (PAYBACK PERIOD):
   - En el modelo de caja consolidado (Blended), el cliente se rentabiliza en solo 1,1 meses, aportando valor de caja neto durante los siguientes 19,7 meses de su vida media de 20,8 meses.
   - Utilizando únicamente el ingreso de la suscripción SaaS (excluyendo marketplace y seguros), el Payback es de 3,1 meses, un valor sumamente competitivo para una startup pet-tech B2C.</v>
      </c>
      <c r="C40" s="117"/>
      <c r="D40" s="117"/>
      <c r="E40" s="118"/>
    </row>
    <row r="41" spans="2:5" ht="20" customHeight="1">
      <c r="B41" s="119"/>
      <c r="C41" s="120"/>
      <c r="D41" s="120"/>
      <c r="E41" s="121"/>
    </row>
    <row r="42" spans="2:5" ht="20" customHeight="1">
      <c r="B42" s="119"/>
      <c r="C42" s="120"/>
      <c r="D42" s="120"/>
      <c r="E42" s="121"/>
    </row>
    <row r="43" spans="2:5" ht="20" customHeight="1">
      <c r="B43" s="119"/>
      <c r="C43" s="120"/>
      <c r="D43" s="120"/>
      <c r="E43" s="121"/>
    </row>
    <row r="44" spans="2:5" ht="20" customHeight="1">
      <c r="B44" s="119"/>
      <c r="C44" s="120"/>
      <c r="D44" s="120"/>
      <c r="E44" s="121"/>
    </row>
    <row r="45" spans="2:5" ht="20" customHeight="1">
      <c r="B45" s="122"/>
      <c r="C45" s="123"/>
      <c r="D45" s="123"/>
      <c r="E45" s="124"/>
    </row>
    <row r="47" spans="2:5" ht="21">
      <c r="B47" s="28" t="s">
        <v>1065</v>
      </c>
    </row>
    <row r="49" spans="2:9" ht="16">
      <c r="B49" s="4" t="s">
        <v>1066</v>
      </c>
    </row>
    <row r="50" spans="2:9" ht="16">
      <c r="B50" s="72" t="s">
        <v>1067</v>
      </c>
      <c r="C50" s="72" t="s">
        <v>1068</v>
      </c>
      <c r="D50" s="72" t="s">
        <v>1069</v>
      </c>
      <c r="E50" s="72" t="s">
        <v>1070</v>
      </c>
      <c r="F50" s="72" t="s">
        <v>1071</v>
      </c>
      <c r="G50" s="72" t="s">
        <v>1072</v>
      </c>
      <c r="H50" s="72" t="s">
        <v>1073</v>
      </c>
      <c r="I50" s="72" t="s">
        <v>1074</v>
      </c>
    </row>
    <row r="51" spans="2:9" ht="19" customHeight="1">
      <c r="B51" s="30">
        <v>0</v>
      </c>
      <c r="C51" s="78">
        <f>-$C$12</f>
        <v>-83.321927710843354</v>
      </c>
      <c r="D51" s="75">
        <v>0</v>
      </c>
      <c r="E51" s="79">
        <f>C51</f>
        <v>-83.321927710843354</v>
      </c>
      <c r="F51" s="75">
        <v>0</v>
      </c>
      <c r="G51" s="79">
        <f>C51</f>
        <v>-83.321927710843354</v>
      </c>
      <c r="H51" s="6" t="s">
        <v>1075</v>
      </c>
      <c r="I51" s="6" t="s">
        <v>1075</v>
      </c>
    </row>
    <row r="52" spans="2:9" ht="19" customHeight="1">
      <c r="B52" s="30">
        <v>1</v>
      </c>
      <c r="C52" s="75">
        <v>0</v>
      </c>
      <c r="D52" s="75">
        <f t="shared" ref="D52:D75" si="0">$C$31</f>
        <v>26.963750000000001</v>
      </c>
      <c r="E52" s="79">
        <f t="shared" ref="E52:E75" si="1">E51+D52</f>
        <v>-56.35817771084335</v>
      </c>
      <c r="F52" s="75">
        <f t="shared" ref="F52:F75" si="2">$C$30</f>
        <v>73.740519793961312</v>
      </c>
      <c r="G52" s="79">
        <f t="shared" ref="G52:G75" si="3">G51+F52</f>
        <v>-9.5814079168820427</v>
      </c>
      <c r="H52" s="30" t="str">
        <f t="shared" ref="H52:H75" si="4">IF(E52&gt;=0, "S", "No")</f>
        <v>No</v>
      </c>
      <c r="I52" s="30" t="str">
        <f t="shared" ref="I52:I75" si="5">IF(G52&gt;=0, "S", "No")</f>
        <v>No</v>
      </c>
    </row>
    <row r="53" spans="2:9" ht="19" customHeight="1">
      <c r="B53" s="30">
        <v>2</v>
      </c>
      <c r="C53" s="75">
        <v>0</v>
      </c>
      <c r="D53" s="75">
        <f t="shared" si="0"/>
        <v>26.963750000000001</v>
      </c>
      <c r="E53" s="79">
        <f t="shared" si="1"/>
        <v>-29.394427710843349</v>
      </c>
      <c r="F53" s="75">
        <f t="shared" si="2"/>
        <v>73.740519793961312</v>
      </c>
      <c r="G53" s="79">
        <f t="shared" si="3"/>
        <v>64.159111877079269</v>
      </c>
      <c r="H53" s="30" t="str">
        <f t="shared" si="4"/>
        <v>No</v>
      </c>
      <c r="I53" s="30" t="str">
        <f t="shared" si="5"/>
        <v>S</v>
      </c>
    </row>
    <row r="54" spans="2:9" ht="19" customHeight="1">
      <c r="B54" s="30">
        <v>3</v>
      </c>
      <c r="C54" s="75">
        <v>0</v>
      </c>
      <c r="D54" s="75">
        <f t="shared" si="0"/>
        <v>26.963750000000001</v>
      </c>
      <c r="E54" s="79">
        <f t="shared" si="1"/>
        <v>-2.4306777108433479</v>
      </c>
      <c r="F54" s="75">
        <f t="shared" si="2"/>
        <v>73.740519793961312</v>
      </c>
      <c r="G54" s="79">
        <f t="shared" si="3"/>
        <v>137.89963167104059</v>
      </c>
      <c r="H54" s="30" t="str">
        <f t="shared" si="4"/>
        <v>No</v>
      </c>
      <c r="I54" s="30" t="str">
        <f t="shared" si="5"/>
        <v>S</v>
      </c>
    </row>
    <row r="55" spans="2:9" ht="19" customHeight="1">
      <c r="B55" s="30">
        <v>4</v>
      </c>
      <c r="C55" s="75">
        <v>0</v>
      </c>
      <c r="D55" s="75">
        <f t="shared" si="0"/>
        <v>26.963750000000001</v>
      </c>
      <c r="E55" s="79">
        <f t="shared" si="1"/>
        <v>24.533072289156653</v>
      </c>
      <c r="F55" s="75">
        <f t="shared" si="2"/>
        <v>73.740519793961312</v>
      </c>
      <c r="G55" s="79">
        <f t="shared" si="3"/>
        <v>211.64015146500191</v>
      </c>
      <c r="H55" s="30" t="str">
        <f t="shared" si="4"/>
        <v>S</v>
      </c>
      <c r="I55" s="30" t="str">
        <f t="shared" si="5"/>
        <v>S</v>
      </c>
    </row>
    <row r="56" spans="2:9" ht="19" customHeight="1">
      <c r="B56" s="30">
        <v>5</v>
      </c>
      <c r="C56" s="75">
        <v>0</v>
      </c>
      <c r="D56" s="75">
        <f t="shared" si="0"/>
        <v>26.963750000000001</v>
      </c>
      <c r="E56" s="79">
        <f t="shared" si="1"/>
        <v>51.496822289156654</v>
      </c>
      <c r="F56" s="75">
        <f t="shared" si="2"/>
        <v>73.740519793961312</v>
      </c>
      <c r="G56" s="79">
        <f t="shared" si="3"/>
        <v>285.38067125896322</v>
      </c>
      <c r="H56" s="30" t="str">
        <f t="shared" si="4"/>
        <v>S</v>
      </c>
      <c r="I56" s="30" t="str">
        <f t="shared" si="5"/>
        <v>S</v>
      </c>
    </row>
    <row r="57" spans="2:9" ht="19" customHeight="1">
      <c r="B57" s="30">
        <v>6</v>
      </c>
      <c r="C57" s="75">
        <v>0</v>
      </c>
      <c r="D57" s="75">
        <f t="shared" si="0"/>
        <v>26.963750000000001</v>
      </c>
      <c r="E57" s="79">
        <f t="shared" si="1"/>
        <v>78.460572289156659</v>
      </c>
      <c r="F57" s="75">
        <f t="shared" si="2"/>
        <v>73.740519793961312</v>
      </c>
      <c r="G57" s="79">
        <f t="shared" si="3"/>
        <v>359.12119105292453</v>
      </c>
      <c r="H57" s="30" t="str">
        <f t="shared" si="4"/>
        <v>S</v>
      </c>
      <c r="I57" s="30" t="str">
        <f t="shared" si="5"/>
        <v>S</v>
      </c>
    </row>
    <row r="58" spans="2:9" ht="19" customHeight="1">
      <c r="B58" s="30">
        <v>7</v>
      </c>
      <c r="C58" s="75">
        <v>0</v>
      </c>
      <c r="D58" s="75">
        <f t="shared" si="0"/>
        <v>26.963750000000001</v>
      </c>
      <c r="E58" s="79">
        <f t="shared" si="1"/>
        <v>105.42432228915666</v>
      </c>
      <c r="F58" s="75">
        <f t="shared" si="2"/>
        <v>73.740519793961312</v>
      </c>
      <c r="G58" s="79">
        <f t="shared" si="3"/>
        <v>432.86171084688584</v>
      </c>
      <c r="H58" s="30" t="str">
        <f t="shared" si="4"/>
        <v>S</v>
      </c>
      <c r="I58" s="30" t="str">
        <f t="shared" si="5"/>
        <v>S</v>
      </c>
    </row>
    <row r="59" spans="2:9" ht="19" customHeight="1">
      <c r="B59" s="30">
        <v>8</v>
      </c>
      <c r="C59" s="75">
        <v>0</v>
      </c>
      <c r="D59" s="75">
        <f t="shared" si="0"/>
        <v>26.963750000000001</v>
      </c>
      <c r="E59" s="79">
        <f t="shared" si="1"/>
        <v>132.38807228915667</v>
      </c>
      <c r="F59" s="75">
        <f t="shared" si="2"/>
        <v>73.740519793961312</v>
      </c>
      <c r="G59" s="79">
        <f t="shared" si="3"/>
        <v>506.60223064084715</v>
      </c>
      <c r="H59" s="30" t="str">
        <f t="shared" si="4"/>
        <v>S</v>
      </c>
      <c r="I59" s="30" t="str">
        <f t="shared" si="5"/>
        <v>S</v>
      </c>
    </row>
    <row r="60" spans="2:9" ht="19" customHeight="1">
      <c r="B60" s="30">
        <v>9</v>
      </c>
      <c r="C60" s="75">
        <v>0</v>
      </c>
      <c r="D60" s="75">
        <f t="shared" si="0"/>
        <v>26.963750000000001</v>
      </c>
      <c r="E60" s="79">
        <f t="shared" si="1"/>
        <v>159.35182228915667</v>
      </c>
      <c r="F60" s="75">
        <f t="shared" si="2"/>
        <v>73.740519793961312</v>
      </c>
      <c r="G60" s="79">
        <f t="shared" si="3"/>
        <v>580.34275043480852</v>
      </c>
      <c r="H60" s="30" t="str">
        <f t="shared" si="4"/>
        <v>S</v>
      </c>
      <c r="I60" s="30" t="str">
        <f t="shared" si="5"/>
        <v>S</v>
      </c>
    </row>
    <row r="61" spans="2:9" ht="19" customHeight="1">
      <c r="B61" s="30">
        <v>10</v>
      </c>
      <c r="C61" s="75">
        <v>0</v>
      </c>
      <c r="D61" s="75">
        <f t="shared" si="0"/>
        <v>26.963750000000001</v>
      </c>
      <c r="E61" s="79">
        <f t="shared" si="1"/>
        <v>186.31557228915668</v>
      </c>
      <c r="F61" s="75">
        <f t="shared" si="2"/>
        <v>73.740519793961312</v>
      </c>
      <c r="G61" s="79">
        <f t="shared" si="3"/>
        <v>654.08327022876983</v>
      </c>
      <c r="H61" s="30" t="str">
        <f t="shared" si="4"/>
        <v>S</v>
      </c>
      <c r="I61" s="30" t="str">
        <f t="shared" si="5"/>
        <v>S</v>
      </c>
    </row>
    <row r="62" spans="2:9" ht="19" customHeight="1">
      <c r="B62" s="30">
        <v>11</v>
      </c>
      <c r="C62" s="75">
        <v>0</v>
      </c>
      <c r="D62" s="75">
        <f t="shared" si="0"/>
        <v>26.963750000000001</v>
      </c>
      <c r="E62" s="79">
        <f t="shared" si="1"/>
        <v>213.27932228915668</v>
      </c>
      <c r="F62" s="75">
        <f t="shared" si="2"/>
        <v>73.740519793961312</v>
      </c>
      <c r="G62" s="79">
        <f t="shared" si="3"/>
        <v>727.82379002273115</v>
      </c>
      <c r="H62" s="30" t="str">
        <f t="shared" si="4"/>
        <v>S</v>
      </c>
      <c r="I62" s="30" t="str">
        <f t="shared" si="5"/>
        <v>S</v>
      </c>
    </row>
    <row r="63" spans="2:9" ht="19" customHeight="1">
      <c r="B63" s="30">
        <v>12</v>
      </c>
      <c r="C63" s="75">
        <v>0</v>
      </c>
      <c r="D63" s="75">
        <f t="shared" si="0"/>
        <v>26.963750000000001</v>
      </c>
      <c r="E63" s="79">
        <f t="shared" si="1"/>
        <v>240.24307228915669</v>
      </c>
      <c r="F63" s="75">
        <f t="shared" si="2"/>
        <v>73.740519793961312</v>
      </c>
      <c r="G63" s="79">
        <f t="shared" si="3"/>
        <v>801.56430981669246</v>
      </c>
      <c r="H63" s="30" t="str">
        <f t="shared" si="4"/>
        <v>S</v>
      </c>
      <c r="I63" s="30" t="str">
        <f t="shared" si="5"/>
        <v>S</v>
      </c>
    </row>
    <row r="64" spans="2:9" ht="19" customHeight="1">
      <c r="B64" s="30">
        <v>13</v>
      </c>
      <c r="C64" s="75">
        <v>0</v>
      </c>
      <c r="D64" s="75">
        <f t="shared" si="0"/>
        <v>26.963750000000001</v>
      </c>
      <c r="E64" s="79">
        <f t="shared" si="1"/>
        <v>267.20682228915666</v>
      </c>
      <c r="F64" s="75">
        <f t="shared" si="2"/>
        <v>73.740519793961312</v>
      </c>
      <c r="G64" s="79">
        <f t="shared" si="3"/>
        <v>875.30482961065377</v>
      </c>
      <c r="H64" s="30" t="str">
        <f t="shared" si="4"/>
        <v>S</v>
      </c>
      <c r="I64" s="30" t="str">
        <f t="shared" si="5"/>
        <v>S</v>
      </c>
    </row>
    <row r="65" spans="2:9" ht="19" customHeight="1">
      <c r="B65" s="30">
        <v>14</v>
      </c>
      <c r="C65" s="75">
        <v>0</v>
      </c>
      <c r="D65" s="75">
        <f t="shared" si="0"/>
        <v>26.963750000000001</v>
      </c>
      <c r="E65" s="79">
        <f t="shared" si="1"/>
        <v>294.17057228915667</v>
      </c>
      <c r="F65" s="75">
        <f t="shared" si="2"/>
        <v>73.740519793961312</v>
      </c>
      <c r="G65" s="79">
        <f t="shared" si="3"/>
        <v>949.04534940461508</v>
      </c>
      <c r="H65" s="30" t="str">
        <f t="shared" si="4"/>
        <v>S</v>
      </c>
      <c r="I65" s="30" t="str">
        <f t="shared" si="5"/>
        <v>S</v>
      </c>
    </row>
    <row r="66" spans="2:9" ht="19" customHeight="1">
      <c r="B66" s="30">
        <v>15</v>
      </c>
      <c r="C66" s="75">
        <v>0</v>
      </c>
      <c r="D66" s="75">
        <f t="shared" si="0"/>
        <v>26.963750000000001</v>
      </c>
      <c r="E66" s="79">
        <f t="shared" si="1"/>
        <v>321.13432228915667</v>
      </c>
      <c r="F66" s="75">
        <f t="shared" si="2"/>
        <v>73.740519793961312</v>
      </c>
      <c r="G66" s="79">
        <f t="shared" si="3"/>
        <v>1022.7858691985764</v>
      </c>
      <c r="H66" s="30" t="str">
        <f t="shared" si="4"/>
        <v>S</v>
      </c>
      <c r="I66" s="30" t="str">
        <f t="shared" si="5"/>
        <v>S</v>
      </c>
    </row>
    <row r="67" spans="2:9" ht="19" customHeight="1">
      <c r="B67" s="30">
        <v>16</v>
      </c>
      <c r="C67" s="75">
        <v>0</v>
      </c>
      <c r="D67" s="75">
        <f t="shared" si="0"/>
        <v>26.963750000000001</v>
      </c>
      <c r="E67" s="79">
        <f t="shared" si="1"/>
        <v>348.09807228915668</v>
      </c>
      <c r="F67" s="75">
        <f t="shared" si="2"/>
        <v>73.740519793961312</v>
      </c>
      <c r="G67" s="79">
        <f t="shared" si="3"/>
        <v>1096.5263889925377</v>
      </c>
      <c r="H67" s="30" t="str">
        <f t="shared" si="4"/>
        <v>S</v>
      </c>
      <c r="I67" s="30" t="str">
        <f t="shared" si="5"/>
        <v>S</v>
      </c>
    </row>
    <row r="68" spans="2:9" ht="19" customHeight="1">
      <c r="B68" s="30">
        <v>17</v>
      </c>
      <c r="C68" s="75">
        <v>0</v>
      </c>
      <c r="D68" s="75">
        <f t="shared" si="0"/>
        <v>26.963750000000001</v>
      </c>
      <c r="E68" s="79">
        <f t="shared" si="1"/>
        <v>375.06182228915668</v>
      </c>
      <c r="F68" s="75">
        <f t="shared" si="2"/>
        <v>73.740519793961312</v>
      </c>
      <c r="G68" s="79">
        <f t="shared" si="3"/>
        <v>1170.266908786499</v>
      </c>
      <c r="H68" s="30" t="str">
        <f t="shared" si="4"/>
        <v>S</v>
      </c>
      <c r="I68" s="30" t="str">
        <f t="shared" si="5"/>
        <v>S</v>
      </c>
    </row>
    <row r="69" spans="2:9" ht="19" customHeight="1">
      <c r="B69" s="30">
        <v>18</v>
      </c>
      <c r="C69" s="75">
        <v>0</v>
      </c>
      <c r="D69" s="75">
        <f t="shared" si="0"/>
        <v>26.963750000000001</v>
      </c>
      <c r="E69" s="79">
        <f t="shared" si="1"/>
        <v>402.02557228915668</v>
      </c>
      <c r="F69" s="75">
        <f t="shared" si="2"/>
        <v>73.740519793961312</v>
      </c>
      <c r="G69" s="79">
        <f t="shared" si="3"/>
        <v>1244.0074285804603</v>
      </c>
      <c r="H69" s="30" t="str">
        <f t="shared" si="4"/>
        <v>S</v>
      </c>
      <c r="I69" s="30" t="str">
        <f t="shared" si="5"/>
        <v>S</v>
      </c>
    </row>
    <row r="70" spans="2:9" ht="19" customHeight="1">
      <c r="B70" s="30">
        <v>19</v>
      </c>
      <c r="C70" s="75">
        <v>0</v>
      </c>
      <c r="D70" s="75">
        <f t="shared" si="0"/>
        <v>26.963750000000001</v>
      </c>
      <c r="E70" s="79">
        <f t="shared" si="1"/>
        <v>428.98932228915669</v>
      </c>
      <c r="F70" s="75">
        <f t="shared" si="2"/>
        <v>73.740519793961312</v>
      </c>
      <c r="G70" s="79">
        <f t="shared" si="3"/>
        <v>1317.7479483744216</v>
      </c>
      <c r="H70" s="30" t="str">
        <f t="shared" si="4"/>
        <v>S</v>
      </c>
      <c r="I70" s="30" t="str">
        <f t="shared" si="5"/>
        <v>S</v>
      </c>
    </row>
    <row r="71" spans="2:9" ht="19" customHeight="1">
      <c r="B71" s="30">
        <v>20</v>
      </c>
      <c r="C71" s="75">
        <v>0</v>
      </c>
      <c r="D71" s="75">
        <f t="shared" si="0"/>
        <v>26.963750000000001</v>
      </c>
      <c r="E71" s="79">
        <f t="shared" si="1"/>
        <v>455.95307228915669</v>
      </c>
      <c r="F71" s="75">
        <f t="shared" si="2"/>
        <v>73.740519793961312</v>
      </c>
      <c r="G71" s="79">
        <f t="shared" si="3"/>
        <v>1391.488468168383</v>
      </c>
      <c r="H71" s="30" t="str">
        <f t="shared" si="4"/>
        <v>S</v>
      </c>
      <c r="I71" s="30" t="str">
        <f t="shared" si="5"/>
        <v>S</v>
      </c>
    </row>
    <row r="72" spans="2:9" ht="19" customHeight="1">
      <c r="B72" s="30">
        <v>21</v>
      </c>
      <c r="C72" s="75">
        <v>0</v>
      </c>
      <c r="D72" s="75">
        <f t="shared" si="0"/>
        <v>26.963750000000001</v>
      </c>
      <c r="E72" s="79">
        <f t="shared" si="1"/>
        <v>482.9168222891567</v>
      </c>
      <c r="F72" s="75">
        <f t="shared" si="2"/>
        <v>73.740519793961312</v>
      </c>
      <c r="G72" s="79">
        <f t="shared" si="3"/>
        <v>1465.2289879623443</v>
      </c>
      <c r="H72" s="30" t="str">
        <f t="shared" si="4"/>
        <v>S</v>
      </c>
      <c r="I72" s="30" t="str">
        <f t="shared" si="5"/>
        <v>S</v>
      </c>
    </row>
    <row r="73" spans="2:9" ht="19" customHeight="1">
      <c r="B73" s="30">
        <v>22</v>
      </c>
      <c r="C73" s="75">
        <v>0</v>
      </c>
      <c r="D73" s="75">
        <f t="shared" si="0"/>
        <v>26.963750000000001</v>
      </c>
      <c r="E73" s="79">
        <f t="shared" si="1"/>
        <v>509.8805722891567</v>
      </c>
      <c r="F73" s="75">
        <f t="shared" si="2"/>
        <v>73.740519793961312</v>
      </c>
      <c r="G73" s="79">
        <f t="shared" si="3"/>
        <v>1538.9695077563056</v>
      </c>
      <c r="H73" s="30" t="str">
        <f t="shared" si="4"/>
        <v>S</v>
      </c>
      <c r="I73" s="30" t="str">
        <f t="shared" si="5"/>
        <v>S</v>
      </c>
    </row>
    <row r="74" spans="2:9" ht="19" customHeight="1">
      <c r="B74" s="30">
        <v>23</v>
      </c>
      <c r="C74" s="75">
        <v>0</v>
      </c>
      <c r="D74" s="75">
        <f t="shared" si="0"/>
        <v>26.963750000000001</v>
      </c>
      <c r="E74" s="79">
        <f t="shared" si="1"/>
        <v>536.84432228915671</v>
      </c>
      <c r="F74" s="75">
        <f t="shared" si="2"/>
        <v>73.740519793961312</v>
      </c>
      <c r="G74" s="79">
        <f t="shared" si="3"/>
        <v>1612.7100275502669</v>
      </c>
      <c r="H74" s="30" t="str">
        <f t="shared" si="4"/>
        <v>S</v>
      </c>
      <c r="I74" s="30" t="str">
        <f t="shared" si="5"/>
        <v>S</v>
      </c>
    </row>
    <row r="75" spans="2:9" ht="19" customHeight="1">
      <c r="B75" s="30">
        <v>24</v>
      </c>
      <c r="C75" s="75">
        <v>0</v>
      </c>
      <c r="D75" s="75">
        <f t="shared" si="0"/>
        <v>26.963750000000001</v>
      </c>
      <c r="E75" s="79">
        <f t="shared" si="1"/>
        <v>563.80807228915671</v>
      </c>
      <c r="F75" s="75">
        <f t="shared" si="2"/>
        <v>73.740519793961312</v>
      </c>
      <c r="G75" s="79">
        <f t="shared" si="3"/>
        <v>1686.4505473442282</v>
      </c>
      <c r="H75" s="30" t="str">
        <f t="shared" si="4"/>
        <v>S</v>
      </c>
      <c r="I75" s="30" t="str">
        <f t="shared" si="5"/>
        <v>S</v>
      </c>
    </row>
    <row r="78" spans="2:9" ht="16">
      <c r="B78" s="4" t="s">
        <v>1076</v>
      </c>
    </row>
    <row r="79" spans="2:9" ht="16">
      <c r="B79" s="72" t="s">
        <v>1067</v>
      </c>
      <c r="C79" s="72" t="s">
        <v>1068</v>
      </c>
      <c r="D79" s="72" t="s">
        <v>1069</v>
      </c>
      <c r="E79" s="72" t="s">
        <v>1070</v>
      </c>
      <c r="F79" s="72" t="s">
        <v>1071</v>
      </c>
      <c r="G79" s="72" t="s">
        <v>1072</v>
      </c>
      <c r="H79" s="72" t="s">
        <v>1073</v>
      </c>
      <c r="I79" s="72" t="s">
        <v>1074</v>
      </c>
    </row>
    <row r="80" spans="2:9" ht="19" customHeight="1">
      <c r="B80" s="30">
        <v>0</v>
      </c>
      <c r="C80" s="78">
        <f>-$C$13</f>
        <v>-752.6</v>
      </c>
      <c r="D80" s="75">
        <v>0</v>
      </c>
      <c r="E80" s="79">
        <f>C80</f>
        <v>-752.6</v>
      </c>
      <c r="F80" s="75">
        <v>0</v>
      </c>
      <c r="G80" s="79">
        <f>C80</f>
        <v>-752.6</v>
      </c>
      <c r="H80" s="6" t="s">
        <v>1075</v>
      </c>
      <c r="I80" s="6" t="s">
        <v>1075</v>
      </c>
    </row>
    <row r="81" spans="2:9" ht="19" customHeight="1">
      <c r="B81" s="30">
        <v>1</v>
      </c>
      <c r="C81" s="75">
        <v>0</v>
      </c>
      <c r="D81" s="75">
        <f t="shared" ref="D81:D104" si="6">$C$31</f>
        <v>26.963750000000001</v>
      </c>
      <c r="E81" s="79">
        <f t="shared" ref="E81:E104" si="7">E80+D81</f>
        <v>-725.63625000000002</v>
      </c>
      <c r="F81" s="75">
        <f t="shared" ref="F81:F104" si="8">$C$30</f>
        <v>73.740519793961312</v>
      </c>
      <c r="G81" s="79">
        <f t="shared" ref="G81:G104" si="9">G80+F81</f>
        <v>-678.85948020603871</v>
      </c>
      <c r="H81" s="30" t="str">
        <f t="shared" ref="H81:H104" si="10">IF(E81&gt;=0, "S", "No")</f>
        <v>No</v>
      </c>
      <c r="I81" s="30" t="str">
        <f t="shared" ref="I81:I104" si="11">IF(G81&gt;=0, "S", "No")</f>
        <v>No</v>
      </c>
    </row>
    <row r="82" spans="2:9" ht="19" customHeight="1">
      <c r="B82" s="30">
        <v>2</v>
      </c>
      <c r="C82" s="75">
        <v>0</v>
      </c>
      <c r="D82" s="75">
        <f t="shared" si="6"/>
        <v>26.963750000000001</v>
      </c>
      <c r="E82" s="79">
        <f t="shared" si="7"/>
        <v>-698.67250000000001</v>
      </c>
      <c r="F82" s="75">
        <f t="shared" si="8"/>
        <v>73.740519793961312</v>
      </c>
      <c r="G82" s="79">
        <f t="shared" si="9"/>
        <v>-605.1189604120774</v>
      </c>
      <c r="H82" s="30" t="str">
        <f t="shared" si="10"/>
        <v>No</v>
      </c>
      <c r="I82" s="30" t="str">
        <f t="shared" si="11"/>
        <v>No</v>
      </c>
    </row>
    <row r="83" spans="2:9" ht="19" customHeight="1">
      <c r="B83" s="30">
        <v>3</v>
      </c>
      <c r="C83" s="75">
        <v>0</v>
      </c>
      <c r="D83" s="75">
        <f t="shared" si="6"/>
        <v>26.963750000000001</v>
      </c>
      <c r="E83" s="79">
        <f t="shared" si="7"/>
        <v>-671.70875000000001</v>
      </c>
      <c r="F83" s="75">
        <f t="shared" si="8"/>
        <v>73.740519793961312</v>
      </c>
      <c r="G83" s="79">
        <f t="shared" si="9"/>
        <v>-531.37844061811609</v>
      </c>
      <c r="H83" s="30" t="str">
        <f t="shared" si="10"/>
        <v>No</v>
      </c>
      <c r="I83" s="30" t="str">
        <f t="shared" si="11"/>
        <v>No</v>
      </c>
    </row>
    <row r="84" spans="2:9" ht="19" customHeight="1">
      <c r="B84" s="30">
        <v>4</v>
      </c>
      <c r="C84" s="75">
        <v>0</v>
      </c>
      <c r="D84" s="75">
        <f t="shared" si="6"/>
        <v>26.963750000000001</v>
      </c>
      <c r="E84" s="79">
        <f t="shared" si="7"/>
        <v>-644.745</v>
      </c>
      <c r="F84" s="75">
        <f t="shared" si="8"/>
        <v>73.740519793961312</v>
      </c>
      <c r="G84" s="79">
        <f t="shared" si="9"/>
        <v>-457.63792082415478</v>
      </c>
      <c r="H84" s="30" t="str">
        <f t="shared" si="10"/>
        <v>No</v>
      </c>
      <c r="I84" s="30" t="str">
        <f t="shared" si="11"/>
        <v>No</v>
      </c>
    </row>
    <row r="85" spans="2:9" ht="19" customHeight="1">
      <c r="B85" s="30">
        <v>5</v>
      </c>
      <c r="C85" s="75">
        <v>0</v>
      </c>
      <c r="D85" s="75">
        <f t="shared" si="6"/>
        <v>26.963750000000001</v>
      </c>
      <c r="E85" s="79">
        <f t="shared" si="7"/>
        <v>-617.78125</v>
      </c>
      <c r="F85" s="75">
        <f t="shared" si="8"/>
        <v>73.740519793961312</v>
      </c>
      <c r="G85" s="79">
        <f t="shared" si="9"/>
        <v>-383.89740103019346</v>
      </c>
      <c r="H85" s="30" t="str">
        <f t="shared" si="10"/>
        <v>No</v>
      </c>
      <c r="I85" s="30" t="str">
        <f t="shared" si="11"/>
        <v>No</v>
      </c>
    </row>
    <row r="86" spans="2:9" ht="19" customHeight="1">
      <c r="B86" s="30">
        <v>6</v>
      </c>
      <c r="C86" s="75">
        <v>0</v>
      </c>
      <c r="D86" s="75">
        <f t="shared" si="6"/>
        <v>26.963750000000001</v>
      </c>
      <c r="E86" s="79">
        <f t="shared" si="7"/>
        <v>-590.8175</v>
      </c>
      <c r="F86" s="75">
        <f t="shared" si="8"/>
        <v>73.740519793961312</v>
      </c>
      <c r="G86" s="79">
        <f t="shared" si="9"/>
        <v>-310.15688123623215</v>
      </c>
      <c r="H86" s="30" t="str">
        <f t="shared" si="10"/>
        <v>No</v>
      </c>
      <c r="I86" s="30" t="str">
        <f t="shared" si="11"/>
        <v>No</v>
      </c>
    </row>
    <row r="87" spans="2:9" ht="19" customHeight="1">
      <c r="B87" s="30">
        <v>7</v>
      </c>
      <c r="C87" s="75">
        <v>0</v>
      </c>
      <c r="D87" s="75">
        <f t="shared" si="6"/>
        <v>26.963750000000001</v>
      </c>
      <c r="E87" s="79">
        <f t="shared" si="7"/>
        <v>-563.85374999999999</v>
      </c>
      <c r="F87" s="75">
        <f t="shared" si="8"/>
        <v>73.740519793961312</v>
      </c>
      <c r="G87" s="79">
        <f t="shared" si="9"/>
        <v>-236.41636144227084</v>
      </c>
      <c r="H87" s="30" t="str">
        <f t="shared" si="10"/>
        <v>No</v>
      </c>
      <c r="I87" s="30" t="str">
        <f t="shared" si="11"/>
        <v>No</v>
      </c>
    </row>
    <row r="88" spans="2:9" ht="19" customHeight="1">
      <c r="B88" s="30">
        <v>8</v>
      </c>
      <c r="C88" s="75">
        <v>0</v>
      </c>
      <c r="D88" s="75">
        <f t="shared" si="6"/>
        <v>26.963750000000001</v>
      </c>
      <c r="E88" s="79">
        <f t="shared" si="7"/>
        <v>-536.89</v>
      </c>
      <c r="F88" s="75">
        <f t="shared" si="8"/>
        <v>73.740519793961312</v>
      </c>
      <c r="G88" s="79">
        <f t="shared" si="9"/>
        <v>-162.67584164830953</v>
      </c>
      <c r="H88" s="30" t="str">
        <f t="shared" si="10"/>
        <v>No</v>
      </c>
      <c r="I88" s="30" t="str">
        <f t="shared" si="11"/>
        <v>No</v>
      </c>
    </row>
    <row r="89" spans="2:9" ht="19" customHeight="1">
      <c r="B89" s="30">
        <v>9</v>
      </c>
      <c r="C89" s="75">
        <v>0</v>
      </c>
      <c r="D89" s="75">
        <f t="shared" si="6"/>
        <v>26.963750000000001</v>
      </c>
      <c r="E89" s="79">
        <f t="shared" si="7"/>
        <v>-509.92624999999998</v>
      </c>
      <c r="F89" s="75">
        <f t="shared" si="8"/>
        <v>73.740519793961312</v>
      </c>
      <c r="G89" s="79">
        <f t="shared" si="9"/>
        <v>-88.935321854348217</v>
      </c>
      <c r="H89" s="30" t="str">
        <f t="shared" si="10"/>
        <v>No</v>
      </c>
      <c r="I89" s="30" t="str">
        <f t="shared" si="11"/>
        <v>No</v>
      </c>
    </row>
    <row r="90" spans="2:9" ht="19" customHeight="1">
      <c r="B90" s="30">
        <v>10</v>
      </c>
      <c r="C90" s="75">
        <v>0</v>
      </c>
      <c r="D90" s="75">
        <f t="shared" si="6"/>
        <v>26.963750000000001</v>
      </c>
      <c r="E90" s="79">
        <f t="shared" si="7"/>
        <v>-482.96249999999998</v>
      </c>
      <c r="F90" s="75">
        <f t="shared" si="8"/>
        <v>73.740519793961312</v>
      </c>
      <c r="G90" s="79">
        <f t="shared" si="9"/>
        <v>-15.194802060386905</v>
      </c>
      <c r="H90" s="30" t="str">
        <f t="shared" si="10"/>
        <v>No</v>
      </c>
      <c r="I90" s="30" t="str">
        <f t="shared" si="11"/>
        <v>No</v>
      </c>
    </row>
    <row r="91" spans="2:9" ht="19" customHeight="1">
      <c r="B91" s="30">
        <v>11</v>
      </c>
      <c r="C91" s="75">
        <v>0</v>
      </c>
      <c r="D91" s="75">
        <f t="shared" si="6"/>
        <v>26.963750000000001</v>
      </c>
      <c r="E91" s="79">
        <f t="shared" si="7"/>
        <v>-455.99874999999997</v>
      </c>
      <c r="F91" s="75">
        <f t="shared" si="8"/>
        <v>73.740519793961312</v>
      </c>
      <c r="G91" s="79">
        <f t="shared" si="9"/>
        <v>58.545717733574406</v>
      </c>
      <c r="H91" s="30" t="str">
        <f t="shared" si="10"/>
        <v>No</v>
      </c>
      <c r="I91" s="30" t="str">
        <f t="shared" si="11"/>
        <v>S</v>
      </c>
    </row>
    <row r="92" spans="2:9" ht="19" customHeight="1">
      <c r="B92" s="30">
        <v>12</v>
      </c>
      <c r="C92" s="75">
        <v>0</v>
      </c>
      <c r="D92" s="75">
        <f t="shared" si="6"/>
        <v>26.963750000000001</v>
      </c>
      <c r="E92" s="79">
        <f t="shared" si="7"/>
        <v>-429.03499999999997</v>
      </c>
      <c r="F92" s="75">
        <f t="shared" si="8"/>
        <v>73.740519793961312</v>
      </c>
      <c r="G92" s="79">
        <f t="shared" si="9"/>
        <v>132.28623752753572</v>
      </c>
      <c r="H92" s="30" t="str">
        <f t="shared" si="10"/>
        <v>No</v>
      </c>
      <c r="I92" s="30" t="str">
        <f t="shared" si="11"/>
        <v>S</v>
      </c>
    </row>
    <row r="93" spans="2:9" ht="19" customHeight="1">
      <c r="B93" s="30">
        <v>13</v>
      </c>
      <c r="C93" s="75">
        <v>0</v>
      </c>
      <c r="D93" s="75">
        <f t="shared" si="6"/>
        <v>26.963750000000001</v>
      </c>
      <c r="E93" s="79">
        <f t="shared" si="7"/>
        <v>-402.07124999999996</v>
      </c>
      <c r="F93" s="75">
        <f t="shared" si="8"/>
        <v>73.740519793961312</v>
      </c>
      <c r="G93" s="79">
        <f t="shared" si="9"/>
        <v>206.02675732149703</v>
      </c>
      <c r="H93" s="30" t="str">
        <f t="shared" si="10"/>
        <v>No</v>
      </c>
      <c r="I93" s="30" t="str">
        <f t="shared" si="11"/>
        <v>S</v>
      </c>
    </row>
    <row r="94" spans="2:9" ht="19" customHeight="1">
      <c r="B94" s="30">
        <v>14</v>
      </c>
      <c r="C94" s="75">
        <v>0</v>
      </c>
      <c r="D94" s="75">
        <f t="shared" si="6"/>
        <v>26.963750000000001</v>
      </c>
      <c r="E94" s="79">
        <f t="shared" si="7"/>
        <v>-375.10749999999996</v>
      </c>
      <c r="F94" s="75">
        <f t="shared" si="8"/>
        <v>73.740519793961312</v>
      </c>
      <c r="G94" s="79">
        <f t="shared" si="9"/>
        <v>279.76727711545834</v>
      </c>
      <c r="H94" s="30" t="str">
        <f t="shared" si="10"/>
        <v>No</v>
      </c>
      <c r="I94" s="30" t="str">
        <f t="shared" si="11"/>
        <v>S</v>
      </c>
    </row>
    <row r="95" spans="2:9" ht="19" customHeight="1">
      <c r="B95" s="30">
        <v>15</v>
      </c>
      <c r="C95" s="75">
        <v>0</v>
      </c>
      <c r="D95" s="75">
        <f t="shared" si="6"/>
        <v>26.963750000000001</v>
      </c>
      <c r="E95" s="79">
        <f t="shared" si="7"/>
        <v>-348.14374999999995</v>
      </c>
      <c r="F95" s="75">
        <f t="shared" si="8"/>
        <v>73.740519793961312</v>
      </c>
      <c r="G95" s="79">
        <f t="shared" si="9"/>
        <v>353.50779690941965</v>
      </c>
      <c r="H95" s="30" t="str">
        <f t="shared" si="10"/>
        <v>No</v>
      </c>
      <c r="I95" s="30" t="str">
        <f t="shared" si="11"/>
        <v>S</v>
      </c>
    </row>
    <row r="96" spans="2:9" ht="19" customHeight="1">
      <c r="B96" s="30">
        <v>16</v>
      </c>
      <c r="C96" s="75">
        <v>0</v>
      </c>
      <c r="D96" s="75">
        <f t="shared" si="6"/>
        <v>26.963750000000001</v>
      </c>
      <c r="E96" s="79">
        <f t="shared" si="7"/>
        <v>-321.17999999999995</v>
      </c>
      <c r="F96" s="75">
        <f t="shared" si="8"/>
        <v>73.740519793961312</v>
      </c>
      <c r="G96" s="79">
        <f t="shared" si="9"/>
        <v>427.24831670338097</v>
      </c>
      <c r="H96" s="30" t="str">
        <f t="shared" si="10"/>
        <v>No</v>
      </c>
      <c r="I96" s="30" t="str">
        <f t="shared" si="11"/>
        <v>S</v>
      </c>
    </row>
    <row r="97" spans="2:9" ht="19" customHeight="1">
      <c r="B97" s="30">
        <v>17</v>
      </c>
      <c r="C97" s="75">
        <v>0</v>
      </c>
      <c r="D97" s="75">
        <f t="shared" si="6"/>
        <v>26.963750000000001</v>
      </c>
      <c r="E97" s="79">
        <f t="shared" si="7"/>
        <v>-294.21624999999995</v>
      </c>
      <c r="F97" s="75">
        <f t="shared" si="8"/>
        <v>73.740519793961312</v>
      </c>
      <c r="G97" s="79">
        <f t="shared" si="9"/>
        <v>500.98883649734228</v>
      </c>
      <c r="H97" s="30" t="str">
        <f t="shared" si="10"/>
        <v>No</v>
      </c>
      <c r="I97" s="30" t="str">
        <f t="shared" si="11"/>
        <v>S</v>
      </c>
    </row>
    <row r="98" spans="2:9" ht="19" customHeight="1">
      <c r="B98" s="30">
        <v>18</v>
      </c>
      <c r="C98" s="75">
        <v>0</v>
      </c>
      <c r="D98" s="75">
        <f t="shared" si="6"/>
        <v>26.963750000000001</v>
      </c>
      <c r="E98" s="79">
        <f t="shared" si="7"/>
        <v>-267.25249999999994</v>
      </c>
      <c r="F98" s="75">
        <f t="shared" si="8"/>
        <v>73.740519793961312</v>
      </c>
      <c r="G98" s="79">
        <f t="shared" si="9"/>
        <v>574.72935629130359</v>
      </c>
      <c r="H98" s="30" t="str">
        <f t="shared" si="10"/>
        <v>No</v>
      </c>
      <c r="I98" s="30" t="str">
        <f t="shared" si="11"/>
        <v>S</v>
      </c>
    </row>
    <row r="99" spans="2:9" ht="19" customHeight="1">
      <c r="B99" s="30">
        <v>19</v>
      </c>
      <c r="C99" s="75">
        <v>0</v>
      </c>
      <c r="D99" s="75">
        <f t="shared" si="6"/>
        <v>26.963750000000001</v>
      </c>
      <c r="E99" s="79">
        <f t="shared" si="7"/>
        <v>-240.28874999999994</v>
      </c>
      <c r="F99" s="75">
        <f t="shared" si="8"/>
        <v>73.740519793961312</v>
      </c>
      <c r="G99" s="79">
        <f t="shared" si="9"/>
        <v>648.4698760852649</v>
      </c>
      <c r="H99" s="30" t="str">
        <f t="shared" si="10"/>
        <v>No</v>
      </c>
      <c r="I99" s="30" t="str">
        <f t="shared" si="11"/>
        <v>S</v>
      </c>
    </row>
    <row r="100" spans="2:9" ht="19" customHeight="1">
      <c r="B100" s="30">
        <v>20</v>
      </c>
      <c r="C100" s="75">
        <v>0</v>
      </c>
      <c r="D100" s="75">
        <f t="shared" si="6"/>
        <v>26.963750000000001</v>
      </c>
      <c r="E100" s="79">
        <f t="shared" si="7"/>
        <v>-213.32499999999993</v>
      </c>
      <c r="F100" s="75">
        <f t="shared" si="8"/>
        <v>73.740519793961312</v>
      </c>
      <c r="G100" s="79">
        <f t="shared" si="9"/>
        <v>722.21039587922621</v>
      </c>
      <c r="H100" s="30" t="str">
        <f t="shared" si="10"/>
        <v>No</v>
      </c>
      <c r="I100" s="30" t="str">
        <f t="shared" si="11"/>
        <v>S</v>
      </c>
    </row>
    <row r="101" spans="2:9" ht="19" customHeight="1">
      <c r="B101" s="30">
        <v>21</v>
      </c>
      <c r="C101" s="75">
        <v>0</v>
      </c>
      <c r="D101" s="75">
        <f t="shared" si="6"/>
        <v>26.963750000000001</v>
      </c>
      <c r="E101" s="79">
        <f t="shared" si="7"/>
        <v>-186.36124999999993</v>
      </c>
      <c r="F101" s="75">
        <f t="shared" si="8"/>
        <v>73.740519793961312</v>
      </c>
      <c r="G101" s="79">
        <f t="shared" si="9"/>
        <v>795.95091567318752</v>
      </c>
      <c r="H101" s="30" t="str">
        <f t="shared" si="10"/>
        <v>No</v>
      </c>
      <c r="I101" s="30" t="str">
        <f t="shared" si="11"/>
        <v>S</v>
      </c>
    </row>
    <row r="102" spans="2:9" ht="19" customHeight="1">
      <c r="B102" s="30">
        <v>22</v>
      </c>
      <c r="C102" s="75">
        <v>0</v>
      </c>
      <c r="D102" s="75">
        <f t="shared" si="6"/>
        <v>26.963750000000001</v>
      </c>
      <c r="E102" s="79">
        <f t="shared" si="7"/>
        <v>-159.39749999999992</v>
      </c>
      <c r="F102" s="75">
        <f t="shared" si="8"/>
        <v>73.740519793961312</v>
      </c>
      <c r="G102" s="79">
        <f t="shared" si="9"/>
        <v>869.69143546714884</v>
      </c>
      <c r="H102" s="30" t="str">
        <f t="shared" si="10"/>
        <v>No</v>
      </c>
      <c r="I102" s="30" t="str">
        <f t="shared" si="11"/>
        <v>S</v>
      </c>
    </row>
    <row r="103" spans="2:9" ht="19" customHeight="1">
      <c r="B103" s="30">
        <v>23</v>
      </c>
      <c r="C103" s="75">
        <v>0</v>
      </c>
      <c r="D103" s="75">
        <f t="shared" si="6"/>
        <v>26.963750000000001</v>
      </c>
      <c r="E103" s="79">
        <f t="shared" si="7"/>
        <v>-132.43374999999992</v>
      </c>
      <c r="F103" s="75">
        <f t="shared" si="8"/>
        <v>73.740519793961312</v>
      </c>
      <c r="G103" s="79">
        <f t="shared" si="9"/>
        <v>943.43195526111015</v>
      </c>
      <c r="H103" s="30" t="str">
        <f t="shared" si="10"/>
        <v>No</v>
      </c>
      <c r="I103" s="30" t="str">
        <f t="shared" si="11"/>
        <v>S</v>
      </c>
    </row>
    <row r="104" spans="2:9" ht="19" customHeight="1">
      <c r="B104" s="30">
        <v>24</v>
      </c>
      <c r="C104" s="75">
        <v>0</v>
      </c>
      <c r="D104" s="75">
        <f t="shared" si="6"/>
        <v>26.963750000000001</v>
      </c>
      <c r="E104" s="79">
        <f t="shared" si="7"/>
        <v>-105.46999999999991</v>
      </c>
      <c r="F104" s="75">
        <f t="shared" si="8"/>
        <v>73.740519793961312</v>
      </c>
      <c r="G104" s="79">
        <f t="shared" si="9"/>
        <v>1017.1724750550715</v>
      </c>
      <c r="H104" s="30" t="str">
        <f t="shared" si="10"/>
        <v>No</v>
      </c>
      <c r="I104" s="30" t="str">
        <f t="shared" si="11"/>
        <v>S</v>
      </c>
    </row>
    <row r="106" spans="2:9" ht="24" customHeight="1">
      <c r="B106" s="109" t="s">
        <v>1077</v>
      </c>
      <c r="C106" s="110"/>
      <c r="D106" s="110"/>
      <c r="E106" s="110"/>
      <c r="F106" s="110"/>
      <c r="G106" s="110"/>
      <c r="H106" s="110"/>
    </row>
    <row r="107" spans="2:9" ht="19" customHeight="1">
      <c r="B107" s="102" t="s">
        <v>1078</v>
      </c>
      <c r="C107" s="103"/>
      <c r="D107" s="103"/>
      <c r="E107" s="103"/>
      <c r="F107" s="103"/>
      <c r="G107" s="103"/>
      <c r="H107" s="104"/>
    </row>
    <row r="108" spans="2:9" ht="19" customHeight="1">
      <c r="B108" s="105"/>
      <c r="C108" s="103"/>
      <c r="D108" s="103"/>
      <c r="E108" s="103"/>
      <c r="F108" s="103"/>
      <c r="G108" s="103"/>
      <c r="H108" s="104"/>
    </row>
    <row r="109" spans="2:9" ht="19" customHeight="1">
      <c r="B109" s="105"/>
      <c r="C109" s="103"/>
      <c r="D109" s="103"/>
      <c r="E109" s="103"/>
      <c r="F109" s="103"/>
      <c r="G109" s="103"/>
      <c r="H109" s="104"/>
    </row>
    <row r="110" spans="2:9" ht="19" customHeight="1">
      <c r="B110" s="105"/>
      <c r="C110" s="103"/>
      <c r="D110" s="103"/>
      <c r="E110" s="103"/>
      <c r="F110" s="103"/>
      <c r="G110" s="103"/>
      <c r="H110" s="104"/>
    </row>
    <row r="111" spans="2:9" ht="19" customHeight="1">
      <c r="B111" s="105"/>
      <c r="C111" s="103"/>
      <c r="D111" s="103"/>
      <c r="E111" s="103"/>
      <c r="F111" s="103"/>
      <c r="G111" s="103"/>
      <c r="H111" s="104"/>
    </row>
    <row r="112" spans="2:9" ht="19" customHeight="1">
      <c r="B112" s="105"/>
      <c r="C112" s="103"/>
      <c r="D112" s="103"/>
      <c r="E112" s="103"/>
      <c r="F112" s="103"/>
      <c r="G112" s="103"/>
      <c r="H112" s="104"/>
    </row>
    <row r="113" spans="2:8" ht="19" customHeight="1">
      <c r="B113" s="105"/>
      <c r="C113" s="103"/>
      <c r="D113" s="103"/>
      <c r="E113" s="103"/>
      <c r="F113" s="103"/>
      <c r="G113" s="103"/>
      <c r="H113" s="104"/>
    </row>
    <row r="114" spans="2:8" ht="19" customHeight="1">
      <c r="B114" s="106"/>
      <c r="C114" s="107"/>
      <c r="D114" s="107"/>
      <c r="E114" s="107"/>
      <c r="F114" s="107"/>
      <c r="G114" s="107"/>
      <c r="H114" s="108"/>
    </row>
  </sheetData>
  <mergeCells count="5">
    <mergeCell ref="B40:E45"/>
    <mergeCell ref="B107:H114"/>
    <mergeCell ref="B4:E4"/>
    <mergeCell ref="B106:H106"/>
    <mergeCell ref="B39:E39"/>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D9488"/>
  </sheetPr>
  <dimension ref="B2:F107"/>
  <sheetViews>
    <sheetView workbookViewId="0"/>
  </sheetViews>
  <sheetFormatPr baseColWidth="10" defaultColWidth="8.7265625" defaultRowHeight="14.5"/>
  <cols>
    <col min="1" max="1" width="5" customWidth="1"/>
    <col min="2" max="2" width="42" customWidth="1"/>
    <col min="3" max="3" width="18" customWidth="1"/>
    <col min="4" max="4" width="12" customWidth="1"/>
    <col min="5" max="5" width="35" customWidth="1"/>
    <col min="6" max="6" width="40" customWidth="1"/>
    <col min="7" max="7" width="3" customWidth="1"/>
    <col min="8" max="16" width="12" customWidth="1"/>
  </cols>
  <sheetData>
    <row r="2" spans="2:6" ht="28" customHeight="1">
      <c r="B2" s="12" t="s">
        <v>1079</v>
      </c>
    </row>
    <row r="3" spans="2:6" ht="20" customHeight="1">
      <c r="B3" s="2" t="s">
        <v>1080</v>
      </c>
      <c r="C3" s="11" t="str">
        <f>CHOOSE('1_PANEL_CONTROL'!$C$4, "Escenario 1: Negativo", "Escenario 2: Equilibrio", "Escenario 3: Positivo")</f>
        <v>Escenario 2: Equilibrio</v>
      </c>
    </row>
    <row r="4" spans="2:6" ht="20" customHeight="1">
      <c r="B4" s="4" t="s">
        <v>1081</v>
      </c>
      <c r="C4" s="13" t="s">
        <v>380</v>
      </c>
    </row>
    <row r="5" spans="2:6" ht="50" customHeight="1">
      <c r="B5" s="116" t="str">
        <f>CHOOSE('1_PANEL_CONTROL'!$C$4, "[NEGATIVO] DASHBOARD INTERACTIVO. Se observa una baja ratio LTV/CAC y un burn mensual medio que compromete el runway operativo.", "[EQUILIBRIO] DASHBOARD INTERACTIVO. Control financiero dinámico: caja y evolución de KPIs clave en tiempo real.", "[POSITIVO] DASHBOARD INTERACTIVO. Excelente tracción comercial con aceleración de caja y márgenes operativos.")</f>
        <v>[EQUILIBRIO] DASHBOARD INTERACTIVO. Control financiero dinámico: caja y evolución de KPIs clave en tiempo real.</v>
      </c>
      <c r="C5" s="112"/>
      <c r="D5" s="112"/>
      <c r="E5" s="112"/>
      <c r="F5" s="113"/>
    </row>
    <row r="6" spans="2:6" ht="20" customHeight="1">
      <c r="B6" s="80" t="s">
        <v>1082</v>
      </c>
      <c r="C6" s="136" t="s">
        <v>1083</v>
      </c>
      <c r="D6" s="113"/>
      <c r="E6" s="80" t="s">
        <v>1084</v>
      </c>
      <c r="F6" s="80" t="s">
        <v>1085</v>
      </c>
    </row>
    <row r="7" spans="2:6" ht="26" customHeight="1">
      <c r="B7" s="81">
        <f>INDEX('4_PROY_DEMANDA'!$D$81:$CI$81, MATCH($C$4, '4_PROY_DEMANDA'!$D$8:$CI$8, 0))</f>
        <v>670</v>
      </c>
      <c r="C7" s="139">
        <f>INDEX('10_PL_PERDIDAS_GANANCIAS'!$D$10:$CI$10, MATCH($C$4, '10_PL_PERDIDAS_GANANCIAS'!$D$7:$CI$7, 0))</f>
        <v>40974.945104465347</v>
      </c>
      <c r="D7" s="113"/>
      <c r="E7" s="82">
        <f>INDEX('10_PL_PERDIDAS_GANANCIAS'!$D$37:$CI$37, MATCH($C$4, '10_PL_PERDIDAS_GANANCIAS'!$D$7:$CI$7, 0))</f>
        <v>11379.091476853719</v>
      </c>
      <c r="F7" s="82">
        <f>INDEX('9_FLUJO_CAJA'!$D$37:$CI$37, MATCH($C$4, '9_FLUJO_CAJA'!$D$7:$CI$7, 0))</f>
        <v>185648.46191127517</v>
      </c>
    </row>
    <row r="8" spans="2:6" ht="20" customHeight="1">
      <c r="B8" s="83" t="s">
        <v>1086</v>
      </c>
      <c r="C8" s="138" t="s">
        <v>1087</v>
      </c>
      <c r="D8" s="113"/>
      <c r="E8" s="83" t="s">
        <v>1088</v>
      </c>
      <c r="F8" s="83" t="s">
        <v>1089</v>
      </c>
    </row>
    <row r="10" spans="2:6" ht="24" customHeight="1">
      <c r="B10" s="4" t="s">
        <v>1090</v>
      </c>
    </row>
    <row r="11" spans="2:6" ht="22" customHeight="1">
      <c r="B11" s="72" t="s">
        <v>1091</v>
      </c>
      <c r="C11" s="72" t="s">
        <v>1009</v>
      </c>
      <c r="D11" s="72" t="s">
        <v>367</v>
      </c>
      <c r="E11" s="137" t="s">
        <v>1092</v>
      </c>
      <c r="F11" s="113"/>
    </row>
    <row r="12" spans="2:6" ht="20" customHeight="1">
      <c r="B12" s="5" t="s">
        <v>457</v>
      </c>
      <c r="C12" s="73">
        <f>INDEX('4_PROY_DEMANDA'!$D$72:$CI$72, MATCH($C$4, '4_PROY_DEMANDA'!$D$8:$CI$8, 0))</f>
        <v>4726.2322470296967</v>
      </c>
      <c r="D12" s="30" t="s">
        <v>1093</v>
      </c>
      <c r="E12" s="135" t="s">
        <v>1094</v>
      </c>
      <c r="F12" s="113"/>
    </row>
    <row r="13" spans="2:6" ht="20" customHeight="1">
      <c r="B13" s="5" t="s">
        <v>1095</v>
      </c>
      <c r="C13" s="73">
        <f>INDEX('4_PROY_DEMANDA'!$D$77:$CI$77, MATCH($C$4, '4_PROY_DEMANDA'!$D$8:$CI$8, 0))</f>
        <v>269</v>
      </c>
      <c r="D13" s="30" t="s">
        <v>1096</v>
      </c>
      <c r="E13" s="135" t="s">
        <v>1097</v>
      </c>
      <c r="F13" s="113"/>
    </row>
    <row r="14" spans="2:6" ht="20" customHeight="1">
      <c r="B14" s="5" t="s">
        <v>1098</v>
      </c>
      <c r="C14" s="73">
        <f>INDEX('4_PROY_DEMANDA'!$D$79:$CI$79, MATCH($C$4, '4_PROY_DEMANDA'!$D$8:$CI$8, 0))</f>
        <v>100</v>
      </c>
      <c r="D14" s="30" t="s">
        <v>1018</v>
      </c>
      <c r="E14" s="135" t="s">
        <v>1099</v>
      </c>
      <c r="F14" s="113"/>
    </row>
    <row r="15" spans="2:6" ht="20" customHeight="1">
      <c r="B15" s="5" t="s">
        <v>477</v>
      </c>
      <c r="C15" s="73">
        <f>INDEX('4_PROY_DEMANDA'!$D$81:$CI$81, MATCH($C$4, '4_PROY_DEMANDA'!$D$8:$CI$8, 0))</f>
        <v>670</v>
      </c>
      <c r="D15" s="30" t="s">
        <v>1100</v>
      </c>
      <c r="E15" s="135" t="s">
        <v>1101</v>
      </c>
      <c r="F15" s="113"/>
    </row>
    <row r="16" spans="2:6" ht="20" customHeight="1">
      <c r="B16" s="5" t="s">
        <v>1102</v>
      </c>
      <c r="C16" s="73">
        <f>INDEX('4_PROY_DEMANDA'!$D$83:$CI$83, MATCH($C$4, '4_PROY_DEMANDA'!$D$8:$CI$8, 0))</f>
        <v>201</v>
      </c>
      <c r="D16" s="30" t="s">
        <v>1103</v>
      </c>
      <c r="E16" s="135" t="s">
        <v>1104</v>
      </c>
      <c r="F16" s="113"/>
    </row>
    <row r="17" spans="2:6" ht="20" customHeight="1">
      <c r="B17" s="5" t="s">
        <v>1105</v>
      </c>
      <c r="C17" s="73">
        <f>INDEX('4_PROY_DEMANDA'!$D$84:$CI$84, MATCH($C$4, '4_PROY_DEMANDA'!$D$8:$CI$8, 0))</f>
        <v>100</v>
      </c>
      <c r="D17" s="30" t="s">
        <v>1106</v>
      </c>
      <c r="E17" s="135" t="s">
        <v>1107</v>
      </c>
      <c r="F17" s="113"/>
    </row>
    <row r="18" spans="2:6" ht="20" customHeight="1">
      <c r="B18" s="5" t="s">
        <v>486</v>
      </c>
      <c r="C18" s="73">
        <f>INDEX('4_PROY_DEMANDA'!$D$86:$CI$86, MATCH($C$4, '4_PROY_DEMANDA'!$D$8:$CI$8, 0))</f>
        <v>30</v>
      </c>
      <c r="D18" s="30" t="s">
        <v>1108</v>
      </c>
      <c r="E18" s="135" t="s">
        <v>1109</v>
      </c>
      <c r="F18" s="113"/>
    </row>
    <row r="19" spans="2:6" ht="20" customHeight="1">
      <c r="B19" s="5" t="s">
        <v>489</v>
      </c>
      <c r="C19" s="73">
        <f>INDEX('4_PROY_DEMANDA'!$D$88:$CI$88, MATCH($C$4, '4_PROY_DEMANDA'!$D$8:$CI$8, 0))</f>
        <v>134</v>
      </c>
      <c r="D19" s="30" t="s">
        <v>1110</v>
      </c>
      <c r="E19" s="135" t="s">
        <v>1111</v>
      </c>
      <c r="F19" s="113"/>
    </row>
    <row r="21" spans="2:6" ht="24" customHeight="1">
      <c r="B21" s="4" t="s">
        <v>1112</v>
      </c>
    </row>
    <row r="22" spans="2:6" ht="22" customHeight="1">
      <c r="B22" s="72" t="s">
        <v>1091</v>
      </c>
      <c r="C22" s="72" t="s">
        <v>1009</v>
      </c>
      <c r="D22" s="72" t="s">
        <v>367</v>
      </c>
      <c r="E22" s="137" t="s">
        <v>1092</v>
      </c>
      <c r="F22" s="113"/>
    </row>
    <row r="23" spans="2:6" ht="20" customHeight="1">
      <c r="B23" s="5" t="s">
        <v>1113</v>
      </c>
      <c r="C23" s="48">
        <f>INDEX('10_PL_PERDIDAS_GANANCIAS'!$D$10:$CI$10, MATCH($C$4, '10_PL_PERDIDAS_GANANCIAS'!$D$7:$CI$7, 0))</f>
        <v>40974.945104465347</v>
      </c>
      <c r="D23" s="30" t="s">
        <v>465</v>
      </c>
      <c r="E23" s="135" t="s">
        <v>1114</v>
      </c>
      <c r="F23" s="113"/>
    </row>
    <row r="24" spans="2:6" ht="20" customHeight="1">
      <c r="B24" s="5" t="s">
        <v>951</v>
      </c>
      <c r="C24" s="48">
        <f>INDEX('10_PL_PERDIDAS_GANANCIAS'!$D$17:$CI$17, MATCH($C$4, '10_PL_PERDIDAS_GANANCIAS'!$D$7:$CI$7, 0))</f>
        <v>5924.2736276116339</v>
      </c>
      <c r="D24" s="30" t="s">
        <v>465</v>
      </c>
      <c r="E24" s="135" t="s">
        <v>1115</v>
      </c>
      <c r="F24" s="113"/>
    </row>
    <row r="25" spans="2:6" ht="20" customHeight="1">
      <c r="B25" s="5" t="s">
        <v>1116</v>
      </c>
      <c r="C25" s="48">
        <f>INDEX('10_PL_PERDIDAS_GANANCIAS'!$D$23:$CI$23, MATCH($C$4, '10_PL_PERDIDAS_GANANCIAS'!$D$7:$CI$7, 0))</f>
        <v>35050.671476853713</v>
      </c>
      <c r="D25" s="30" t="s">
        <v>465</v>
      </c>
      <c r="E25" s="135" t="s">
        <v>1117</v>
      </c>
      <c r="F25" s="113"/>
    </row>
    <row r="26" spans="2:6" ht="20" customHeight="1">
      <c r="B26" s="5" t="s">
        <v>748</v>
      </c>
      <c r="C26" s="69">
        <f>INDEX('10_PL_PERDIDAS_GANANCIAS'!$D$24:$CI$24, MATCH($C$4, '10_PL_PERDIDAS_GANANCIAS'!$D$7:$CI$7, 0))</f>
        <v>0.85541716742981011</v>
      </c>
      <c r="D26" s="30" t="s">
        <v>1035</v>
      </c>
      <c r="E26" s="135" t="s">
        <v>1118</v>
      </c>
      <c r="F26" s="113"/>
    </row>
    <row r="27" spans="2:6" ht="20" customHeight="1">
      <c r="B27" s="5" t="s">
        <v>1119</v>
      </c>
      <c r="C27" s="48">
        <f>INDEX('10_PL_PERDIDAS_GANANCIAS'!$D$25:$CI$25, MATCH($C$4, '10_PL_PERDIDAS_GANANCIAS'!$D$7:$CI$7, 0))</f>
        <v>23671.579999999994</v>
      </c>
      <c r="D27" s="30" t="s">
        <v>465</v>
      </c>
      <c r="E27" s="135" t="s">
        <v>1120</v>
      </c>
      <c r="F27" s="113"/>
    </row>
    <row r="28" spans="2:6" ht="20" customHeight="1">
      <c r="B28" s="5" t="s">
        <v>1121</v>
      </c>
      <c r="C28" s="84">
        <f>INDEX('10_PL_PERDIDAS_GANANCIAS'!$D$37:$CI$37, MATCH($C$4, '10_PL_PERDIDAS_GANANCIAS'!$D$7:$CI$7, 0))</f>
        <v>11379.091476853719</v>
      </c>
      <c r="D28" s="30" t="s">
        <v>465</v>
      </c>
      <c r="E28" s="135" t="s">
        <v>1122</v>
      </c>
      <c r="F28" s="113"/>
    </row>
    <row r="29" spans="2:6" ht="20" customHeight="1">
      <c r="B29" s="5" t="s">
        <v>773</v>
      </c>
      <c r="C29" s="85">
        <f>INDEX('10_PL_PERDIDAS_GANANCIAS'!$D$38:$CI$38, MATCH($C$4, '10_PL_PERDIDAS_GANANCIAS'!$D$7:$CI$7, 0))</f>
        <v>0.27770852280199038</v>
      </c>
      <c r="D29" s="30" t="s">
        <v>1035</v>
      </c>
      <c r="E29" s="135" t="s">
        <v>1123</v>
      </c>
      <c r="F29" s="113"/>
    </row>
    <row r="30" spans="2:6" ht="20" customHeight="1">
      <c r="B30" s="5" t="s">
        <v>1124</v>
      </c>
      <c r="C30" s="84">
        <f>INDEX('10_PL_PERDIDAS_GANANCIAS'!$D$44:$CI$44, MATCH($C$4, '10_PL_PERDIDAS_GANANCIAS'!$D$7:$CI$7, 0))</f>
        <v>8693.2322667144381</v>
      </c>
      <c r="D30" s="30" t="s">
        <v>465</v>
      </c>
      <c r="E30" s="135" t="s">
        <v>1125</v>
      </c>
      <c r="F30" s="113"/>
    </row>
    <row r="32" spans="2:6" ht="24" customHeight="1">
      <c r="B32" s="4" t="s">
        <v>1126</v>
      </c>
    </row>
    <row r="33" spans="2:6" ht="22" customHeight="1">
      <c r="B33" s="72" t="s">
        <v>1091</v>
      </c>
      <c r="C33" s="72" t="s">
        <v>1009</v>
      </c>
      <c r="D33" s="72" t="s">
        <v>367</v>
      </c>
      <c r="E33" s="137" t="s">
        <v>1092</v>
      </c>
      <c r="F33" s="113"/>
    </row>
    <row r="34" spans="2:6" ht="20" customHeight="1">
      <c r="B34" s="5" t="s">
        <v>1127</v>
      </c>
      <c r="C34" s="86">
        <f>INDEX('9_FLUJO_CAJA'!$D$36:$CI$36, MATCH($C$4, '9_FLUJO_CAJA'!$D$7:$CI$7, 0))</f>
        <v>15058.591476853719</v>
      </c>
      <c r="D34" s="30" t="s">
        <v>465</v>
      </c>
      <c r="E34" s="135" t="s">
        <v>1128</v>
      </c>
      <c r="F34" s="113"/>
    </row>
    <row r="35" spans="2:6" ht="20" customHeight="1">
      <c r="B35" s="5" t="s">
        <v>1129</v>
      </c>
      <c r="C35" s="87">
        <f>INDEX('9_FLUJO_CAJA'!$D$37:$CI$37, MATCH($C$4, '9_FLUJO_CAJA'!$D$7:$CI$7, 0))</f>
        <v>185648.46191127517</v>
      </c>
      <c r="D35" s="30" t="s">
        <v>465</v>
      </c>
      <c r="E35" s="135" t="s">
        <v>1130</v>
      </c>
      <c r="F35" s="113"/>
    </row>
    <row r="36" spans="2:6" ht="20" customHeight="1">
      <c r="B36" s="5" t="s">
        <v>1131</v>
      </c>
      <c r="C36" s="86">
        <f>'1_PANEL_CONTROL'!$C$11</f>
        <v>500</v>
      </c>
      <c r="D36" s="30" t="s">
        <v>465</v>
      </c>
      <c r="E36" s="135" t="s">
        <v>1132</v>
      </c>
      <c r="F36" s="113"/>
    </row>
    <row r="37" spans="2:6" ht="20" customHeight="1">
      <c r="B37" s="5" t="s">
        <v>1133</v>
      </c>
      <c r="C37" s="88" t="str">
        <f>IF(INDEX('9_FLUJO_CAJA'!$D$36:$CI$36, MATCH($C$4, '9_FLUJO_CAJA'!$D$7:$CI$7, 0))&gt;=0, "Rentable", INDEX('9_FLUJO_CAJA'!$D$37:$CI$37, MATCH($C$4, '9_FLUJO_CAJA'!$D$7:$CI$7, 0))/(-INDEX('9_FLUJO_CAJA'!$D$36:$CI$36, MATCH($C$4, '9_FLUJO_CAJA'!$D$7:$CI$7, 0))))</f>
        <v>Rentable</v>
      </c>
      <c r="D37" s="30" t="s">
        <v>1038</v>
      </c>
      <c r="E37" s="135" t="s">
        <v>1134</v>
      </c>
      <c r="F37" s="113"/>
    </row>
    <row r="39" spans="2:6" ht="24" customHeight="1">
      <c r="B39" s="4" t="s">
        <v>1135</v>
      </c>
    </row>
    <row r="40" spans="2:6" ht="22" customHeight="1">
      <c r="B40" s="72" t="s">
        <v>1091</v>
      </c>
      <c r="C40" s="72" t="s">
        <v>1009</v>
      </c>
      <c r="D40" s="72" t="s">
        <v>367</v>
      </c>
      <c r="E40" s="137" t="s">
        <v>1092</v>
      </c>
      <c r="F40" s="113"/>
    </row>
    <row r="41" spans="2:6" ht="20" customHeight="1">
      <c r="B41" s="5" t="s">
        <v>1022</v>
      </c>
      <c r="C41" s="75">
        <f>'14_UNIT_ECONOMICS_CAC_LTV'!$C$12</f>
        <v>83.321927710843354</v>
      </c>
      <c r="D41" s="30" t="s">
        <v>1023</v>
      </c>
      <c r="E41" s="135" t="s">
        <v>1136</v>
      </c>
      <c r="F41" s="113"/>
    </row>
    <row r="42" spans="2:6" ht="20" customHeight="1">
      <c r="B42" s="5" t="s">
        <v>1025</v>
      </c>
      <c r="C42" s="75">
        <f>'14_UNIT_ECONOMICS_CAC_LTV'!$C$13</f>
        <v>752.6</v>
      </c>
      <c r="D42" s="30" t="s">
        <v>1023</v>
      </c>
      <c r="E42" s="135" t="s">
        <v>1137</v>
      </c>
      <c r="F42" s="113"/>
    </row>
    <row r="43" spans="2:6" ht="20" customHeight="1">
      <c r="B43" s="5" t="s">
        <v>1138</v>
      </c>
      <c r="C43" s="75">
        <f>'14_UNIT_ECONOMICS_CAC_LTV'!$C$23</f>
        <v>596.87499999999989</v>
      </c>
      <c r="D43" s="30" t="s">
        <v>465</v>
      </c>
      <c r="E43" s="135" t="s">
        <v>1139</v>
      </c>
      <c r="F43" s="113"/>
    </row>
    <row r="44" spans="2:6" ht="20" customHeight="1">
      <c r="B44" s="5" t="s">
        <v>1140</v>
      </c>
      <c r="C44" s="75">
        <f>'14_UNIT_ECONOMICS_CAC_LTV'!$C$24</f>
        <v>1571.391037374194</v>
      </c>
      <c r="D44" s="30" t="s">
        <v>465</v>
      </c>
      <c r="E44" s="135" t="s">
        <v>1141</v>
      </c>
      <c r="F44" s="113"/>
    </row>
    <row r="45" spans="2:6" ht="20" customHeight="1">
      <c r="B45" s="5" t="s">
        <v>1059</v>
      </c>
      <c r="C45" s="89">
        <f>'14_UNIT_ECONOMICS_CAC_LTV'!$C$36</f>
        <v>18.859273669561251</v>
      </c>
      <c r="D45" s="30" t="s">
        <v>1060</v>
      </c>
      <c r="E45" s="135" t="s">
        <v>1142</v>
      </c>
      <c r="F45" s="113"/>
    </row>
    <row r="46" spans="2:6" ht="20" customHeight="1">
      <c r="B46" s="5" t="s">
        <v>1062</v>
      </c>
      <c r="C46" s="89">
        <f>'14_UNIT_ECONOMICS_CAC_LTV'!$C$37</f>
        <v>2.0879498237765</v>
      </c>
      <c r="D46" s="30" t="s">
        <v>1060</v>
      </c>
      <c r="E46" s="135" t="s">
        <v>1143</v>
      </c>
      <c r="F46" s="113"/>
    </row>
    <row r="47" spans="2:6" ht="20" customHeight="1">
      <c r="B47" s="5" t="s">
        <v>1053</v>
      </c>
      <c r="C47" s="90">
        <f>'14_UNIT_ECONOMICS_CAC_LTV'!$C$33</f>
        <v>3.0901461299278976</v>
      </c>
      <c r="D47" s="30" t="s">
        <v>1038</v>
      </c>
      <c r="E47" s="135" t="s">
        <v>1144</v>
      </c>
      <c r="F47" s="113"/>
    </row>
    <row r="48" spans="2:6" ht="20" customHeight="1">
      <c r="B48" s="5" t="s">
        <v>1055</v>
      </c>
      <c r="C48" s="90">
        <f>'14_UNIT_ECONOMICS_CAC_LTV'!$C$34</f>
        <v>10.206057702099779</v>
      </c>
      <c r="D48" s="30" t="s">
        <v>1038</v>
      </c>
      <c r="E48" s="135" t="s">
        <v>1145</v>
      </c>
      <c r="F48" s="113"/>
    </row>
    <row r="50" spans="2:6" ht="24" customHeight="1">
      <c r="B50" s="4" t="s">
        <v>1146</v>
      </c>
    </row>
    <row r="51" spans="2:6" ht="22" customHeight="1">
      <c r="B51" s="72" t="s">
        <v>1091</v>
      </c>
      <c r="C51" s="72" t="s">
        <v>1009</v>
      </c>
      <c r="D51" s="72" t="s">
        <v>367</v>
      </c>
      <c r="E51" s="137" t="s">
        <v>1092</v>
      </c>
      <c r="F51" s="113"/>
    </row>
    <row r="52" spans="2:6" ht="20" customHeight="1">
      <c r="B52" s="5" t="s">
        <v>1147</v>
      </c>
      <c r="C52" s="48">
        <f>'13_CAP_TABLE_FINANCIACION'!$C$15</f>
        <v>215000</v>
      </c>
      <c r="D52" s="30" t="s">
        <v>465</v>
      </c>
      <c r="E52" s="135" t="str">
        <f>"Capital disponible en Mes 1 (" &amp; CHOOSE('1_PANEL_CONTROL'!$C$4, "Aportación de Socios Fundadores (Bootstrap)", "Aportación de Socios + Inversores Business Angels + Préstamo ENISA", "Aportación de Socios + Venture Capital + Crowdfunding + Deuda RBF") &amp; ")"</f>
        <v>Capital disponible en Mes 1 (Aportación de Socios + Inversores Business Angels + Préstamo ENISA)</v>
      </c>
      <c r="F52" s="113"/>
    </row>
    <row r="53" spans="2:6" ht="20" customHeight="1">
      <c r="B53" s="5" t="s">
        <v>1148</v>
      </c>
      <c r="C53" s="48">
        <f>SUM('10_PL_PERDIDAS_GANANCIAS'!$D$37:$AM$37)</f>
        <v>1285000.1550218095</v>
      </c>
      <c r="D53" s="30" t="s">
        <v>465</v>
      </c>
      <c r="E53" s="135" t="s">
        <v>1149</v>
      </c>
      <c r="F53" s="113"/>
    </row>
    <row r="54" spans="2:6" ht="20" customHeight="1">
      <c r="B54" s="5" t="s">
        <v>1150</v>
      </c>
      <c r="C54" s="85">
        <f>IF(C52&gt;0, C53/C52, 0)</f>
        <v>5.9767449070781842</v>
      </c>
      <c r="D54" s="30" t="s">
        <v>1035</v>
      </c>
      <c r="E54" s="135" t="s">
        <v>1151</v>
      </c>
      <c r="F54" s="113"/>
    </row>
    <row r="55" spans="2:6" ht="20" customHeight="1">
      <c r="B55" s="5" t="s">
        <v>1152</v>
      </c>
      <c r="C55" s="90">
        <f>'14_UNIT_ECONOMICS_CAC_LTV'!$C$33</f>
        <v>3.0901461299278976</v>
      </c>
      <c r="D55" s="30" t="s">
        <v>1038</v>
      </c>
      <c r="E55" s="135" t="s">
        <v>1153</v>
      </c>
      <c r="F55" s="113"/>
    </row>
    <row r="56" spans="2:6" ht="20" customHeight="1">
      <c r="B56" s="5" t="s">
        <v>1154</v>
      </c>
      <c r="C56" s="69">
        <f>AVERAGE('10_PL_PERDIDAS_GANANCIAS'!$D$38:$AM$38)</f>
        <v>0.17208406919525623</v>
      </c>
      <c r="D56" s="30" t="s">
        <v>1035</v>
      </c>
      <c r="E56" s="135" t="s">
        <v>1155</v>
      </c>
      <c r="F56" s="113"/>
    </row>
    <row r="57" spans="2:6" ht="20" customHeight="1">
      <c r="B57" s="5" t="s">
        <v>1156</v>
      </c>
      <c r="C57" s="63" t="str">
        <f>CHOOSE('1_PANEL_CONTROL'!$C$4, "No alcanzado (Pérdidas)", "Mes 12 (Dic-2026)", "Mes 3 (Mar-2026)")</f>
        <v>Mes 12 (Dic-2026)</v>
      </c>
      <c r="D57" s="30" t="s">
        <v>1157</v>
      </c>
      <c r="E57" s="135" t="s">
        <v>1158</v>
      </c>
      <c r="F57" s="113"/>
    </row>
    <row r="59" spans="2:6" ht="15" customHeight="1"/>
    <row r="60" spans="2:6" ht="24" customHeight="1">
      <c r="B60" s="4" t="s">
        <v>1159</v>
      </c>
    </row>
    <row r="61" spans="2:6" ht="22" customHeight="1">
      <c r="B61" s="91" t="s">
        <v>1067</v>
      </c>
      <c r="C61" s="91" t="s">
        <v>1160</v>
      </c>
      <c r="D61" s="91" t="s">
        <v>1161</v>
      </c>
    </row>
    <row r="62" spans="2:6" ht="18" customHeight="1">
      <c r="B62" s="92" t="s">
        <v>369</v>
      </c>
      <c r="C62" s="93">
        <f>'10_PL_PERDIDAS_GANANCIAS'!D10</f>
        <v>12116.7173</v>
      </c>
      <c r="D62" s="93">
        <f>'10_PL_PERDIDAS_GANANCIAS'!D17+'10_PL_PERDIDAS_GANANCIAS'!D25</f>
        <v>24156.117932499994</v>
      </c>
    </row>
    <row r="63" spans="2:6" ht="18" customHeight="1">
      <c r="B63" s="92" t="s">
        <v>370</v>
      </c>
      <c r="C63" s="93">
        <f>'10_PL_PERDIDAS_GANANCIAS'!E10</f>
        <v>14168.269100000001</v>
      </c>
      <c r="D63" s="93">
        <f>'10_PL_PERDIDAS_GANANCIAS'!E17+'10_PL_PERDIDAS_GANANCIAS'!E25</f>
        <v>28383.496727499994</v>
      </c>
    </row>
    <row r="64" spans="2:6" ht="18" customHeight="1">
      <c r="B64" s="92" t="s">
        <v>371</v>
      </c>
      <c r="C64" s="93">
        <f>'10_PL_PERDIDAS_GANANCIAS'!F10</f>
        <v>16247.140004000001</v>
      </c>
      <c r="D64" s="93">
        <f>'10_PL_PERDIDAS_GANANCIAS'!F17+'10_PL_PERDIDAS_GANANCIAS'!F25</f>
        <v>28032.378500099992</v>
      </c>
    </row>
    <row r="65" spans="2:4" ht="18" customHeight="1">
      <c r="B65" s="92" t="s">
        <v>372</v>
      </c>
      <c r="C65" s="93">
        <f>'10_PL_PERDIDAS_GANANCIAS'!G10</f>
        <v>18539.141820320001</v>
      </c>
      <c r="D65" s="93">
        <f>'10_PL_PERDIDAS_GANANCIAS'!G17+'10_PL_PERDIDAS_GANANCIAS'!G25</f>
        <v>25303.358545507996</v>
      </c>
    </row>
    <row r="66" spans="2:4" ht="18" customHeight="1">
      <c r="B66" s="92" t="s">
        <v>373</v>
      </c>
      <c r="C66" s="93">
        <f>'10_PL_PERDIDAS_GANANCIAS'!H10</f>
        <v>20856.325301945602</v>
      </c>
      <c r="D66" s="93">
        <f>'10_PL_PERDIDAS_GANANCIAS'!H17+'10_PL_PERDIDAS_GANANCIAS'!H25</f>
        <v>25729.758132548635</v>
      </c>
    </row>
    <row r="67" spans="2:4" ht="18" customHeight="1">
      <c r="B67" s="92" t="s">
        <v>374</v>
      </c>
      <c r="C67" s="93">
        <f>'10_PL_PERDIDAS_GANANCIAS'!I10</f>
        <v>23300.803342101248</v>
      </c>
      <c r="D67" s="93">
        <f>'10_PL_PERDIDAS_GANANCIAS'!I17+'10_PL_PERDIDAS_GANANCIAS'!I25</f>
        <v>26208.780083552527</v>
      </c>
    </row>
    <row r="68" spans="2:4" ht="18" customHeight="1">
      <c r="B68" s="92" t="s">
        <v>375</v>
      </c>
      <c r="C68" s="93">
        <f>'10_PL_PERDIDAS_GANANCIAS'!J10</f>
        <v>25787.801265469345</v>
      </c>
      <c r="D68" s="93">
        <f>'10_PL_PERDIDAS_GANANCIAS'!J17+'10_PL_PERDIDAS_GANANCIAS'!J25</f>
        <v>26655.30503163673</v>
      </c>
    </row>
    <row r="69" spans="2:4" ht="18" customHeight="1">
      <c r="B69" s="92" t="s">
        <v>376</v>
      </c>
      <c r="C69" s="93">
        <f>'10_PL_PERDIDAS_GANANCIAS'!K10</f>
        <v>28478.8132227069</v>
      </c>
      <c r="D69" s="93">
        <f>'10_PL_PERDIDAS_GANANCIAS'!K17+'10_PL_PERDIDAS_GANANCIAS'!K25</f>
        <v>27156.370330567668</v>
      </c>
    </row>
    <row r="70" spans="2:4" ht="18" customHeight="1">
      <c r="B70" s="92" t="s">
        <v>377</v>
      </c>
      <c r="C70" s="93">
        <f>'10_PL_PERDIDAS_GANANCIAS'!L10</f>
        <v>31350.351696523445</v>
      </c>
      <c r="D70" s="93">
        <f>'10_PL_PERDIDAS_GANANCIAS'!L17+'10_PL_PERDIDAS_GANANCIAS'!L25</f>
        <v>27719.328792413082</v>
      </c>
    </row>
    <row r="71" spans="2:4" ht="18" customHeight="1">
      <c r="B71" s="92" t="s">
        <v>378</v>
      </c>
      <c r="C71" s="93">
        <f>'10_PL_PERDIDAS_GANANCIAS'!M10</f>
        <v>34360.834128245326</v>
      </c>
      <c r="D71" s="93">
        <f>'10_PL_PERDIDAS_GANANCIAS'!M17+'10_PL_PERDIDAS_GANANCIAS'!M25</f>
        <v>30097.670853206128</v>
      </c>
    </row>
    <row r="72" spans="2:4" ht="18" customHeight="1">
      <c r="B72" s="92" t="s">
        <v>379</v>
      </c>
      <c r="C72" s="93">
        <f>'10_PL_PERDIDAS_GANANCIAS'!N10</f>
        <v>37562.459674504949</v>
      </c>
      <c r="D72" s="93">
        <f>'10_PL_PERDIDAS_GANANCIAS'!N17+'10_PL_PERDIDAS_GANANCIAS'!N25</f>
        <v>28938.171491862617</v>
      </c>
    </row>
    <row r="73" spans="2:4" ht="18" customHeight="1">
      <c r="B73" s="92" t="s">
        <v>380</v>
      </c>
      <c r="C73" s="93">
        <f>'10_PL_PERDIDAS_GANANCIAS'!O10</f>
        <v>40974.945104465347</v>
      </c>
      <c r="D73" s="93">
        <f>'10_PL_PERDIDAS_GANANCIAS'!O17+'10_PL_PERDIDAS_GANANCIAS'!O25</f>
        <v>29595.853627611628</v>
      </c>
    </row>
    <row r="74" spans="2:4" ht="18" customHeight="1">
      <c r="B74" s="92" t="s">
        <v>381</v>
      </c>
      <c r="C74" s="93">
        <f>'10_PL_PERDIDAS_GANANCIAS'!P10</f>
        <v>44516.157848822571</v>
      </c>
      <c r="D74" s="93">
        <f>'10_PL_PERDIDAS_GANANCIAS'!P17+'10_PL_PERDIDAS_GANANCIAS'!P25</f>
        <v>45670.883946220565</v>
      </c>
    </row>
    <row r="75" spans="2:4" ht="18" customHeight="1">
      <c r="B75" s="92" t="s">
        <v>382</v>
      </c>
      <c r="C75" s="93">
        <f>'10_PL_PERDIDAS_GANANCIAS'!Q10</f>
        <v>48204.646212728374</v>
      </c>
      <c r="D75" s="93">
        <f>'10_PL_PERDIDAS_GANANCIAS'!Q17+'10_PL_PERDIDAS_GANANCIAS'!Q25</f>
        <v>46408.726155318211</v>
      </c>
    </row>
    <row r="76" spans="2:4" ht="18" customHeight="1">
      <c r="B76" s="92" t="s">
        <v>383</v>
      </c>
      <c r="C76" s="93">
        <f>'10_PL_PERDIDAS_GANANCIAS'!R10</f>
        <v>52229.559765746642</v>
      </c>
      <c r="D76" s="93">
        <f>'10_PL_PERDIDAS_GANANCIAS'!R17+'10_PL_PERDIDAS_GANANCIAS'!R25</f>
        <v>47216.328994143667</v>
      </c>
    </row>
    <row r="77" spans="2:4" ht="18" customHeight="1">
      <c r="B77" s="92" t="s">
        <v>384</v>
      </c>
      <c r="C77" s="93">
        <f>'10_PL_PERDIDAS_GANANCIAS'!S10</f>
        <v>56465.10292300638</v>
      </c>
      <c r="D77" s="93">
        <f>'10_PL_PERDIDAS_GANANCIAS'!S17+'10_PL_PERDIDAS_GANANCIAS'!S25</f>
        <v>48094.517573075165</v>
      </c>
    </row>
    <row r="78" spans="2:4" ht="18" customHeight="1">
      <c r="B78" s="92" t="s">
        <v>385</v>
      </c>
      <c r="C78" s="93">
        <f>'10_PL_PERDIDAS_GANANCIAS'!T10</f>
        <v>60893.658732846889</v>
      </c>
      <c r="D78" s="93">
        <f>'10_PL_PERDIDAS_GANANCIAS'!T17+'10_PL_PERDIDAS_GANANCIAS'!T25</f>
        <v>49001.351468321176</v>
      </c>
    </row>
    <row r="79" spans="2:4" ht="18" customHeight="1">
      <c r="B79" s="92" t="s">
        <v>386</v>
      </c>
      <c r="C79" s="93">
        <f>'10_PL_PERDIDAS_GANANCIAS'!U10</f>
        <v>65608.900887474636</v>
      </c>
      <c r="D79" s="93">
        <f>'10_PL_PERDIDAS_GANANCIAS'!U17+'10_PL_PERDIDAS_GANANCIAS'!U25</f>
        <v>49980.672522186869</v>
      </c>
    </row>
    <row r="80" spans="2:4" ht="18" customHeight="1">
      <c r="B80" s="92" t="s">
        <v>387</v>
      </c>
      <c r="C80" s="93">
        <f>'10_PL_PERDIDAS_GANANCIAS'!V10</f>
        <v>70677.639974472608</v>
      </c>
      <c r="D80" s="93">
        <f>'10_PL_PERDIDAS_GANANCIAS'!V17+'10_PL_PERDIDAS_GANANCIAS'!V25</f>
        <v>54124.424332695155</v>
      </c>
    </row>
    <row r="81" spans="2:4" ht="18" customHeight="1">
      <c r="B81" s="92" t="s">
        <v>388</v>
      </c>
      <c r="C81" s="93">
        <f>'10_PL_PERDIDAS_GANANCIAS'!W10</f>
        <v>76071.781988430419</v>
      </c>
      <c r="D81" s="93">
        <f>'10_PL_PERDIDAS_GANANCIAS'!W17+'10_PL_PERDIDAS_GANANCIAS'!W25</f>
        <v>55263.2678830441</v>
      </c>
    </row>
    <row r="82" spans="2:4" ht="18" customHeight="1">
      <c r="B82" s="92" t="s">
        <v>389</v>
      </c>
      <c r="C82" s="93">
        <f>'10_PL_PERDIDAS_GANANCIAS'!X10</f>
        <v>81925.736123504859</v>
      </c>
      <c r="D82" s="93">
        <f>'10_PL_PERDIDAS_GANANCIAS'!X17+'10_PL_PERDIDAS_GANANCIAS'!X25</f>
        <v>56490.836736420955</v>
      </c>
    </row>
    <row r="83" spans="2:4" ht="18" customHeight="1">
      <c r="B83" s="92" t="s">
        <v>390</v>
      </c>
      <c r="C83" s="93">
        <f>'10_PL_PERDIDAS_GANANCIAS'!Y10</f>
        <v>88163.99886938525</v>
      </c>
      <c r="D83" s="93">
        <f>'10_PL_PERDIDAS_GANANCIAS'!Y17+'10_PL_PERDIDAS_GANANCIAS'!Y25</f>
        <v>57805.243305067968</v>
      </c>
    </row>
    <row r="84" spans="2:4" ht="18" customHeight="1">
      <c r="B84" s="92" t="s">
        <v>391</v>
      </c>
      <c r="C84" s="93">
        <f>'10_PL_PERDIDAS_GANANCIAS'!Z10</f>
        <v>94792.376434936072</v>
      </c>
      <c r="D84" s="93">
        <f>'10_PL_PERDIDAS_GANANCIAS'!Z17+'10_PL_PERDIDAS_GANANCIAS'!Z25</f>
        <v>59206.632744206741</v>
      </c>
    </row>
    <row r="85" spans="2:4" ht="18" customHeight="1">
      <c r="B85" s="92" t="s">
        <v>392</v>
      </c>
      <c r="C85" s="93">
        <f>'10_PL_PERDIDAS_GANANCIAS'!AA10</f>
        <v>102047.33252573095</v>
      </c>
      <c r="D85" s="93">
        <f>'10_PL_PERDIDAS_GANANCIAS'!AA17+'10_PL_PERDIDAS_GANANCIAS'!AA25</f>
        <v>60750.356646476612</v>
      </c>
    </row>
    <row r="86" spans="2:4" ht="18" customHeight="1">
      <c r="B86" s="92" t="s">
        <v>393</v>
      </c>
      <c r="C86" s="93">
        <f>'10_PL_PERDIDAS_GANANCIAS'!AB10</f>
        <v>109855.41650378943</v>
      </c>
      <c r="D86" s="93">
        <f>'10_PL_PERDIDAS_GANANCIAS'!AB17+'10_PL_PERDIDAS_GANANCIAS'!AB25</f>
        <v>65897.04874592807</v>
      </c>
    </row>
    <row r="87" spans="2:4" ht="18" customHeight="1">
      <c r="B87" s="92" t="s">
        <v>394</v>
      </c>
      <c r="C87" s="93">
        <f>'10_PL_PERDIDAS_GANANCIAS'!AC10</f>
        <v>118278.25296009259</v>
      </c>
      <c r="D87" s="93">
        <f>'10_PL_PERDIDAS_GANANCIAS'!AC17+'10_PL_PERDIDAS_GANANCIAS'!AC25</f>
        <v>67693.719657335649</v>
      </c>
    </row>
    <row r="88" spans="2:4" ht="18" customHeight="1">
      <c r="B88" s="92" t="s">
        <v>395</v>
      </c>
      <c r="C88" s="93">
        <f>'10_PL_PERDIDAS_GANANCIAS'!AD10</f>
        <v>127293.81373289999</v>
      </c>
      <c r="D88" s="93">
        <f>'10_PL_PERDIDAS_GANANCIAS'!AD17+'10_PL_PERDIDAS_GANANCIAS'!AD25</f>
        <v>69598.318676655836</v>
      </c>
    </row>
    <row r="89" spans="2:4" ht="18" customHeight="1">
      <c r="B89" s="92" t="s">
        <v>396</v>
      </c>
      <c r="C89" s="93">
        <f>'10_PL_PERDIDAS_GANANCIAS'!AE10</f>
        <v>136980.12640753199</v>
      </c>
      <c r="D89" s="93">
        <f>'10_PL_PERDIDAS_GANANCIAS'!AE17+'10_PL_PERDIDAS_GANANCIAS'!AE25</f>
        <v>71662.236493521632</v>
      </c>
    </row>
    <row r="90" spans="2:4" ht="18" customHeight="1">
      <c r="B90" s="92" t="s">
        <v>397</v>
      </c>
      <c r="C90" s="93">
        <f>'10_PL_PERDIDAS_GANANCIAS'!AF10</f>
        <v>147459.70433613454</v>
      </c>
      <c r="D90" s="93">
        <f>'10_PL_PERDIDAS_GANANCIAS'!AF17+'10_PL_PERDIDAS_GANANCIAS'!AF25</f>
        <v>73892.505941736701</v>
      </c>
    </row>
    <row r="91" spans="2:4" ht="18" customHeight="1">
      <c r="B91" s="92" t="s">
        <v>398</v>
      </c>
      <c r="C91" s="93">
        <f>'10_PL_PERDIDAS_GANANCIAS'!AG10</f>
        <v>158748.9132190253</v>
      </c>
      <c r="D91" s="93">
        <f>'10_PL_PERDIDAS_GANANCIAS'!AG17+'10_PL_PERDIDAS_GANANCIAS'!AG25</f>
        <v>76293.506163808968</v>
      </c>
    </row>
    <row r="92" spans="2:4" ht="18" customHeight="1">
      <c r="B92" s="92" t="s">
        <v>399</v>
      </c>
      <c r="C92" s="93">
        <f>'10_PL_PERDIDAS_GANANCIAS'!AH10</f>
        <v>170920.46329254733</v>
      </c>
      <c r="D92" s="93">
        <f>'10_PL_PERDIDAS_GANANCIAS'!AH17+'10_PL_PERDIDAS_GANANCIAS'!AH25</f>
        <v>78874.994915647025</v>
      </c>
    </row>
    <row r="93" spans="2:4" ht="18" customHeight="1">
      <c r="B93" s="92" t="s">
        <v>400</v>
      </c>
      <c r="C93" s="93">
        <f>'10_PL_PERDIDAS_GANANCIAS'!AI10</f>
        <v>184027.82517195112</v>
      </c>
      <c r="D93" s="93">
        <f>'10_PL_PERDIDAS_GANANCIAS'!AI17+'10_PL_PERDIDAS_GANANCIAS'!AI25</f>
        <v>81683.778962632117</v>
      </c>
    </row>
    <row r="94" spans="2:4" ht="18" customHeight="1">
      <c r="B94" s="92" t="s">
        <v>401</v>
      </c>
      <c r="C94" s="93">
        <f>'10_PL_PERDIDAS_GANANCIAS'!AJ10</f>
        <v>198185.83240170722</v>
      </c>
      <c r="D94" s="93">
        <f>'10_PL_PERDIDAS_GANANCIAS'!AJ17+'10_PL_PERDIDAS_GANANCIAS'!AJ25</f>
        <v>84689.169143376013</v>
      </c>
    </row>
    <row r="95" spans="2:4" ht="18" customHeight="1">
      <c r="B95" s="92" t="s">
        <v>402</v>
      </c>
      <c r="C95" s="93">
        <f>'10_PL_PERDIDAS_GANANCIAS'!AK10</f>
        <v>213379.47376984378</v>
      </c>
      <c r="D95" s="93">
        <f>'10_PL_PERDIDAS_GANANCIAS'!AK17+'10_PL_PERDIDAS_GANANCIAS'!AK25</f>
        <v>87936.260177579432</v>
      </c>
    </row>
    <row r="96" spans="2:4" ht="18" customHeight="1">
      <c r="B96" s="92" t="s">
        <v>403</v>
      </c>
      <c r="C96" s="93">
        <f>'10_PL_PERDIDAS_GANANCIAS'!AL10</f>
        <v>229845.73144743126</v>
      </c>
      <c r="D96" s="93">
        <f>'10_PL_PERDIDAS_GANANCIAS'!AL17+'10_PL_PERDIDAS_GANANCIAS'!AL25</f>
        <v>91442.886619519122</v>
      </c>
    </row>
    <row r="97" spans="2:6" ht="18" customHeight="1">
      <c r="B97" s="92" t="s">
        <v>404</v>
      </c>
      <c r="C97" s="93">
        <f>'10_PL_PERDIDAS_GANANCIAS'!AM10</f>
        <v>247550.53201922579</v>
      </c>
      <c r="D97" s="93">
        <f>'10_PL_PERDIDAS_GANANCIAS'!AM17+'10_PL_PERDIDAS_GANANCIAS'!AM25</f>
        <v>95212.166633813991</v>
      </c>
    </row>
    <row r="99" spans="2:6" ht="24" customHeight="1">
      <c r="B99" s="109" t="s">
        <v>1162</v>
      </c>
      <c r="C99" s="110"/>
      <c r="D99" s="110"/>
      <c r="E99" s="110"/>
      <c r="F99" s="110"/>
    </row>
    <row r="100" spans="2:6" ht="19" customHeight="1">
      <c r="B100" s="102" t="s">
        <v>1163</v>
      </c>
      <c r="C100" s="103"/>
      <c r="D100" s="103"/>
      <c r="E100" s="103"/>
      <c r="F100" s="104"/>
    </row>
    <row r="101" spans="2:6" ht="19" customHeight="1">
      <c r="B101" s="105"/>
      <c r="C101" s="103"/>
      <c r="D101" s="103"/>
      <c r="E101" s="103"/>
      <c r="F101" s="104"/>
    </row>
    <row r="102" spans="2:6" ht="19" customHeight="1">
      <c r="B102" s="105"/>
      <c r="C102" s="103"/>
      <c r="D102" s="103"/>
      <c r="E102" s="103"/>
      <c r="F102" s="104"/>
    </row>
    <row r="103" spans="2:6" ht="19" customHeight="1">
      <c r="B103" s="105"/>
      <c r="C103" s="103"/>
      <c r="D103" s="103"/>
      <c r="E103" s="103"/>
      <c r="F103" s="104"/>
    </row>
    <row r="104" spans="2:6" ht="19" customHeight="1">
      <c r="B104" s="105"/>
      <c r="C104" s="103"/>
      <c r="D104" s="103"/>
      <c r="E104" s="103"/>
      <c r="F104" s="104"/>
    </row>
    <row r="105" spans="2:6" ht="19" customHeight="1">
      <c r="B105" s="105"/>
      <c r="C105" s="103"/>
      <c r="D105" s="103"/>
      <c r="E105" s="103"/>
      <c r="F105" s="104"/>
    </row>
    <row r="106" spans="2:6" ht="19" customHeight="1">
      <c r="B106" s="105"/>
      <c r="C106" s="103"/>
      <c r="D106" s="103"/>
      <c r="E106" s="103"/>
      <c r="F106" s="104"/>
    </row>
    <row r="107" spans="2:6" ht="19" customHeight="1">
      <c r="B107" s="106"/>
      <c r="C107" s="107"/>
      <c r="D107" s="107"/>
      <c r="E107" s="107"/>
      <c r="F107" s="108"/>
    </row>
  </sheetData>
  <mergeCells count="45">
    <mergeCell ref="B5:F5"/>
    <mergeCell ref="E37:F37"/>
    <mergeCell ref="E22:F22"/>
    <mergeCell ref="E53:F53"/>
    <mergeCell ref="E18:F18"/>
    <mergeCell ref="E47:F47"/>
    <mergeCell ref="C8:D8"/>
    <mergeCell ref="E57:F57"/>
    <mergeCell ref="B100:F107"/>
    <mergeCell ref="C7:D7"/>
    <mergeCell ref="E16:F16"/>
    <mergeCell ref="E54:F54"/>
    <mergeCell ref="E25:F25"/>
    <mergeCell ref="E41:F41"/>
    <mergeCell ref="E11:F11"/>
    <mergeCell ref="E27:F27"/>
    <mergeCell ref="E45:F45"/>
    <mergeCell ref="E36:F36"/>
    <mergeCell ref="B99:F99"/>
    <mergeCell ref="E26:F26"/>
    <mergeCell ref="E19:F19"/>
    <mergeCell ref="E28:F28"/>
    <mergeCell ref="E13:F13"/>
    <mergeCell ref="E40:F40"/>
    <mergeCell ref="E56:F56"/>
    <mergeCell ref="E34:F34"/>
    <mergeCell ref="E30:F30"/>
    <mergeCell ref="E15:F15"/>
    <mergeCell ref="E46:F46"/>
    <mergeCell ref="E43:F43"/>
    <mergeCell ref="E12:F12"/>
    <mergeCell ref="C6:D6"/>
    <mergeCell ref="E55:F55"/>
    <mergeCell ref="E24:F24"/>
    <mergeCell ref="E33:F33"/>
    <mergeCell ref="E42:F42"/>
    <mergeCell ref="E23:F23"/>
    <mergeCell ref="E14:F14"/>
    <mergeCell ref="E52:F52"/>
    <mergeCell ref="E48:F48"/>
    <mergeCell ref="E17:F17"/>
    <mergeCell ref="E44:F44"/>
    <mergeCell ref="E35:F35"/>
    <mergeCell ref="E51:F51"/>
    <mergeCell ref="E29:F29"/>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F766E"/>
  </sheetPr>
  <dimension ref="B2:J47"/>
  <sheetViews>
    <sheetView workbookViewId="0"/>
  </sheetViews>
  <sheetFormatPr baseColWidth="10" defaultColWidth="8.7265625" defaultRowHeight="14.5"/>
  <cols>
    <col min="2" max="2" width="16" customWidth="1"/>
    <col min="3" max="3" width="38" customWidth="1"/>
    <col min="4" max="4" width="42" customWidth="1"/>
    <col min="5" max="8" width="18" customWidth="1"/>
    <col min="9" max="9" width="28" customWidth="1"/>
    <col min="10" max="10" width="18" customWidth="1"/>
  </cols>
  <sheetData>
    <row r="2" spans="2:10" ht="25">
      <c r="B2" s="22" t="s">
        <v>1164</v>
      </c>
      <c r="E2" s="23" t="s">
        <v>296</v>
      </c>
      <c r="F2" s="24" t="str">
        <f>CHOOSE('1_PANEL_CONTROL'!$C$4, "🔴 1: NEGATIVO", "🟡 2: EQUILIBRIO", "🟢 3: POSITIVO")</f>
        <v>🟡 2: EQUILIBRIO</v>
      </c>
    </row>
    <row r="3" spans="2:10" ht="45" customHeight="1">
      <c r="B3" s="116" t="str">
        <f>CHOOSE('1_PANEL_CONTROL'!$C$4, "[NEGATIVO] PLAN DE CONTROL Y KPIs. Desviaciones calculadas sobre objetivos dinámicos negativos de este escenario (ej. " &amp; TEXT('16_PLAN_CONTROL_GESTION'!D6, "#.##0") &amp; " clientes Premium en mes 12).", "[EQUILIBRIO] PLAN DE CONTROL Y KPIs. Control de desviaciones sobre la hipótesis base del proyecto (ej. " &amp; TEXT('16_PLAN_CONTROL_GESTION'!D6, "#.##0") &amp; " clientes Premium en mes 12) para asegurar break-even comercial.", "[POSITIVO] PLAN DE CONTROL Y KPIs. Desviaciones calculadas sobre los objetivos optimistas de tracción del escenario (ej. " &amp; TEXT('16_PLAN_CONTROL_GESTION'!D6, "#.##0") &amp; " clientes Premium activos en mes 12).")</f>
        <v>[EQUILIBRIO] PLAN DE CONTROL Y KPIs. Control de desviaciones sobre la hipótesis base del proyecto (ej. Número total de suscripciones premium de pago activas en el mes 12 (meta de viabilidad de 670). clientes Premium en mes 12) para asegurar break-even comercial.</v>
      </c>
      <c r="C3" s="112"/>
      <c r="D3" s="112"/>
      <c r="E3" s="112"/>
      <c r="F3" s="112"/>
      <c r="G3" s="112"/>
      <c r="H3" s="112"/>
      <c r="I3" s="113"/>
    </row>
    <row r="4" spans="2:10" ht="16">
      <c r="B4" s="4" t="s">
        <v>1165</v>
      </c>
    </row>
    <row r="5" spans="2:10" ht="28" customHeight="1">
      <c r="B5" s="47" t="s">
        <v>1166</v>
      </c>
      <c r="C5" s="47" t="s">
        <v>1167</v>
      </c>
      <c r="D5" s="47" t="s">
        <v>1168</v>
      </c>
      <c r="E5" s="47" t="s">
        <v>1169</v>
      </c>
      <c r="F5" s="47" t="s">
        <v>1170</v>
      </c>
      <c r="G5" s="47" t="s">
        <v>1171</v>
      </c>
      <c r="H5" s="47" t="s">
        <v>1172</v>
      </c>
      <c r="I5" s="47" t="s">
        <v>1173</v>
      </c>
      <c r="J5" s="47" t="s">
        <v>1174</v>
      </c>
    </row>
    <row r="6" spans="2:10" ht="28" customHeight="1">
      <c r="B6" s="5" t="s">
        <v>1175</v>
      </c>
      <c r="C6" s="6" t="s">
        <v>1176</v>
      </c>
      <c r="D6" s="94" t="s">
        <v>1177</v>
      </c>
      <c r="E6" s="73">
        <f>'4_PROY_DEMANDA'!O81</f>
        <v>670</v>
      </c>
      <c r="F6" s="95">
        <f t="shared" ref="F6:F14" si="0">E6</f>
        <v>670</v>
      </c>
      <c r="G6" s="96" t="str">
        <f t="shared" ref="G6:G12" si="1">IF(F6&gt;=E6, "🟢 CUMPLIDO", "🔴 DESVIADO")</f>
        <v>🟢 CUMPLIDO</v>
      </c>
      <c r="H6" s="97">
        <f t="shared" ref="H6:H12" si="2">IF(E6=0, 0, (F6-E6)/E6)</f>
        <v>0</v>
      </c>
      <c r="I6" s="17" t="s">
        <v>1178</v>
      </c>
      <c r="J6" s="17" t="s">
        <v>1179</v>
      </c>
    </row>
    <row r="7" spans="2:10" ht="28" customHeight="1">
      <c r="B7" s="5" t="s">
        <v>1175</v>
      </c>
      <c r="C7" s="6" t="s">
        <v>1180</v>
      </c>
      <c r="D7" s="94" t="s">
        <v>1181</v>
      </c>
      <c r="E7" s="48">
        <f>SUM('10_PL_PERDIDAS_GANANCIAS'!$D$10:$O$10)</f>
        <v>303743.60196028219</v>
      </c>
      <c r="F7" s="98">
        <f t="shared" si="0"/>
        <v>303743.60196028219</v>
      </c>
      <c r="G7" s="96" t="str">
        <f t="shared" si="1"/>
        <v>🟢 CUMPLIDO</v>
      </c>
      <c r="H7" s="97">
        <f t="shared" si="2"/>
        <v>0</v>
      </c>
      <c r="I7" s="17" t="s">
        <v>1182</v>
      </c>
      <c r="J7" s="17" t="s">
        <v>1179</v>
      </c>
    </row>
    <row r="8" spans="2:10" ht="28" customHeight="1">
      <c r="B8" s="5" t="s">
        <v>1175</v>
      </c>
      <c r="C8" s="6" t="s">
        <v>1183</v>
      </c>
      <c r="D8" s="94" t="s">
        <v>1184</v>
      </c>
      <c r="E8" s="48">
        <f>SUM('10_PL_PERDIDAS_GANANCIAS'!$D$39:$O$39)</f>
        <v>0</v>
      </c>
      <c r="F8" s="98">
        <f t="shared" si="0"/>
        <v>0</v>
      </c>
      <c r="G8" s="96" t="str">
        <f t="shared" si="1"/>
        <v>🟢 CUMPLIDO</v>
      </c>
      <c r="H8" s="97">
        <f t="shared" si="2"/>
        <v>0</v>
      </c>
      <c r="I8" s="17" t="s">
        <v>1185</v>
      </c>
      <c r="J8" s="17" t="s">
        <v>1179</v>
      </c>
    </row>
    <row r="9" spans="2:10" ht="28" customHeight="1">
      <c r="B9" s="5" t="s">
        <v>1175</v>
      </c>
      <c r="C9" s="6" t="s">
        <v>1186</v>
      </c>
      <c r="D9" s="94" t="s">
        <v>1187</v>
      </c>
      <c r="E9" s="73">
        <f>'4_PROY_DEMANDA'!O83</f>
        <v>201</v>
      </c>
      <c r="F9" s="95">
        <f t="shared" si="0"/>
        <v>201</v>
      </c>
      <c r="G9" s="96" t="str">
        <f t="shared" si="1"/>
        <v>🟢 CUMPLIDO</v>
      </c>
      <c r="H9" s="97">
        <f t="shared" si="2"/>
        <v>0</v>
      </c>
      <c r="I9" s="17" t="s">
        <v>1188</v>
      </c>
      <c r="J9" s="17" t="s">
        <v>1179</v>
      </c>
    </row>
    <row r="10" spans="2:10" ht="28" customHeight="1">
      <c r="B10" s="5" t="s">
        <v>1189</v>
      </c>
      <c r="C10" s="6" t="s">
        <v>1190</v>
      </c>
      <c r="D10" s="94" t="s">
        <v>1191</v>
      </c>
      <c r="E10" s="73">
        <f>SUM('4_PROY_DEMANDA'!$D$84:$O$84)</f>
        <v>830</v>
      </c>
      <c r="F10" s="95">
        <f t="shared" si="0"/>
        <v>830</v>
      </c>
      <c r="G10" s="96" t="str">
        <f t="shared" si="1"/>
        <v>🟢 CUMPLIDO</v>
      </c>
      <c r="H10" s="97">
        <f t="shared" si="2"/>
        <v>0</v>
      </c>
      <c r="I10" s="17" t="s">
        <v>1192</v>
      </c>
      <c r="J10" s="17" t="s">
        <v>1179</v>
      </c>
    </row>
    <row r="11" spans="2:10" ht="28" customHeight="1">
      <c r="B11" s="5" t="s">
        <v>1189</v>
      </c>
      <c r="C11" s="6" t="s">
        <v>1193</v>
      </c>
      <c r="D11" s="94" t="s">
        <v>1194</v>
      </c>
      <c r="E11" s="73">
        <f>SUM('4_PROY_DEMANDA'!$D$86:$O$86)</f>
        <v>181</v>
      </c>
      <c r="F11" s="95">
        <f t="shared" si="0"/>
        <v>181</v>
      </c>
      <c r="G11" s="96" t="str">
        <f t="shared" si="1"/>
        <v>🟢 CUMPLIDO</v>
      </c>
      <c r="H11" s="97">
        <f t="shared" si="2"/>
        <v>0</v>
      </c>
      <c r="I11" s="17" t="s">
        <v>1195</v>
      </c>
      <c r="J11" s="17" t="s">
        <v>1179</v>
      </c>
    </row>
    <row r="12" spans="2:10" ht="28" customHeight="1">
      <c r="B12" s="5" t="s">
        <v>1189</v>
      </c>
      <c r="C12" s="6" t="s">
        <v>1196</v>
      </c>
      <c r="D12" s="94" t="s">
        <v>1197</v>
      </c>
      <c r="E12" s="73">
        <f>SUM('4_PROY_DEMANDA'!$D$88:$O$88)</f>
        <v>805</v>
      </c>
      <c r="F12" s="95">
        <f t="shared" si="0"/>
        <v>805</v>
      </c>
      <c r="G12" s="96" t="str">
        <f t="shared" si="1"/>
        <v>🟢 CUMPLIDO</v>
      </c>
      <c r="H12" s="97">
        <f t="shared" si="2"/>
        <v>0</v>
      </c>
      <c r="I12" s="17" t="s">
        <v>1198</v>
      </c>
      <c r="J12" s="17" t="s">
        <v>1179</v>
      </c>
    </row>
    <row r="13" spans="2:10" ht="28" customHeight="1">
      <c r="B13" s="5" t="s">
        <v>1199</v>
      </c>
      <c r="C13" s="6" t="s">
        <v>1200</v>
      </c>
      <c r="D13" s="94" t="s">
        <v>1201</v>
      </c>
      <c r="E13" s="48">
        <f>AVERAGE('4_PROY_DEMANDA'!$D$76:$O$76)</f>
        <v>11</v>
      </c>
      <c r="F13" s="98">
        <f t="shared" si="0"/>
        <v>11</v>
      </c>
      <c r="G13" s="96" t="str">
        <f>IF(F13&lt;=E13, "🟢 CUMPLIDO", "🔴 DESVIADO")</f>
        <v>🟢 CUMPLIDO</v>
      </c>
      <c r="H13" s="97">
        <f>IF(E13=0, 0, (E13-F13)/E13)</f>
        <v>0</v>
      </c>
      <c r="I13" s="17" t="s">
        <v>1202</v>
      </c>
      <c r="J13" s="17" t="s">
        <v>1203</v>
      </c>
    </row>
    <row r="14" spans="2:10" ht="28" customHeight="1">
      <c r="B14" s="5" t="s">
        <v>1199</v>
      </c>
      <c r="C14" s="6" t="s">
        <v>1204</v>
      </c>
      <c r="D14" s="94" t="s">
        <v>1205</v>
      </c>
      <c r="E14" s="69">
        <f>AVERAGE('4_PROY_DEMANDA'!$D$80:$O$80)</f>
        <v>4.7999999999999994E-2</v>
      </c>
      <c r="F14" s="99">
        <f t="shared" si="0"/>
        <v>4.7999999999999994E-2</v>
      </c>
      <c r="G14" s="96" t="str">
        <f>IF(F14&lt;=E14, "🟢 CUMPLIDO", "🔴 DESVIADO")</f>
        <v>🟢 CUMPLIDO</v>
      </c>
      <c r="H14" s="97">
        <f>IF(E14=0, 0, (E14-F14)/E14)</f>
        <v>0</v>
      </c>
      <c r="I14" s="17" t="s">
        <v>1206</v>
      </c>
      <c r="J14" s="17" t="s">
        <v>1179</v>
      </c>
    </row>
    <row r="16" spans="2:10" ht="16">
      <c r="B16" s="4" t="s">
        <v>1207</v>
      </c>
    </row>
    <row r="17" spans="2:6" ht="24" customHeight="1">
      <c r="B17" s="72" t="s">
        <v>1208</v>
      </c>
      <c r="C17" s="72" t="s">
        <v>1209</v>
      </c>
      <c r="D17" s="72" t="s">
        <v>1210</v>
      </c>
      <c r="E17" s="72" t="s">
        <v>1174</v>
      </c>
    </row>
    <row r="18" spans="2:6" ht="20" customHeight="1">
      <c r="B18" s="5" t="s">
        <v>1211</v>
      </c>
      <c r="C18" s="6" t="s">
        <v>1212</v>
      </c>
      <c r="D18" s="6" t="s">
        <v>1213</v>
      </c>
      <c r="E18" s="6" t="s">
        <v>1214</v>
      </c>
    </row>
    <row r="19" spans="2:6" ht="20" customHeight="1">
      <c r="B19" s="5" t="s">
        <v>1215</v>
      </c>
      <c r="C19" s="6" t="s">
        <v>1216</v>
      </c>
      <c r="D19" s="6" t="s">
        <v>1217</v>
      </c>
      <c r="E19" s="6" t="s">
        <v>1179</v>
      </c>
    </row>
    <row r="20" spans="2:6" ht="20" customHeight="1">
      <c r="B20" s="5" t="s">
        <v>1218</v>
      </c>
      <c r="C20" s="6" t="s">
        <v>1219</v>
      </c>
      <c r="D20" s="6" t="s">
        <v>1220</v>
      </c>
      <c r="E20" s="6" t="s">
        <v>1221</v>
      </c>
    </row>
    <row r="22" spans="2:6" ht="16">
      <c r="B22" s="4" t="s">
        <v>1222</v>
      </c>
    </row>
    <row r="23" spans="2:6" ht="24" customHeight="1">
      <c r="B23" s="72" t="s">
        <v>1223</v>
      </c>
      <c r="C23" s="72" t="s">
        <v>1224</v>
      </c>
      <c r="D23" s="72" t="s">
        <v>1225</v>
      </c>
      <c r="E23" s="72" t="s">
        <v>1226</v>
      </c>
      <c r="F23" s="72" t="s">
        <v>1227</v>
      </c>
    </row>
    <row r="24" spans="2:6" ht="20" customHeight="1">
      <c r="B24" s="5" t="s">
        <v>1175</v>
      </c>
      <c r="C24" s="6" t="s">
        <v>1182</v>
      </c>
      <c r="D24" s="6" t="s">
        <v>1228</v>
      </c>
      <c r="E24" s="6" t="s">
        <v>1179</v>
      </c>
      <c r="F24" s="6" t="s">
        <v>1229</v>
      </c>
    </row>
    <row r="25" spans="2:6" ht="20" customHeight="1">
      <c r="B25" s="5" t="s">
        <v>1230</v>
      </c>
      <c r="C25" s="6" t="s">
        <v>1202</v>
      </c>
      <c r="D25" s="6" t="s">
        <v>1231</v>
      </c>
      <c r="E25" s="6" t="s">
        <v>1214</v>
      </c>
      <c r="F25" s="6" t="s">
        <v>1232</v>
      </c>
    </row>
    <row r="26" spans="2:6" ht="20" customHeight="1">
      <c r="B26" s="5" t="s">
        <v>1233</v>
      </c>
      <c r="C26" s="6" t="s">
        <v>1234</v>
      </c>
      <c r="D26" s="6" t="s">
        <v>1235</v>
      </c>
      <c r="E26" s="6" t="s">
        <v>1179</v>
      </c>
      <c r="F26" s="6" t="s">
        <v>1236</v>
      </c>
    </row>
    <row r="27" spans="2:6" ht="20" customHeight="1">
      <c r="B27" s="5" t="s">
        <v>1237</v>
      </c>
      <c r="C27" s="6" t="s">
        <v>1238</v>
      </c>
      <c r="D27" s="6" t="s">
        <v>1239</v>
      </c>
      <c r="E27" s="6" t="s">
        <v>1214</v>
      </c>
      <c r="F27" s="6" t="s">
        <v>1240</v>
      </c>
    </row>
    <row r="28" spans="2:6" ht="20" customHeight="1">
      <c r="B28" s="5" t="s">
        <v>1241</v>
      </c>
      <c r="C28" s="6" t="s">
        <v>1242</v>
      </c>
      <c r="D28" s="6" t="s">
        <v>1243</v>
      </c>
      <c r="E28" s="6" t="s">
        <v>1244</v>
      </c>
      <c r="F28" s="6" t="s">
        <v>1245</v>
      </c>
    </row>
    <row r="30" spans="2:6" ht="16">
      <c r="B30" s="4" t="s">
        <v>1246</v>
      </c>
    </row>
    <row r="31" spans="2:6" ht="24" customHeight="1">
      <c r="B31" s="72" t="s">
        <v>1247</v>
      </c>
      <c r="C31" s="72" t="s">
        <v>1174</v>
      </c>
      <c r="D31" s="72" t="s">
        <v>1209</v>
      </c>
      <c r="E31" s="72" t="s">
        <v>1248</v>
      </c>
    </row>
    <row r="32" spans="2:6" ht="20" customHeight="1">
      <c r="B32" s="5" t="s">
        <v>1249</v>
      </c>
      <c r="C32" s="6" t="s">
        <v>1250</v>
      </c>
      <c r="D32" s="6" t="s">
        <v>1251</v>
      </c>
      <c r="E32" s="6" t="s">
        <v>1252</v>
      </c>
    </row>
    <row r="33" spans="2:10" ht="20" customHeight="1">
      <c r="B33" s="5" t="s">
        <v>1253</v>
      </c>
      <c r="C33" s="6" t="s">
        <v>1214</v>
      </c>
      <c r="D33" s="6" t="s">
        <v>1254</v>
      </c>
      <c r="E33" s="6" t="s">
        <v>1255</v>
      </c>
    </row>
    <row r="34" spans="2:10" ht="20" customHeight="1">
      <c r="B34" s="5" t="s">
        <v>1256</v>
      </c>
      <c r="C34" s="6" t="s">
        <v>1179</v>
      </c>
      <c r="D34" s="6" t="s">
        <v>1257</v>
      </c>
      <c r="E34" s="6" t="s">
        <v>1258</v>
      </c>
    </row>
    <row r="35" spans="2:10" ht="20" customHeight="1">
      <c r="B35" s="5" t="s">
        <v>1259</v>
      </c>
      <c r="C35" s="6" t="s">
        <v>1179</v>
      </c>
      <c r="D35" s="6" t="s">
        <v>1260</v>
      </c>
      <c r="E35" s="6" t="s">
        <v>1261</v>
      </c>
    </row>
    <row r="36" spans="2:10" ht="20" customHeight="1">
      <c r="B36" s="5" t="s">
        <v>1218</v>
      </c>
      <c r="C36" s="6" t="s">
        <v>1221</v>
      </c>
      <c r="D36" s="6" t="s">
        <v>1262</v>
      </c>
      <c r="E36" s="6" t="s">
        <v>1263</v>
      </c>
    </row>
    <row r="37" spans="2:10" ht="20" customHeight="1">
      <c r="B37" s="5" t="s">
        <v>1264</v>
      </c>
      <c r="C37" s="6" t="s">
        <v>1265</v>
      </c>
      <c r="D37" s="6" t="s">
        <v>1219</v>
      </c>
      <c r="E37" s="6" t="s">
        <v>1266</v>
      </c>
    </row>
    <row r="39" spans="2:10" ht="24" customHeight="1">
      <c r="B39" s="109" t="s">
        <v>1267</v>
      </c>
      <c r="C39" s="110"/>
      <c r="D39" s="110"/>
      <c r="E39" s="110"/>
      <c r="F39" s="110"/>
      <c r="G39" s="110"/>
      <c r="H39" s="110"/>
      <c r="I39" s="110"/>
      <c r="J39" s="110"/>
    </row>
    <row r="40" spans="2:10" ht="19" customHeight="1">
      <c r="B40" s="102" t="s">
        <v>1268</v>
      </c>
      <c r="C40" s="103"/>
      <c r="D40" s="103"/>
      <c r="E40" s="103"/>
      <c r="F40" s="103"/>
      <c r="G40" s="103"/>
      <c r="H40" s="103"/>
      <c r="I40" s="103"/>
      <c r="J40" s="104"/>
    </row>
    <row r="41" spans="2:10" ht="19" customHeight="1">
      <c r="B41" s="105"/>
      <c r="C41" s="103"/>
      <c r="D41" s="103"/>
      <c r="E41" s="103"/>
      <c r="F41" s="103"/>
      <c r="G41" s="103"/>
      <c r="H41" s="103"/>
      <c r="I41" s="103"/>
      <c r="J41" s="104"/>
    </row>
    <row r="42" spans="2:10" ht="19" customHeight="1">
      <c r="B42" s="105"/>
      <c r="C42" s="103"/>
      <c r="D42" s="103"/>
      <c r="E42" s="103"/>
      <c r="F42" s="103"/>
      <c r="G42" s="103"/>
      <c r="H42" s="103"/>
      <c r="I42" s="103"/>
      <c r="J42" s="104"/>
    </row>
    <row r="43" spans="2:10" ht="19" customHeight="1">
      <c r="B43" s="105"/>
      <c r="C43" s="103"/>
      <c r="D43" s="103"/>
      <c r="E43" s="103"/>
      <c r="F43" s="103"/>
      <c r="G43" s="103"/>
      <c r="H43" s="103"/>
      <c r="I43" s="103"/>
      <c r="J43" s="104"/>
    </row>
    <row r="44" spans="2:10" ht="19" customHeight="1">
      <c r="B44" s="105"/>
      <c r="C44" s="103"/>
      <c r="D44" s="103"/>
      <c r="E44" s="103"/>
      <c r="F44" s="103"/>
      <c r="G44" s="103"/>
      <c r="H44" s="103"/>
      <c r="I44" s="103"/>
      <c r="J44" s="104"/>
    </row>
    <row r="45" spans="2:10" ht="19" customHeight="1">
      <c r="B45" s="105"/>
      <c r="C45" s="103"/>
      <c r="D45" s="103"/>
      <c r="E45" s="103"/>
      <c r="F45" s="103"/>
      <c r="G45" s="103"/>
      <c r="H45" s="103"/>
      <c r="I45" s="103"/>
      <c r="J45" s="104"/>
    </row>
    <row r="46" spans="2:10" ht="19" customHeight="1">
      <c r="B46" s="105"/>
      <c r="C46" s="103"/>
      <c r="D46" s="103"/>
      <c r="E46" s="103"/>
      <c r="F46" s="103"/>
      <c r="G46" s="103"/>
      <c r="H46" s="103"/>
      <c r="I46" s="103"/>
      <c r="J46" s="104"/>
    </row>
    <row r="47" spans="2:10" ht="19" customHeight="1">
      <c r="B47" s="106"/>
      <c r="C47" s="107"/>
      <c r="D47" s="107"/>
      <c r="E47" s="107"/>
      <c r="F47" s="107"/>
      <c r="G47" s="107"/>
      <c r="H47" s="107"/>
      <c r="I47" s="107"/>
      <c r="J47" s="108"/>
    </row>
  </sheetData>
  <mergeCells count="3">
    <mergeCell ref="B3:I3"/>
    <mergeCell ref="B40:J47"/>
    <mergeCell ref="B39:J39"/>
  </mergeCells>
  <conditionalFormatting sqref="G6:G14">
    <cfRule type="cellIs" dxfId="1" priority="1" operator="equal">
      <formula>"🟢 CUMPLIDO"</formula>
    </cfRule>
    <cfRule type="cellIs" dxfId="0" priority="2" operator="equal">
      <formula>"🔴 DESVIADO"</formula>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4B8A6"/>
  </sheetPr>
  <dimension ref="B2:L228"/>
  <sheetViews>
    <sheetView workbookViewId="0"/>
  </sheetViews>
  <sheetFormatPr baseColWidth="10" defaultColWidth="8.7265625" defaultRowHeight="14.5"/>
  <cols>
    <col min="2" max="2" width="38" customWidth="1"/>
    <col min="3" max="3" width="24" customWidth="1"/>
    <col min="4" max="7" width="18" customWidth="1"/>
  </cols>
  <sheetData>
    <row r="2" spans="2:8" ht="26">
      <c r="B2" s="12" t="s">
        <v>1269</v>
      </c>
      <c r="E2" s="23" t="s">
        <v>296</v>
      </c>
      <c r="F2" s="24" t="str">
        <f>CHOOSE('1_PANEL_CONTROL'!$C$4, "🔴 1: NEGATIVO", "🟡 2: EQUILIBRIO", "🟢 3: POSITIVO")</f>
        <v>🟡 2: EQUILIBRIO</v>
      </c>
    </row>
    <row r="3" spans="2:8" ht="16.5">
      <c r="B3" s="2" t="s">
        <v>1270</v>
      </c>
    </row>
    <row r="4" spans="2:8" ht="45" customHeight="1">
      <c r="B4" s="116" t="str">
        <f>CHOOSE('1_PANEL_CONTROL'!$C$4, "[NEGATIVO] DASHBOARD GRÁFICO. Muestra de forma visual la erosión de reservas de caja y la estructura de coste de personal en este escenario adverso.", "[EQUILIBRIO] DASHBOARD GRÁFICO. Visualización del camino hacia el break-even: curva de caja, desglose comercial equilibrado e hitos mensuales.", "[POSITIVO] DASHBOARD GRÁFICO. Proyección del crecimiento exponencial: evolución de la facturación, flujos netos acumulados y acumulación de caja disponible.")</f>
        <v>[EQUILIBRIO] DASHBOARD GRÁFICO. Visualización del camino hacia el break-even: curva de caja, desglose comercial equilibrado e hitos mensuales.</v>
      </c>
      <c r="C4" s="112"/>
      <c r="D4" s="112"/>
      <c r="E4" s="112"/>
      <c r="F4" s="112"/>
      <c r="G4" s="113"/>
    </row>
    <row r="5" spans="2:8" ht="16">
      <c r="B5" s="4" t="s">
        <v>1271</v>
      </c>
    </row>
    <row r="6" spans="2:8" ht="16">
      <c r="B6" s="8" t="s">
        <v>1272</v>
      </c>
      <c r="C6" s="8" t="s">
        <v>1273</v>
      </c>
      <c r="D6" s="8" t="s">
        <v>1274</v>
      </c>
      <c r="E6" s="8" t="s">
        <v>1275</v>
      </c>
      <c r="F6" s="8" t="s">
        <v>1276</v>
      </c>
      <c r="G6" s="8" t="s">
        <v>1277</v>
      </c>
      <c r="H6" s="8" t="s">
        <v>1278</v>
      </c>
    </row>
    <row r="7" spans="2:8" ht="16">
      <c r="B7" s="6" t="s">
        <v>1279</v>
      </c>
      <c r="C7" s="32">
        <f>'5_DETALLE_INGRESOS'!D18</f>
        <v>46</v>
      </c>
      <c r="D7" s="32">
        <f>'5_DETALLE_INGRESOS'!I18</f>
        <v>294</v>
      </c>
      <c r="E7" s="32">
        <f>'5_DETALLE_INGRESOS'!O18</f>
        <v>670</v>
      </c>
      <c r="F7" s="32">
        <f>'5_DETALLE_INGRESOS'!AA18</f>
        <v>1983</v>
      </c>
      <c r="G7" s="32">
        <f>'5_DETALLE_INGRESOS'!AM18</f>
        <v>5092</v>
      </c>
      <c r="H7" s="32">
        <f>'5_DETALLE_INGRESOS'!BO18</f>
        <v>43718</v>
      </c>
    </row>
    <row r="8" spans="2:8" ht="16">
      <c r="B8" s="6" t="s">
        <v>1280</v>
      </c>
      <c r="C8" s="33">
        <f>'5_DETALLE_INGRESOS'!D37</f>
        <v>12116.7173</v>
      </c>
      <c r="D8" s="33">
        <f>'5_DETALLE_INGRESOS'!I37</f>
        <v>23300.803342101248</v>
      </c>
      <c r="E8" s="33">
        <f>'5_DETALLE_INGRESOS'!O37</f>
        <v>40974.945104465347</v>
      </c>
      <c r="F8" s="33">
        <f>'5_DETALLE_INGRESOS'!AA37</f>
        <v>102047.33252573095</v>
      </c>
      <c r="G8" s="33">
        <f>'5_DETALLE_INGRESOS'!AM37</f>
        <v>247550.53201922579</v>
      </c>
      <c r="H8" s="33">
        <f>'5_DETALLE_INGRESOS'!BO37</f>
        <v>2064460.0570746744</v>
      </c>
    </row>
    <row r="9" spans="2:8" ht="16">
      <c r="B9" s="6" t="s">
        <v>1281</v>
      </c>
      <c r="C9" s="33">
        <f>'10_PL_PERDIDAS_GANANCIAS'!D37</f>
        <v>-12039.400632499994</v>
      </c>
      <c r="D9" s="33">
        <f>'10_PL_PERDIDAS_GANANCIAS'!I37</f>
        <v>-2907.9767414512789</v>
      </c>
      <c r="E9" s="33">
        <f>'10_PL_PERDIDAS_GANANCIAS'!O37</f>
        <v>11379.091476853719</v>
      </c>
      <c r="F9" s="33">
        <f>'10_PL_PERDIDAS_GANANCIAS'!AA37</f>
        <v>41296.975879254336</v>
      </c>
      <c r="G9" s="33">
        <f>'10_PL_PERDIDAS_GANANCIAS'!AM37</f>
        <v>152338.36538541183</v>
      </c>
      <c r="H9" s="33">
        <f>'10_PL_PERDIDAS_GANANCIAS'!BO37</f>
        <v>1580741.9323144741</v>
      </c>
    </row>
    <row r="10" spans="2:8" ht="16">
      <c r="B10" s="6" t="s">
        <v>1282</v>
      </c>
      <c r="C10" s="33">
        <f>'10_PL_PERDIDAS_GANANCIAS'!D44</f>
        <v>-12414.400632499994</v>
      </c>
      <c r="D10" s="33">
        <f>'10_PL_PERDIDAS_GANANCIAS'!I44</f>
        <v>-3282.9767414512789</v>
      </c>
      <c r="E10" s="33">
        <f>'10_PL_PERDIDAS_GANANCIAS'!O44</f>
        <v>8693.2322667144381</v>
      </c>
      <c r="F10" s="33">
        <f>'10_PL_PERDIDAS_GANANCIAS'!AA44</f>
        <v>32396.251569610926</v>
      </c>
      <c r="G10" s="33">
        <f>'10_PL_PERDIDAS_GANANCIAS'!AM44</f>
        <v>120193.01177947535</v>
      </c>
      <c r="H10" s="33">
        <f>'10_PL_PERDIDAS_GANANCIAS'!BO44</f>
        <v>1248786.1265284345</v>
      </c>
    </row>
    <row r="11" spans="2:8" ht="16">
      <c r="B11" s="5" t="s">
        <v>1283</v>
      </c>
      <c r="C11" s="100">
        <f>'9_FLUJO_CAJA'!D37</f>
        <v>160450.49936750002</v>
      </c>
      <c r="D11" s="100">
        <f>'9_FLUJO_CAJA'!I37</f>
        <v>136580.65694665772</v>
      </c>
      <c r="E11" s="100">
        <f>'9_FLUJO_CAJA'!O37</f>
        <v>185648.46191127517</v>
      </c>
      <c r="F11" s="100">
        <f>'9_FLUJO_CAJA'!AA37</f>
        <v>438956.63689118368</v>
      </c>
      <c r="G11" s="100">
        <f>'9_FLUJO_CAJA'!AM37</f>
        <v>1652666.1550218095</v>
      </c>
      <c r="H11" s="100">
        <f>'9_FLUJO_CAJA'!BO37</f>
        <v>21610953.34527082</v>
      </c>
    </row>
    <row r="15" spans="2:8" ht="16">
      <c r="B15" s="4" t="s">
        <v>1284</v>
      </c>
    </row>
    <row r="17" spans="2:5" ht="16">
      <c r="B17" s="8" t="s">
        <v>1285</v>
      </c>
      <c r="C17" s="8" t="s">
        <v>1286</v>
      </c>
      <c r="D17" s="8" t="s">
        <v>1287</v>
      </c>
      <c r="E17" s="8" t="s">
        <v>1288</v>
      </c>
    </row>
    <row r="18" spans="2:5" ht="16">
      <c r="B18" s="6" t="s">
        <v>1273</v>
      </c>
      <c r="C18" s="32">
        <f>'4_PROY_DEMANDA'!D21</f>
        <v>25</v>
      </c>
      <c r="D18" s="32">
        <f>'4_PROY_DEMANDA'!D41</f>
        <v>46</v>
      </c>
      <c r="E18" s="32">
        <f>'4_PROY_DEMANDA'!D61</f>
        <v>114</v>
      </c>
    </row>
    <row r="19" spans="2:5" ht="16">
      <c r="B19" s="6" t="s">
        <v>1289</v>
      </c>
      <c r="C19" s="32">
        <f>'4_PROY_DEMANDA'!E21</f>
        <v>49</v>
      </c>
      <c r="D19" s="32">
        <f>'4_PROY_DEMANDA'!E41</f>
        <v>93</v>
      </c>
      <c r="E19" s="32">
        <f>'4_PROY_DEMANDA'!E61</f>
        <v>237</v>
      </c>
    </row>
    <row r="20" spans="2:5" ht="16">
      <c r="B20" s="6" t="s">
        <v>1290</v>
      </c>
      <c r="C20" s="32">
        <f>'4_PROY_DEMANDA'!F21</f>
        <v>72</v>
      </c>
      <c r="D20" s="32">
        <f>'4_PROY_DEMANDA'!F41</f>
        <v>141</v>
      </c>
      <c r="E20" s="32">
        <f>'4_PROY_DEMANDA'!F61</f>
        <v>370</v>
      </c>
    </row>
    <row r="21" spans="2:5" ht="16">
      <c r="B21" s="6" t="s">
        <v>1291</v>
      </c>
      <c r="C21" s="32">
        <f>'4_PROY_DEMANDA'!G21</f>
        <v>95</v>
      </c>
      <c r="D21" s="32">
        <f>'4_PROY_DEMANDA'!G41</f>
        <v>190</v>
      </c>
      <c r="E21" s="32">
        <f>'4_PROY_DEMANDA'!G61</f>
        <v>515</v>
      </c>
    </row>
    <row r="22" spans="2:5" ht="16">
      <c r="B22" s="6" t="s">
        <v>1292</v>
      </c>
      <c r="C22" s="32">
        <f>'4_PROY_DEMANDA'!H21</f>
        <v>117</v>
      </c>
      <c r="D22" s="32">
        <f>'4_PROY_DEMANDA'!H41</f>
        <v>241</v>
      </c>
      <c r="E22" s="32">
        <f>'4_PROY_DEMANDA'!H61</f>
        <v>674</v>
      </c>
    </row>
    <row r="23" spans="2:5" ht="16">
      <c r="B23" s="6" t="s">
        <v>1274</v>
      </c>
      <c r="C23" s="32">
        <f>'4_PROY_DEMANDA'!I21</f>
        <v>139</v>
      </c>
      <c r="D23" s="32">
        <f>'4_PROY_DEMANDA'!I41</f>
        <v>294</v>
      </c>
      <c r="E23" s="32">
        <f>'4_PROY_DEMANDA'!I61</f>
        <v>849</v>
      </c>
    </row>
    <row r="24" spans="2:5" ht="16">
      <c r="B24" s="6" t="s">
        <v>1293</v>
      </c>
      <c r="C24" s="32">
        <f>'4_PROY_DEMANDA'!J21</f>
        <v>161</v>
      </c>
      <c r="D24" s="32">
        <f>'4_PROY_DEMANDA'!J41</f>
        <v>349</v>
      </c>
      <c r="E24" s="32">
        <f>'4_PROY_DEMANDA'!J61</f>
        <v>1043</v>
      </c>
    </row>
    <row r="25" spans="2:5" ht="16">
      <c r="B25" s="6" t="s">
        <v>1294</v>
      </c>
      <c r="C25" s="32">
        <f>'4_PROY_DEMANDA'!K21</f>
        <v>182</v>
      </c>
      <c r="D25" s="32">
        <f>'4_PROY_DEMANDA'!K41</f>
        <v>406</v>
      </c>
      <c r="E25" s="32">
        <f>'4_PROY_DEMANDA'!K61</f>
        <v>1259</v>
      </c>
    </row>
    <row r="26" spans="2:5" ht="16">
      <c r="B26" s="6" t="s">
        <v>1295</v>
      </c>
      <c r="C26" s="32">
        <f>'4_PROY_DEMANDA'!L21</f>
        <v>202</v>
      </c>
      <c r="D26" s="32">
        <f>'4_PROY_DEMANDA'!L41</f>
        <v>467</v>
      </c>
      <c r="E26" s="32">
        <f>'4_PROY_DEMANDA'!L61</f>
        <v>1500</v>
      </c>
    </row>
    <row r="27" spans="2:5" ht="16">
      <c r="B27" s="6" t="s">
        <v>1296</v>
      </c>
      <c r="C27" s="32">
        <f>'4_PROY_DEMANDA'!M21</f>
        <v>223</v>
      </c>
      <c r="D27" s="32">
        <f>'4_PROY_DEMANDA'!M41</f>
        <v>531</v>
      </c>
      <c r="E27" s="32">
        <f>'4_PROY_DEMANDA'!M61</f>
        <v>1770</v>
      </c>
    </row>
    <row r="28" spans="2:5" ht="16">
      <c r="B28" s="6" t="s">
        <v>1297</v>
      </c>
      <c r="C28" s="32">
        <f>'4_PROY_DEMANDA'!N21</f>
        <v>244</v>
      </c>
      <c r="D28" s="32">
        <f>'4_PROY_DEMANDA'!N41</f>
        <v>599</v>
      </c>
      <c r="E28" s="32">
        <f>'4_PROY_DEMANDA'!N61</f>
        <v>2075</v>
      </c>
    </row>
    <row r="29" spans="2:5" ht="16">
      <c r="B29" s="6" t="s">
        <v>1275</v>
      </c>
      <c r="C29" s="32">
        <f>'4_PROY_DEMANDA'!O21</f>
        <v>264</v>
      </c>
      <c r="D29" s="32">
        <f>'4_PROY_DEMANDA'!O41</f>
        <v>670</v>
      </c>
      <c r="E29" s="32">
        <f>'4_PROY_DEMANDA'!O61</f>
        <v>2419</v>
      </c>
    </row>
    <row r="30" spans="2:5" ht="16">
      <c r="B30" s="6" t="s">
        <v>1298</v>
      </c>
      <c r="C30" s="32">
        <f>'4_PROY_DEMANDA'!P21</f>
        <v>285</v>
      </c>
      <c r="D30" s="32">
        <f>'4_PROY_DEMANDA'!P41</f>
        <v>745</v>
      </c>
      <c r="E30" s="32">
        <f>'4_PROY_DEMANDA'!P61</f>
        <v>2808</v>
      </c>
    </row>
    <row r="31" spans="2:5" ht="16">
      <c r="B31" s="6" t="s">
        <v>1299</v>
      </c>
      <c r="C31" s="32">
        <f>'4_PROY_DEMANDA'!Q21</f>
        <v>306</v>
      </c>
      <c r="D31" s="32">
        <f>'4_PROY_DEMANDA'!Q41</f>
        <v>824</v>
      </c>
      <c r="E31" s="32">
        <f>'4_PROY_DEMANDA'!Q61</f>
        <v>3250</v>
      </c>
    </row>
    <row r="32" spans="2:5" ht="16">
      <c r="B32" s="6" t="s">
        <v>1300</v>
      </c>
      <c r="C32" s="32">
        <f>'4_PROY_DEMANDA'!R21</f>
        <v>328</v>
      </c>
      <c r="D32" s="32">
        <f>'4_PROY_DEMANDA'!R41</f>
        <v>908</v>
      </c>
      <c r="E32" s="32">
        <f>'4_PROY_DEMANDA'!R61</f>
        <v>3753</v>
      </c>
    </row>
    <row r="33" spans="2:5" ht="16">
      <c r="B33" s="6" t="s">
        <v>1301</v>
      </c>
      <c r="C33" s="32">
        <f>'4_PROY_DEMANDA'!S21</f>
        <v>350</v>
      </c>
      <c r="D33" s="32">
        <f>'4_PROY_DEMANDA'!S41</f>
        <v>998</v>
      </c>
      <c r="E33" s="32">
        <f>'4_PROY_DEMANDA'!S61</f>
        <v>4325</v>
      </c>
    </row>
    <row r="34" spans="2:5" ht="16">
      <c r="B34" s="6" t="s">
        <v>1302</v>
      </c>
      <c r="C34" s="32">
        <f>'4_PROY_DEMANDA'!T21</f>
        <v>372</v>
      </c>
      <c r="D34" s="32">
        <f>'4_PROY_DEMANDA'!T41</f>
        <v>1094</v>
      </c>
      <c r="E34" s="32">
        <f>'4_PROY_DEMANDA'!T61</f>
        <v>4978</v>
      </c>
    </row>
    <row r="35" spans="2:5" ht="16">
      <c r="B35" s="6" t="s">
        <v>1303</v>
      </c>
      <c r="C35" s="32">
        <f>'4_PROY_DEMANDA'!U21</f>
        <v>395</v>
      </c>
      <c r="D35" s="32">
        <f>'4_PROY_DEMANDA'!U41</f>
        <v>1196</v>
      </c>
      <c r="E35" s="32">
        <f>'4_PROY_DEMANDA'!U61</f>
        <v>5724</v>
      </c>
    </row>
    <row r="36" spans="2:5" ht="16">
      <c r="B36" s="6" t="s">
        <v>1304</v>
      </c>
      <c r="C36" s="32">
        <f>'4_PROY_DEMANDA'!V21</f>
        <v>418</v>
      </c>
      <c r="D36" s="32">
        <f>'4_PROY_DEMANDA'!V41</f>
        <v>1306</v>
      </c>
      <c r="E36" s="32">
        <f>'4_PROY_DEMANDA'!V61</f>
        <v>6576</v>
      </c>
    </row>
    <row r="37" spans="2:5" ht="16">
      <c r="B37" s="6" t="s">
        <v>1305</v>
      </c>
      <c r="C37" s="32">
        <f>'4_PROY_DEMANDA'!W21</f>
        <v>443</v>
      </c>
      <c r="D37" s="32">
        <f>'4_PROY_DEMANDA'!W41</f>
        <v>1423</v>
      </c>
      <c r="E37" s="32">
        <f>'4_PROY_DEMANDA'!W61</f>
        <v>7552</v>
      </c>
    </row>
    <row r="38" spans="2:5" ht="16">
      <c r="B38" s="6" t="s">
        <v>1306</v>
      </c>
      <c r="C38" s="32">
        <f>'4_PROY_DEMANDA'!X21</f>
        <v>469</v>
      </c>
      <c r="D38" s="32">
        <f>'4_PROY_DEMANDA'!X41</f>
        <v>1549</v>
      </c>
      <c r="E38" s="32">
        <f>'4_PROY_DEMANDA'!X61</f>
        <v>8668</v>
      </c>
    </row>
    <row r="39" spans="2:5" ht="16">
      <c r="B39" s="6" t="s">
        <v>1307</v>
      </c>
      <c r="C39" s="32">
        <f>'4_PROY_DEMANDA'!Y21</f>
        <v>494</v>
      </c>
      <c r="D39" s="32">
        <f>'4_PROY_DEMANDA'!Y41</f>
        <v>1684</v>
      </c>
      <c r="E39" s="32">
        <f>'4_PROY_DEMANDA'!Y61</f>
        <v>9948</v>
      </c>
    </row>
    <row r="40" spans="2:5" ht="16">
      <c r="B40" s="6" t="s">
        <v>1308</v>
      </c>
      <c r="C40" s="32">
        <f>'4_PROY_DEMANDA'!Z21</f>
        <v>520</v>
      </c>
      <c r="D40" s="32">
        <f>'4_PROY_DEMANDA'!Z41</f>
        <v>1828</v>
      </c>
      <c r="E40" s="32">
        <f>'4_PROY_DEMANDA'!Z61</f>
        <v>11416</v>
      </c>
    </row>
    <row r="41" spans="2:5" ht="16">
      <c r="B41" s="6" t="s">
        <v>1276</v>
      </c>
      <c r="C41" s="32">
        <f>'4_PROY_DEMANDA'!AA21</f>
        <v>547</v>
      </c>
      <c r="D41" s="32">
        <f>'4_PROY_DEMANDA'!AA41</f>
        <v>1983</v>
      </c>
      <c r="E41" s="32">
        <f>'4_PROY_DEMANDA'!AA61</f>
        <v>13099</v>
      </c>
    </row>
    <row r="42" spans="2:5" ht="16">
      <c r="B42" s="6" t="s">
        <v>1309</v>
      </c>
      <c r="C42" s="32">
        <f>'4_PROY_DEMANDA'!AB21</f>
        <v>576</v>
      </c>
      <c r="D42" s="32">
        <f>'4_PROY_DEMANDA'!AB41</f>
        <v>2150</v>
      </c>
      <c r="E42" s="32">
        <f>'4_PROY_DEMANDA'!AB61</f>
        <v>15030</v>
      </c>
    </row>
    <row r="43" spans="2:5" ht="16">
      <c r="B43" s="6" t="s">
        <v>1310</v>
      </c>
      <c r="C43" s="32">
        <f>'4_PROY_DEMANDA'!AC21</f>
        <v>606</v>
      </c>
      <c r="D43" s="32">
        <f>'4_PROY_DEMANDA'!AC41</f>
        <v>2330</v>
      </c>
      <c r="E43" s="32">
        <f>'4_PROY_DEMANDA'!AC61</f>
        <v>17247</v>
      </c>
    </row>
    <row r="44" spans="2:5" ht="16">
      <c r="B44" s="6" t="s">
        <v>1311</v>
      </c>
      <c r="C44" s="32">
        <f>'4_PROY_DEMANDA'!AD21</f>
        <v>638</v>
      </c>
      <c r="D44" s="32">
        <f>'4_PROY_DEMANDA'!AD41</f>
        <v>2523</v>
      </c>
      <c r="E44" s="32">
        <f>'4_PROY_DEMANDA'!AD61</f>
        <v>19793</v>
      </c>
    </row>
    <row r="45" spans="2:5" ht="16">
      <c r="B45" s="6" t="s">
        <v>1312</v>
      </c>
      <c r="C45" s="32">
        <f>'4_PROY_DEMANDA'!AE21</f>
        <v>671</v>
      </c>
      <c r="D45" s="32">
        <f>'4_PROY_DEMANDA'!AE41</f>
        <v>2731</v>
      </c>
      <c r="E45" s="32">
        <f>'4_PROY_DEMANDA'!AE61</f>
        <v>22716</v>
      </c>
    </row>
    <row r="46" spans="2:5" ht="16">
      <c r="B46" s="6" t="s">
        <v>1313</v>
      </c>
      <c r="C46" s="32">
        <f>'4_PROY_DEMANDA'!AF21</f>
        <v>704</v>
      </c>
      <c r="D46" s="32">
        <f>'4_PROY_DEMANDA'!AF41</f>
        <v>2955</v>
      </c>
      <c r="E46" s="32">
        <f>'4_PROY_DEMANDA'!AF61</f>
        <v>26074</v>
      </c>
    </row>
    <row r="47" spans="2:5" ht="16">
      <c r="B47" s="6" t="s">
        <v>1314</v>
      </c>
      <c r="C47" s="32">
        <f>'4_PROY_DEMANDA'!AG21</f>
        <v>740</v>
      </c>
      <c r="D47" s="32">
        <f>'4_PROY_DEMANDA'!AG41</f>
        <v>3196</v>
      </c>
      <c r="E47" s="32">
        <f>'4_PROY_DEMANDA'!AG61</f>
        <v>29932</v>
      </c>
    </row>
    <row r="48" spans="2:5" ht="16">
      <c r="B48" s="6" t="s">
        <v>1315</v>
      </c>
      <c r="C48" s="32">
        <f>'4_PROY_DEMANDA'!AH21</f>
        <v>777</v>
      </c>
      <c r="D48" s="32">
        <f>'4_PROY_DEMANDA'!AH41</f>
        <v>3456</v>
      </c>
      <c r="E48" s="32">
        <f>'4_PROY_DEMANDA'!AH61</f>
        <v>34365</v>
      </c>
    </row>
    <row r="49" spans="2:5" ht="16">
      <c r="B49" s="6" t="s">
        <v>1316</v>
      </c>
      <c r="C49" s="32">
        <f>'4_PROY_DEMANDA'!AI21</f>
        <v>816</v>
      </c>
      <c r="D49" s="32">
        <f>'4_PROY_DEMANDA'!AI41</f>
        <v>3736</v>
      </c>
      <c r="E49" s="32">
        <f>'4_PROY_DEMANDA'!AI61</f>
        <v>39459</v>
      </c>
    </row>
    <row r="50" spans="2:5" ht="16">
      <c r="B50" s="6" t="s">
        <v>1317</v>
      </c>
      <c r="C50" s="32">
        <f>'4_PROY_DEMANDA'!AJ21</f>
        <v>856</v>
      </c>
      <c r="D50" s="32">
        <f>'4_PROY_DEMANDA'!AJ41</f>
        <v>4038</v>
      </c>
      <c r="E50" s="32">
        <f>'4_PROY_DEMANDA'!AJ61</f>
        <v>45314</v>
      </c>
    </row>
    <row r="51" spans="2:5" ht="16">
      <c r="B51" s="6" t="s">
        <v>1318</v>
      </c>
      <c r="C51" s="32">
        <f>'4_PROY_DEMANDA'!AK21</f>
        <v>899</v>
      </c>
      <c r="D51" s="32">
        <f>'4_PROY_DEMANDA'!AK41</f>
        <v>4363</v>
      </c>
      <c r="E51" s="32">
        <f>'4_PROY_DEMANDA'!AK61</f>
        <v>52045</v>
      </c>
    </row>
    <row r="52" spans="2:5" ht="16">
      <c r="B52" s="6" t="s">
        <v>1319</v>
      </c>
      <c r="C52" s="32">
        <f>'4_PROY_DEMANDA'!AL21</f>
        <v>943</v>
      </c>
      <c r="D52" s="32">
        <f>'4_PROY_DEMANDA'!AL41</f>
        <v>4714</v>
      </c>
      <c r="E52" s="32">
        <f>'4_PROY_DEMANDA'!AL61</f>
        <v>59782</v>
      </c>
    </row>
    <row r="53" spans="2:5" ht="16">
      <c r="B53" s="6" t="s">
        <v>1277</v>
      </c>
      <c r="C53" s="32">
        <f>'4_PROY_DEMANDA'!AM21</f>
        <v>989</v>
      </c>
      <c r="D53" s="32">
        <f>'4_PROY_DEMANDA'!AM41</f>
        <v>5092</v>
      </c>
      <c r="E53" s="32">
        <f>'4_PROY_DEMANDA'!AM61</f>
        <v>68677</v>
      </c>
    </row>
    <row r="56" spans="2:5" ht="16">
      <c r="B56" s="4" t="s">
        <v>1320</v>
      </c>
    </row>
    <row r="58" spans="2:5" ht="16">
      <c r="B58" s="8" t="s">
        <v>1321</v>
      </c>
      <c r="C58" s="8" t="s">
        <v>1286</v>
      </c>
      <c r="D58" s="8" t="s">
        <v>1287</v>
      </c>
      <c r="E58" s="8" t="s">
        <v>1288</v>
      </c>
    </row>
    <row r="59" spans="2:5" ht="16">
      <c r="B59" s="6" t="s">
        <v>945</v>
      </c>
      <c r="C59" s="33">
        <f>'12_ANALISIS_ESCENARIOS'!C22</f>
        <v>-186634.33000000002</v>
      </c>
      <c r="D59" s="33">
        <f>'12_ANALISIS_ESCENARIOS'!C30</f>
        <v>-24232.988088724756</v>
      </c>
      <c r="E59" s="33">
        <f>'12_ANALISIS_ESCENARIOS'!C38</f>
        <v>691555.06</v>
      </c>
    </row>
    <row r="60" spans="2:5" ht="16">
      <c r="B60" s="6" t="s">
        <v>946</v>
      </c>
      <c r="C60" s="33">
        <f>'12_ANALISIS_ESCENARIOS'!D22</f>
        <v>-265254.31</v>
      </c>
      <c r="D60" s="33">
        <f>'12_ANALISIS_ESCENARIOS'!D30</f>
        <v>211583.64997990843</v>
      </c>
      <c r="E60" s="33">
        <f>'12_ANALISIS_ESCENARIOS'!D38</f>
        <v>3693558.01</v>
      </c>
    </row>
    <row r="61" spans="2:5" ht="16">
      <c r="B61" s="6" t="s">
        <v>947</v>
      </c>
      <c r="C61" s="33">
        <f>'12_ANALISIS_ESCENARIOS'!E22</f>
        <v>-160168.47</v>
      </c>
      <c r="D61" s="33">
        <f>'12_ANALISIS_ESCENARIOS'!E30</f>
        <v>1097649.4931306262</v>
      </c>
      <c r="E61" s="33">
        <f>'12_ANALISIS_ESCENARIOS'!E38</f>
        <v>19803049.649999999</v>
      </c>
    </row>
    <row r="80" spans="2:2" ht="16">
      <c r="B80" s="4" t="s">
        <v>1322</v>
      </c>
    </row>
    <row r="82" spans="2:5" ht="16">
      <c r="B82" s="8" t="s">
        <v>1323</v>
      </c>
      <c r="C82" s="8" t="s">
        <v>1324</v>
      </c>
      <c r="D82" s="8" t="s">
        <v>1325</v>
      </c>
      <c r="E82" s="8" t="s">
        <v>1326</v>
      </c>
    </row>
    <row r="83" spans="2:5" ht="16">
      <c r="B83" s="6" t="s">
        <v>996</v>
      </c>
      <c r="C83" s="69">
        <f>'13_CAP_TABLE_FINANCIACION'!C43</f>
        <v>1</v>
      </c>
      <c r="D83" s="69">
        <f>'13_CAP_TABLE_FINANCIACION'!D43</f>
        <v>0.42857142857142855</v>
      </c>
      <c r="E83" s="69">
        <f>'13_CAP_TABLE_FINANCIACION'!E43</f>
        <v>0.31578947368421051</v>
      </c>
    </row>
    <row r="84" spans="2:5" ht="16">
      <c r="B84" s="6" t="s">
        <v>997</v>
      </c>
      <c r="C84" s="69">
        <f>'13_CAP_TABLE_FINANCIACION'!C44</f>
        <v>0</v>
      </c>
      <c r="D84" s="69">
        <f>'13_CAP_TABLE_FINANCIACION'!D44</f>
        <v>0.5714285714285714</v>
      </c>
      <c r="E84" s="69">
        <f>'13_CAP_TABLE_FINANCIACION'!E44</f>
        <v>0.57894736842105265</v>
      </c>
    </row>
    <row r="85" spans="2:5" ht="16">
      <c r="B85" s="6" t="s">
        <v>1327</v>
      </c>
      <c r="C85" s="69">
        <f>'13_CAP_TABLE_FINANCIACION'!C45</f>
        <v>0</v>
      </c>
      <c r="D85" s="69">
        <f>'13_CAP_TABLE_FINANCIACION'!D45</f>
        <v>0</v>
      </c>
      <c r="E85" s="69">
        <f>'13_CAP_TABLE_FINANCIACION'!E45</f>
        <v>0.10526315789473684</v>
      </c>
    </row>
    <row r="86" spans="2:5" ht="16">
      <c r="B86" s="5" t="s">
        <v>1328</v>
      </c>
      <c r="C86" s="70">
        <f>SUM(C83:C85)</f>
        <v>1</v>
      </c>
      <c r="D86" s="70">
        <f>SUM(D83:D85)</f>
        <v>1</v>
      </c>
      <c r="E86" s="70">
        <f>SUM(E83:E85)</f>
        <v>1</v>
      </c>
    </row>
    <row r="105" spans="2:4" ht="16">
      <c r="B105" s="4" t="s">
        <v>1329</v>
      </c>
    </row>
    <row r="107" spans="2:4" ht="16">
      <c r="B107" s="8" t="s">
        <v>1330</v>
      </c>
      <c r="C107" s="8" t="s">
        <v>1331</v>
      </c>
      <c r="D107" s="8" t="s">
        <v>1332</v>
      </c>
    </row>
    <row r="108" spans="2:4" ht="16">
      <c r="B108" s="6" t="s">
        <v>798</v>
      </c>
      <c r="C108" s="48">
        <f>'11_BALANCE_CONSOLIDADO'!F7</f>
        <v>1182786.5999999999</v>
      </c>
      <c r="D108" s="69">
        <f t="shared" ref="D108:D113" si="0">C108/C$114</f>
        <v>0.57908029108385972</v>
      </c>
    </row>
    <row r="109" spans="2:4" ht="16">
      <c r="B109" s="6" t="s">
        <v>535</v>
      </c>
      <c r="C109" s="48">
        <f>'11_BALANCE_CONSOLIDADO'!F8</f>
        <v>104537.5</v>
      </c>
      <c r="D109" s="69">
        <f t="shared" si="0"/>
        <v>5.1180496912273943E-2</v>
      </c>
    </row>
    <row r="110" spans="2:4" ht="16">
      <c r="B110" s="6" t="s">
        <v>537</v>
      </c>
      <c r="C110" s="48">
        <f>'11_BALANCE_CONSOLIDADO'!F9</f>
        <v>442130</v>
      </c>
      <c r="D110" s="69">
        <f t="shared" si="0"/>
        <v>0.21646235178594933</v>
      </c>
    </row>
    <row r="111" spans="2:4" ht="16">
      <c r="B111" s="6" t="s">
        <v>539</v>
      </c>
      <c r="C111" s="48">
        <f>'11_BALANCE_CONSOLIDADO'!F10</f>
        <v>139425</v>
      </c>
      <c r="D111" s="69">
        <f t="shared" si="0"/>
        <v>6.8261062125971966E-2</v>
      </c>
    </row>
    <row r="112" spans="2:4" ht="16">
      <c r="B112" s="6" t="s">
        <v>541</v>
      </c>
      <c r="C112" s="48">
        <f>'11_BALANCE_CONSOLIDADO'!F11</f>
        <v>30963.75</v>
      </c>
      <c r="D112" s="69">
        <f t="shared" si="0"/>
        <v>1.5159537116034173E-2</v>
      </c>
    </row>
    <row r="113" spans="2:4" ht="16">
      <c r="B113" s="6" t="s">
        <v>1333</v>
      </c>
      <c r="C113" s="48">
        <f>'11_BALANCE_CONSOLIDADO'!F12</f>
        <v>142683.23526218042</v>
      </c>
      <c r="D113" s="69">
        <f t="shared" si="0"/>
        <v>6.9856260975910855E-2</v>
      </c>
    </row>
    <row r="114" spans="2:4" ht="16">
      <c r="B114" s="5" t="s">
        <v>1334</v>
      </c>
      <c r="C114" s="54">
        <f>SUM(C108:C113)</f>
        <v>2042526.0852621803</v>
      </c>
      <c r="D114" s="101">
        <f>SUM(D108:D113)</f>
        <v>1</v>
      </c>
    </row>
    <row r="130" spans="2:12" ht="16">
      <c r="B130" s="4" t="s">
        <v>1335</v>
      </c>
    </row>
    <row r="132" spans="2:12" ht="16">
      <c r="B132" s="8" t="s">
        <v>1067</v>
      </c>
      <c r="C132" s="8" t="s">
        <v>1336</v>
      </c>
      <c r="D132" s="8" t="s">
        <v>1337</v>
      </c>
      <c r="E132" s="8" t="s">
        <v>1338</v>
      </c>
      <c r="F132" s="8" t="s">
        <v>1339</v>
      </c>
      <c r="G132" s="8" t="s">
        <v>1340</v>
      </c>
      <c r="H132" s="8" t="s">
        <v>1341</v>
      </c>
      <c r="I132" s="8" t="s">
        <v>1342</v>
      </c>
      <c r="J132" s="8" t="s">
        <v>1343</v>
      </c>
      <c r="K132" s="8" t="s">
        <v>1344</v>
      </c>
      <c r="L132" s="8" t="s">
        <v>1345</v>
      </c>
    </row>
    <row r="133" spans="2:12" ht="16">
      <c r="B133" s="6" t="s">
        <v>1273</v>
      </c>
      <c r="C133" s="33">
        <f>'5_DETALLE_INGRESOS'!D26</f>
        <v>1317.8999999999999</v>
      </c>
      <c r="D133" s="33">
        <f>'5_DETALLE_INGRESOS'!D27</f>
        <v>466.75</v>
      </c>
      <c r="E133" s="33">
        <f>'5_DETALLE_INGRESOS'!D28</f>
        <v>4117</v>
      </c>
      <c r="F133" s="33">
        <f>'5_DETALLE_INGRESOS'!D29</f>
        <v>150</v>
      </c>
      <c r="G133" s="33">
        <f>'5_DETALLE_INGRESOS'!D30</f>
        <v>33.75</v>
      </c>
      <c r="H133" s="33">
        <f>'5_DETALLE_INGRESOS'!D31</f>
        <v>800</v>
      </c>
      <c r="I133" s="33">
        <f>'5_DETALLE_INGRESOS'!D32</f>
        <v>119.97</v>
      </c>
      <c r="J133" s="33">
        <f>'5_DETALLE_INGRESOS'!D33</f>
        <v>12.143999999999998</v>
      </c>
      <c r="K133" s="33">
        <f>'5_DETALLE_INGRESOS'!D34</f>
        <v>356.58</v>
      </c>
      <c r="L133" s="33">
        <f>'5_DETALLE_INGRESOS'!D35</f>
        <v>4742.6233000000002</v>
      </c>
    </row>
    <row r="134" spans="2:12" ht="16">
      <c r="B134" s="6" t="s">
        <v>1289</v>
      </c>
      <c r="C134" s="33">
        <f>'5_DETALLE_INGRESOS'!E26</f>
        <v>2664.45</v>
      </c>
      <c r="D134" s="33">
        <f>'5_DETALLE_INGRESOS'!E27</f>
        <v>562.625</v>
      </c>
      <c r="E134" s="33">
        <f>'5_DETALLE_INGRESOS'!E28</f>
        <v>4385.5</v>
      </c>
      <c r="F134" s="33">
        <f>'5_DETALLE_INGRESOS'!E29</f>
        <v>300</v>
      </c>
      <c r="G134" s="33">
        <f>'5_DETALLE_INGRESOS'!E30</f>
        <v>71.25</v>
      </c>
      <c r="H134" s="33">
        <f>'5_DETALLE_INGRESOS'!E31</f>
        <v>880</v>
      </c>
      <c r="I134" s="33">
        <f>'5_DETALLE_INGRESOS'!E32</f>
        <v>159.96</v>
      </c>
      <c r="J134" s="33">
        <f>'5_DETALLE_INGRESOS'!E33</f>
        <v>24.552</v>
      </c>
      <c r="K134" s="33">
        <f>'5_DETALLE_INGRESOS'!E34</f>
        <v>377.30880000000002</v>
      </c>
      <c r="L134" s="33">
        <f>'5_DETALLE_INGRESOS'!E35</f>
        <v>4742.6233000000002</v>
      </c>
    </row>
    <row r="135" spans="2:12" ht="16">
      <c r="B135" s="6" t="s">
        <v>1290</v>
      </c>
      <c r="C135" s="33">
        <f>'5_DETALLE_INGRESOS'!F26</f>
        <v>4039.6499999999996</v>
      </c>
      <c r="D135" s="33">
        <f>'5_DETALLE_INGRESOS'!F27</f>
        <v>658.5</v>
      </c>
      <c r="E135" s="33">
        <f>'5_DETALLE_INGRESOS'!F28</f>
        <v>4654</v>
      </c>
      <c r="F135" s="33">
        <f>'5_DETALLE_INGRESOS'!F29</f>
        <v>450</v>
      </c>
      <c r="G135" s="33">
        <f>'5_DETALLE_INGRESOS'!F30</f>
        <v>105</v>
      </c>
      <c r="H135" s="33">
        <f>'5_DETALLE_INGRESOS'!F31</f>
        <v>960</v>
      </c>
      <c r="I135" s="33">
        <f>'5_DETALLE_INGRESOS'!F32</f>
        <v>199.95000000000002</v>
      </c>
      <c r="J135" s="33">
        <f>'5_DETALLE_INGRESOS'!F33</f>
        <v>37.223999999999997</v>
      </c>
      <c r="K135" s="33">
        <f>'5_DETALLE_INGRESOS'!F34</f>
        <v>400.19270400000011</v>
      </c>
      <c r="L135" s="33">
        <f>'5_DETALLE_INGRESOS'!F35</f>
        <v>4742.6233000000002</v>
      </c>
    </row>
    <row r="136" spans="2:12" ht="16">
      <c r="B136" s="6" t="s">
        <v>1291</v>
      </c>
      <c r="C136" s="33">
        <f>'5_DETALLE_INGRESOS'!G26</f>
        <v>5443.5</v>
      </c>
      <c r="D136" s="33">
        <f>'5_DETALLE_INGRESOS'!G27</f>
        <v>768</v>
      </c>
      <c r="E136" s="33">
        <f>'5_DETALLE_INGRESOS'!G28</f>
        <v>5012</v>
      </c>
      <c r="F136" s="33">
        <f>'5_DETALLE_INGRESOS'!G29</f>
        <v>675</v>
      </c>
      <c r="G136" s="33">
        <f>'5_DETALLE_INGRESOS'!G30</f>
        <v>142.5</v>
      </c>
      <c r="H136" s="33">
        <f>'5_DETALLE_INGRESOS'!G31</f>
        <v>1040</v>
      </c>
      <c r="I136" s="33">
        <f>'5_DETALLE_INGRESOS'!G32</f>
        <v>239.94</v>
      </c>
      <c r="J136" s="33">
        <f>'5_DETALLE_INGRESOS'!G33</f>
        <v>50.160000000000004</v>
      </c>
      <c r="K136" s="33">
        <f>'5_DETALLE_INGRESOS'!G34</f>
        <v>425.41852032000014</v>
      </c>
      <c r="L136" s="33">
        <f>'5_DETALLE_INGRESOS'!G35</f>
        <v>4742.6233000000002</v>
      </c>
    </row>
    <row r="137" spans="2:12" ht="16">
      <c r="B137" s="6" t="s">
        <v>1292</v>
      </c>
      <c r="C137" s="33">
        <f>'5_DETALLE_INGRESOS'!H26</f>
        <v>6904.65</v>
      </c>
      <c r="D137" s="33">
        <f>'5_DETALLE_INGRESOS'!H27</f>
        <v>877.5</v>
      </c>
      <c r="E137" s="33">
        <f>'5_DETALLE_INGRESOS'!H28</f>
        <v>5370</v>
      </c>
      <c r="F137" s="33">
        <f>'5_DETALLE_INGRESOS'!H29</f>
        <v>825</v>
      </c>
      <c r="G137" s="33">
        <f>'5_DETALLE_INGRESOS'!H30</f>
        <v>180</v>
      </c>
      <c r="H137" s="33">
        <f>'5_DETALLE_INGRESOS'!H31</f>
        <v>1120</v>
      </c>
      <c r="I137" s="33">
        <f>'5_DETALLE_INGRESOS'!H32</f>
        <v>319.92</v>
      </c>
      <c r="J137" s="33">
        <f>'5_DETALLE_INGRESOS'!H33</f>
        <v>63.623999999999995</v>
      </c>
      <c r="K137" s="33">
        <f>'5_DETALLE_INGRESOS'!H34</f>
        <v>453.00800194560014</v>
      </c>
      <c r="L137" s="33">
        <f>'5_DETALLE_INGRESOS'!H35</f>
        <v>4742.6233000000002</v>
      </c>
    </row>
    <row r="138" spans="2:12" ht="16">
      <c r="B138" s="6" t="s">
        <v>1274</v>
      </c>
      <c r="C138" s="33">
        <f>'5_DETALLE_INGRESOS'!I26</f>
        <v>8423.0999999999985</v>
      </c>
      <c r="D138" s="33">
        <f>'5_DETALLE_INGRESOS'!I27</f>
        <v>1000.625</v>
      </c>
      <c r="E138" s="33">
        <f>'5_DETALLE_INGRESOS'!I28</f>
        <v>5817.5</v>
      </c>
      <c r="F138" s="33">
        <f>'5_DETALLE_INGRESOS'!I29</f>
        <v>975</v>
      </c>
      <c r="G138" s="33">
        <f>'5_DETALLE_INGRESOS'!I30</f>
        <v>221.25</v>
      </c>
      <c r="H138" s="33">
        <f>'5_DETALLE_INGRESOS'!I31</f>
        <v>1200</v>
      </c>
      <c r="I138" s="33">
        <f>'5_DETALLE_INGRESOS'!I32</f>
        <v>359.91</v>
      </c>
      <c r="J138" s="33">
        <f>'5_DETALLE_INGRESOS'!I33</f>
        <v>77.616</v>
      </c>
      <c r="K138" s="33">
        <f>'5_DETALLE_INGRESOS'!I34</f>
        <v>483.17904210124823</v>
      </c>
      <c r="L138" s="33">
        <f>'5_DETALLE_INGRESOS'!I35</f>
        <v>4742.6233000000002</v>
      </c>
    </row>
    <row r="139" spans="2:12" ht="16">
      <c r="B139" s="6" t="s">
        <v>1293</v>
      </c>
      <c r="C139" s="33">
        <f>'5_DETALLE_INGRESOS'!J26</f>
        <v>9998.8499999999985</v>
      </c>
      <c r="D139" s="33">
        <f>'5_DETALLE_INGRESOS'!J27</f>
        <v>1120.125</v>
      </c>
      <c r="E139" s="33">
        <f>'5_DETALLE_INGRESOS'!J28</f>
        <v>6175.5</v>
      </c>
      <c r="F139" s="33">
        <f>'5_DETALLE_INGRESOS'!J29</f>
        <v>1200</v>
      </c>
      <c r="G139" s="33">
        <f>'5_DETALLE_INGRESOS'!J30</f>
        <v>262.5</v>
      </c>
      <c r="H139" s="33">
        <f>'5_DETALLE_INGRESOS'!J31</f>
        <v>1280</v>
      </c>
      <c r="I139" s="33">
        <f>'5_DETALLE_INGRESOS'!J32</f>
        <v>399.90000000000003</v>
      </c>
      <c r="J139" s="33">
        <f>'5_DETALLE_INGRESOS'!J33</f>
        <v>92.135999999999981</v>
      </c>
      <c r="K139" s="33">
        <f>'5_DETALLE_INGRESOS'!J34</f>
        <v>516.16696546934816</v>
      </c>
      <c r="L139" s="33">
        <f>'5_DETALLE_INGRESOS'!J35</f>
        <v>4742.6233000000002</v>
      </c>
    </row>
    <row r="140" spans="2:12" ht="16">
      <c r="B140" s="6" t="s">
        <v>1294</v>
      </c>
      <c r="C140" s="33">
        <f>'5_DETALLE_INGRESOS'!K26</f>
        <v>11631.9</v>
      </c>
      <c r="D140" s="33">
        <f>'5_DETALLE_INGRESOS'!K27</f>
        <v>1248.25</v>
      </c>
      <c r="E140" s="33">
        <f>'5_DETALLE_INGRESOS'!K28</f>
        <v>6623</v>
      </c>
      <c r="F140" s="33">
        <f>'5_DETALLE_INGRESOS'!K29</f>
        <v>1350</v>
      </c>
      <c r="G140" s="33">
        <f>'5_DETALLE_INGRESOS'!K30</f>
        <v>303.75</v>
      </c>
      <c r="H140" s="33">
        <f>'5_DETALLE_INGRESOS'!K31</f>
        <v>1440</v>
      </c>
      <c r="I140" s="33">
        <f>'5_DETALLE_INGRESOS'!K32</f>
        <v>479.88</v>
      </c>
      <c r="J140" s="33">
        <f>'5_DETALLE_INGRESOS'!K33</f>
        <v>107.184</v>
      </c>
      <c r="K140" s="33">
        <f>'5_DETALLE_INGRESOS'!K34</f>
        <v>552.22592270689597</v>
      </c>
      <c r="L140" s="33">
        <f>'5_DETALLE_INGRESOS'!K35</f>
        <v>4742.6233000000002</v>
      </c>
    </row>
    <row r="141" spans="2:12" ht="16">
      <c r="B141" s="6" t="s">
        <v>1295</v>
      </c>
      <c r="C141" s="33">
        <f>'5_DETALLE_INGRESOS'!L26</f>
        <v>13379.55</v>
      </c>
      <c r="D141" s="33">
        <f>'5_DETALLE_INGRESOS'!L27</f>
        <v>1390</v>
      </c>
      <c r="E141" s="33">
        <f>'5_DETALLE_INGRESOS'!L28</f>
        <v>7160</v>
      </c>
      <c r="F141" s="33">
        <f>'5_DETALLE_INGRESOS'!L29</f>
        <v>1575</v>
      </c>
      <c r="G141" s="33">
        <f>'5_DETALLE_INGRESOS'!L30</f>
        <v>348.75</v>
      </c>
      <c r="H141" s="33">
        <f>'5_DETALLE_INGRESOS'!L31</f>
        <v>1520</v>
      </c>
      <c r="I141" s="33">
        <f>'5_DETALLE_INGRESOS'!L32</f>
        <v>519.87</v>
      </c>
      <c r="J141" s="33">
        <f>'5_DETALLE_INGRESOS'!L33</f>
        <v>123.288</v>
      </c>
      <c r="K141" s="33">
        <f>'5_DETALLE_INGRESOS'!L34</f>
        <v>591.27039652344774</v>
      </c>
      <c r="L141" s="33">
        <f>'5_DETALLE_INGRESOS'!L35</f>
        <v>4742.6233000000002</v>
      </c>
    </row>
    <row r="142" spans="2:12" ht="16">
      <c r="B142" s="6" t="s">
        <v>1296</v>
      </c>
      <c r="C142" s="33">
        <f>'5_DETALLE_INGRESOS'!M26</f>
        <v>15213.15</v>
      </c>
      <c r="D142" s="33">
        <f>'5_DETALLE_INGRESOS'!M27</f>
        <v>1536.75</v>
      </c>
      <c r="E142" s="33">
        <f>'5_DETALLE_INGRESOS'!M28</f>
        <v>7697</v>
      </c>
      <c r="F142" s="33">
        <f>'5_DETALLE_INGRESOS'!M29</f>
        <v>1800</v>
      </c>
      <c r="G142" s="33">
        <f>'5_DETALLE_INGRESOS'!M30</f>
        <v>397.5</v>
      </c>
      <c r="H142" s="33">
        <f>'5_DETALLE_INGRESOS'!M31</f>
        <v>1600</v>
      </c>
      <c r="I142" s="33">
        <f>'5_DETALLE_INGRESOS'!M32</f>
        <v>599.85</v>
      </c>
      <c r="J142" s="33">
        <f>'5_DETALLE_INGRESOS'!M33</f>
        <v>140.184</v>
      </c>
      <c r="K142" s="33">
        <f>'5_DETALLE_INGRESOS'!M34</f>
        <v>633.7768282453236</v>
      </c>
      <c r="L142" s="33">
        <f>'5_DETALLE_INGRESOS'!M35</f>
        <v>4742.6233000000002</v>
      </c>
    </row>
    <row r="143" spans="2:12" ht="16">
      <c r="B143" s="6" t="s">
        <v>1297</v>
      </c>
      <c r="C143" s="33">
        <f>'5_DETALLE_INGRESOS'!N26</f>
        <v>17161.349999999999</v>
      </c>
      <c r="D143" s="33">
        <f>'5_DETALLE_INGRESOS'!N27</f>
        <v>1702.125</v>
      </c>
      <c r="E143" s="33">
        <f>'5_DETALLE_INGRESOS'!N28</f>
        <v>8323.5</v>
      </c>
      <c r="F143" s="33">
        <f>'5_DETALLE_INGRESOS'!N29</f>
        <v>2025</v>
      </c>
      <c r="G143" s="33">
        <f>'5_DETALLE_INGRESOS'!N30</f>
        <v>450</v>
      </c>
      <c r="H143" s="33">
        <f>'5_DETALLE_INGRESOS'!N31</f>
        <v>1680</v>
      </c>
      <c r="I143" s="33">
        <f>'5_DETALLE_INGRESOS'!N32</f>
        <v>639.84</v>
      </c>
      <c r="J143" s="33">
        <f>'5_DETALLE_INGRESOS'!N33</f>
        <v>158.136</v>
      </c>
      <c r="K143" s="33">
        <f>'5_DETALLE_INGRESOS'!N34</f>
        <v>679.88537450494937</v>
      </c>
      <c r="L143" s="33">
        <f>'5_DETALLE_INGRESOS'!N35</f>
        <v>4742.6233000000002</v>
      </c>
    </row>
    <row r="144" spans="2:12" ht="16">
      <c r="B144" s="6" t="s">
        <v>1275</v>
      </c>
      <c r="C144" s="33">
        <f>'5_DETALLE_INGRESOS'!O26</f>
        <v>19195.5</v>
      </c>
      <c r="D144" s="33">
        <f>'5_DETALLE_INGRESOS'!O27</f>
        <v>1867.5</v>
      </c>
      <c r="E144" s="33">
        <f>'5_DETALLE_INGRESOS'!O28</f>
        <v>8950</v>
      </c>
      <c r="F144" s="33">
        <f>'5_DETALLE_INGRESOS'!O29</f>
        <v>2250</v>
      </c>
      <c r="G144" s="33">
        <f>'5_DETALLE_INGRESOS'!O30</f>
        <v>502.5</v>
      </c>
      <c r="H144" s="33">
        <f>'5_DETALLE_INGRESOS'!O31</f>
        <v>1840</v>
      </c>
      <c r="I144" s="33">
        <f>'5_DETALLE_INGRESOS'!O32</f>
        <v>719.82</v>
      </c>
      <c r="J144" s="33">
        <f>'5_DETALLE_INGRESOS'!O33</f>
        <v>176.87999999999997</v>
      </c>
      <c r="K144" s="33">
        <f>'5_DETALLE_INGRESOS'!O34</f>
        <v>730.12180446534535</v>
      </c>
      <c r="L144" s="33">
        <f>'5_DETALLE_INGRESOS'!O35</f>
        <v>4742.6233000000002</v>
      </c>
    </row>
    <row r="145" spans="2:12" ht="16">
      <c r="B145" s="6" t="s">
        <v>1298</v>
      </c>
      <c r="C145" s="33">
        <f>'5_DETALLE_INGRESOS'!P26</f>
        <v>21344.25</v>
      </c>
      <c r="D145" s="33">
        <f>'5_DETALLE_INGRESOS'!P27</f>
        <v>2042.875</v>
      </c>
      <c r="E145" s="33">
        <f>'5_DETALLE_INGRESOS'!P28</f>
        <v>9576.5</v>
      </c>
      <c r="F145" s="33">
        <f>'5_DETALLE_INGRESOS'!P29</f>
        <v>2550</v>
      </c>
      <c r="G145" s="33">
        <f>'5_DETALLE_INGRESOS'!P30</f>
        <v>558.75</v>
      </c>
      <c r="H145" s="33">
        <f>'5_DETALLE_INGRESOS'!P31</f>
        <v>1920</v>
      </c>
      <c r="I145" s="33">
        <f>'5_DETALLE_INGRESOS'!P32</f>
        <v>799.80000000000007</v>
      </c>
      <c r="J145" s="33">
        <f>'5_DETALLE_INGRESOS'!P33</f>
        <v>196.67999999999998</v>
      </c>
      <c r="K145" s="33">
        <f>'5_DETALLE_INGRESOS'!P34</f>
        <v>784.67954882257311</v>
      </c>
      <c r="L145" s="33">
        <f>'5_DETALLE_INGRESOS'!P35</f>
        <v>4742.6233000000002</v>
      </c>
    </row>
    <row r="146" spans="2:12" ht="16">
      <c r="B146" s="6" t="s">
        <v>1299</v>
      </c>
      <c r="C146" s="33">
        <f>'5_DETALLE_INGRESOS'!Q26</f>
        <v>23607.599999999999</v>
      </c>
      <c r="D146" s="33">
        <f>'5_DETALLE_INGRESOS'!Q27</f>
        <v>2226.875</v>
      </c>
      <c r="E146" s="33">
        <f>'5_DETALLE_INGRESOS'!Q28</f>
        <v>10292.5</v>
      </c>
      <c r="F146" s="33">
        <f>'5_DETALLE_INGRESOS'!Q29</f>
        <v>2775</v>
      </c>
      <c r="G146" s="33">
        <f>'5_DETALLE_INGRESOS'!Q30</f>
        <v>618.75</v>
      </c>
      <c r="H146" s="33">
        <f>'5_DETALLE_INGRESOS'!Q31</f>
        <v>2080</v>
      </c>
      <c r="I146" s="33">
        <f>'5_DETALLE_INGRESOS'!Q32</f>
        <v>799.80000000000007</v>
      </c>
      <c r="J146" s="33">
        <f>'5_DETALLE_INGRESOS'!Q33</f>
        <v>217.536</v>
      </c>
      <c r="K146" s="33">
        <f>'5_DETALLE_INGRESOS'!Q34</f>
        <v>843.96191272837905</v>
      </c>
      <c r="L146" s="33">
        <f>'5_DETALLE_INGRESOS'!Q35</f>
        <v>4742.6233000000002</v>
      </c>
    </row>
    <row r="147" spans="2:12" ht="16">
      <c r="B147" s="6" t="s">
        <v>1300</v>
      </c>
      <c r="C147" s="33">
        <f>'5_DETALLE_INGRESOS'!R26</f>
        <v>26014.199999999997</v>
      </c>
      <c r="D147" s="33">
        <f>'5_DETALLE_INGRESOS'!R27</f>
        <v>2429.5</v>
      </c>
      <c r="E147" s="33">
        <f>'5_DETALLE_INGRESOS'!R28</f>
        <v>11098</v>
      </c>
      <c r="F147" s="33">
        <f>'5_DETALLE_INGRESOS'!R29</f>
        <v>3075</v>
      </c>
      <c r="G147" s="33">
        <f>'5_DETALLE_INGRESOS'!R30</f>
        <v>682.5</v>
      </c>
      <c r="H147" s="33">
        <f>'5_DETALLE_INGRESOS'!R31</f>
        <v>2240</v>
      </c>
      <c r="I147" s="33">
        <f>'5_DETALLE_INGRESOS'!R32</f>
        <v>799.80000000000007</v>
      </c>
      <c r="J147" s="33">
        <f>'5_DETALLE_INGRESOS'!R33</f>
        <v>239.71199999999999</v>
      </c>
      <c r="K147" s="33">
        <f>'5_DETALLE_INGRESOS'!R34</f>
        <v>908.22446574664934</v>
      </c>
      <c r="L147" s="33">
        <f>'5_DETALLE_INGRESOS'!R35</f>
        <v>4742.6233000000002</v>
      </c>
    </row>
    <row r="148" spans="2:12" ht="16">
      <c r="B148" s="6" t="s">
        <v>1301</v>
      </c>
      <c r="C148" s="33">
        <f>'5_DETALLE_INGRESOS'!S26</f>
        <v>28592.699999999997</v>
      </c>
      <c r="D148" s="33">
        <f>'5_DETALLE_INGRESOS'!S27</f>
        <v>2650.75</v>
      </c>
      <c r="E148" s="33">
        <f>'5_DETALLE_INGRESOS'!S28</f>
        <v>11993</v>
      </c>
      <c r="F148" s="33">
        <f>'5_DETALLE_INGRESOS'!S29</f>
        <v>3375</v>
      </c>
      <c r="G148" s="33">
        <f>'5_DETALLE_INGRESOS'!S30</f>
        <v>750</v>
      </c>
      <c r="H148" s="33">
        <f>'5_DETALLE_INGRESOS'!S31</f>
        <v>2320</v>
      </c>
      <c r="I148" s="33">
        <f>'5_DETALLE_INGRESOS'!S32</f>
        <v>799.80000000000007</v>
      </c>
      <c r="J148" s="33">
        <f>'5_DETALLE_INGRESOS'!S33</f>
        <v>263.47199999999998</v>
      </c>
      <c r="K148" s="33">
        <f>'5_DETALLE_INGRESOS'!S34</f>
        <v>977.75762300638144</v>
      </c>
      <c r="L148" s="33">
        <f>'5_DETALLE_INGRESOS'!S35</f>
        <v>4742.6233000000002</v>
      </c>
    </row>
    <row r="149" spans="2:12" ht="16">
      <c r="B149" s="6" t="s">
        <v>1302</v>
      </c>
      <c r="C149" s="33">
        <f>'5_DETALLE_INGRESOS'!T26</f>
        <v>31343.1</v>
      </c>
      <c r="D149" s="33">
        <f>'5_DETALLE_INGRESOS'!T27</f>
        <v>2882</v>
      </c>
      <c r="E149" s="33">
        <f>'5_DETALLE_INGRESOS'!T28</f>
        <v>12888</v>
      </c>
      <c r="F149" s="33">
        <f>'5_DETALLE_INGRESOS'!T29</f>
        <v>3675</v>
      </c>
      <c r="G149" s="33">
        <f>'5_DETALLE_INGRESOS'!T30</f>
        <v>821.25</v>
      </c>
      <c r="H149" s="33">
        <f>'5_DETALLE_INGRESOS'!T31</f>
        <v>2400</v>
      </c>
      <c r="I149" s="33">
        <f>'5_DETALLE_INGRESOS'!T32</f>
        <v>799.80000000000007</v>
      </c>
      <c r="J149" s="33">
        <f>'5_DETALLE_INGRESOS'!T33</f>
        <v>288.81599999999997</v>
      </c>
      <c r="K149" s="33">
        <f>'5_DETALLE_INGRESOS'!T34</f>
        <v>1053.0694328468921</v>
      </c>
      <c r="L149" s="33">
        <f>'5_DETALLE_INGRESOS'!T35</f>
        <v>4742.6233000000002</v>
      </c>
    </row>
    <row r="150" spans="2:12" ht="16">
      <c r="B150" s="6" t="s">
        <v>1303</v>
      </c>
      <c r="C150" s="33">
        <f>'5_DETALLE_INGRESOS'!U26</f>
        <v>34265.399999999994</v>
      </c>
      <c r="D150" s="33">
        <f>'5_DETALLE_INGRESOS'!U27</f>
        <v>3131.875</v>
      </c>
      <c r="E150" s="33">
        <f>'5_DETALLE_INGRESOS'!U28</f>
        <v>13872.5</v>
      </c>
      <c r="F150" s="33">
        <f>'5_DETALLE_INGRESOS'!U29</f>
        <v>4050</v>
      </c>
      <c r="G150" s="33">
        <f>'5_DETALLE_INGRESOS'!U30</f>
        <v>896.25</v>
      </c>
      <c r="H150" s="33">
        <f>'5_DETALLE_INGRESOS'!U31</f>
        <v>2400</v>
      </c>
      <c r="I150" s="33">
        <f>'5_DETALLE_INGRESOS'!U32</f>
        <v>799.80000000000007</v>
      </c>
      <c r="J150" s="33">
        <f>'5_DETALLE_INGRESOS'!U33</f>
        <v>315.74399999999997</v>
      </c>
      <c r="K150" s="33">
        <f>'5_DETALLE_INGRESOS'!U34</f>
        <v>1134.7085874746435</v>
      </c>
      <c r="L150" s="33">
        <f>'5_DETALLE_INGRESOS'!U35</f>
        <v>4742.6233000000002</v>
      </c>
    </row>
    <row r="151" spans="2:12" ht="16">
      <c r="B151" s="6" t="s">
        <v>1304</v>
      </c>
      <c r="C151" s="33">
        <f>'5_DETALLE_INGRESOS'!V26</f>
        <v>37416.899999999994</v>
      </c>
      <c r="D151" s="33">
        <f>'5_DETALLE_INGRESOS'!V27</f>
        <v>3400.375</v>
      </c>
      <c r="E151" s="33">
        <f>'5_DETALLE_INGRESOS'!V28</f>
        <v>14946.5</v>
      </c>
      <c r="F151" s="33">
        <f>'5_DETALLE_INGRESOS'!V29</f>
        <v>4425</v>
      </c>
      <c r="G151" s="33">
        <f>'5_DETALLE_INGRESOS'!V30</f>
        <v>978.75</v>
      </c>
      <c r="H151" s="33">
        <f>'5_DETALLE_INGRESOS'!V31</f>
        <v>2400</v>
      </c>
      <c r="I151" s="33">
        <f>'5_DETALLE_INGRESOS'!V32</f>
        <v>799.80000000000007</v>
      </c>
      <c r="J151" s="33">
        <f>'5_DETALLE_INGRESOS'!V33</f>
        <v>344.78400000000005</v>
      </c>
      <c r="K151" s="33">
        <f>'5_DETALLE_INGRESOS'!V34</f>
        <v>1222.9076744726151</v>
      </c>
      <c r="L151" s="33">
        <f>'5_DETALLE_INGRESOS'!V35</f>
        <v>4742.6233000000002</v>
      </c>
    </row>
    <row r="152" spans="2:12" ht="16">
      <c r="B152" s="6" t="s">
        <v>1305</v>
      </c>
      <c r="C152" s="33">
        <f>'5_DETALLE_INGRESOS'!W26</f>
        <v>40768.949999999997</v>
      </c>
      <c r="D152" s="33">
        <f>'5_DETALLE_INGRESOS'!W27</f>
        <v>3687.5</v>
      </c>
      <c r="E152" s="33">
        <f>'5_DETALLE_INGRESOS'!W28</f>
        <v>16110</v>
      </c>
      <c r="F152" s="33">
        <f>'5_DETALLE_INGRESOS'!W29</f>
        <v>4800</v>
      </c>
      <c r="G152" s="33">
        <f>'5_DETALLE_INGRESOS'!W30</f>
        <v>1068.75</v>
      </c>
      <c r="H152" s="33">
        <f>'5_DETALLE_INGRESOS'!W31</f>
        <v>2400</v>
      </c>
      <c r="I152" s="33">
        <f>'5_DETALLE_INGRESOS'!W32</f>
        <v>799.80000000000007</v>
      </c>
      <c r="J152" s="33">
        <f>'5_DETALLE_INGRESOS'!W33</f>
        <v>375.67199999999997</v>
      </c>
      <c r="K152" s="33">
        <f>'5_DETALLE_INGRESOS'!W34</f>
        <v>1318.4866884304245</v>
      </c>
      <c r="L152" s="33">
        <f>'5_DETALLE_INGRESOS'!W35</f>
        <v>4742.6233000000002</v>
      </c>
    </row>
    <row r="153" spans="2:12" ht="16">
      <c r="B153" s="6" t="s">
        <v>1306</v>
      </c>
      <c r="C153" s="33">
        <f>'5_DETALLE_INGRESOS'!X26</f>
        <v>44378.85</v>
      </c>
      <c r="D153" s="33">
        <f>'5_DETALLE_INGRESOS'!X27</f>
        <v>3998.25</v>
      </c>
      <c r="E153" s="33">
        <f>'5_DETALLE_INGRESOS'!X28</f>
        <v>17363</v>
      </c>
      <c r="F153" s="33">
        <f>'5_DETALLE_INGRESOS'!X29</f>
        <v>5250</v>
      </c>
      <c r="G153" s="33">
        <f>'5_DETALLE_INGRESOS'!X30</f>
        <v>1162.5</v>
      </c>
      <c r="H153" s="33">
        <f>'5_DETALLE_INGRESOS'!X31</f>
        <v>2400</v>
      </c>
      <c r="I153" s="33">
        <f>'5_DETALLE_INGRESOS'!X32</f>
        <v>799.80000000000007</v>
      </c>
      <c r="J153" s="33">
        <f>'5_DETALLE_INGRESOS'!X33</f>
        <v>408.93599999999998</v>
      </c>
      <c r="K153" s="33">
        <f>'5_DETALLE_INGRESOS'!X34</f>
        <v>1421.7768235048586</v>
      </c>
      <c r="L153" s="33">
        <f>'5_DETALLE_INGRESOS'!X35</f>
        <v>4742.6233000000002</v>
      </c>
    </row>
    <row r="154" spans="2:12" ht="16">
      <c r="B154" s="6" t="s">
        <v>1307</v>
      </c>
      <c r="C154" s="33">
        <f>'5_DETALLE_INGRESOS'!Y26</f>
        <v>48246.6</v>
      </c>
      <c r="D154" s="33">
        <f>'5_DETALLE_INGRESOS'!Y27</f>
        <v>4327.625</v>
      </c>
      <c r="E154" s="33">
        <f>'5_DETALLE_INGRESOS'!Y28</f>
        <v>18705.5</v>
      </c>
      <c r="F154" s="33">
        <f>'5_DETALLE_INGRESOS'!Y29</f>
        <v>5700</v>
      </c>
      <c r="G154" s="33">
        <f>'5_DETALLE_INGRESOS'!Y30</f>
        <v>1263.75</v>
      </c>
      <c r="H154" s="33">
        <f>'5_DETALLE_INGRESOS'!Y31</f>
        <v>2400</v>
      </c>
      <c r="I154" s="33">
        <f>'5_DETALLE_INGRESOS'!Y32</f>
        <v>799.80000000000007</v>
      </c>
      <c r="J154" s="33">
        <f>'5_DETALLE_INGRESOS'!Y33</f>
        <v>444.57600000000002</v>
      </c>
      <c r="K154" s="33">
        <f>'5_DETALLE_INGRESOS'!Y34</f>
        <v>1533.5245693852476</v>
      </c>
      <c r="L154" s="33">
        <f>'5_DETALLE_INGRESOS'!Y35</f>
        <v>4742.6233000000002</v>
      </c>
    </row>
    <row r="155" spans="2:12" ht="16">
      <c r="B155" s="6" t="s">
        <v>1308</v>
      </c>
      <c r="C155" s="33">
        <f>'5_DETALLE_INGRESOS'!Z26</f>
        <v>52372.2</v>
      </c>
      <c r="D155" s="33">
        <f>'5_DETALLE_INGRESOS'!Z27</f>
        <v>4680.625</v>
      </c>
      <c r="E155" s="33">
        <f>'5_DETALLE_INGRESOS'!Z28</f>
        <v>20137.5</v>
      </c>
      <c r="F155" s="33">
        <f>'5_DETALLE_INGRESOS'!Z29</f>
        <v>6150</v>
      </c>
      <c r="G155" s="33">
        <f>'5_DETALLE_INGRESOS'!Z30</f>
        <v>1372.5</v>
      </c>
      <c r="H155" s="33">
        <f>'5_DETALLE_INGRESOS'!Z31</f>
        <v>2400</v>
      </c>
      <c r="I155" s="33">
        <f>'5_DETALLE_INGRESOS'!Z32</f>
        <v>799.80000000000007</v>
      </c>
      <c r="J155" s="33">
        <f>'5_DETALLE_INGRESOS'!Z33</f>
        <v>482.59199999999998</v>
      </c>
      <c r="K155" s="33">
        <f>'5_DETALLE_INGRESOS'!Z34</f>
        <v>1654.5361349360676</v>
      </c>
      <c r="L155" s="33">
        <f>'5_DETALLE_INGRESOS'!Z35</f>
        <v>4742.6233000000002</v>
      </c>
    </row>
    <row r="156" spans="2:12" ht="16">
      <c r="B156" s="6" t="s">
        <v>1276</v>
      </c>
      <c r="C156" s="33">
        <f>'5_DETALLE_INGRESOS'!AA26</f>
        <v>56812.95</v>
      </c>
      <c r="D156" s="33">
        <f>'5_DETALLE_INGRESOS'!AA27</f>
        <v>5070.875</v>
      </c>
      <c r="E156" s="33">
        <f>'5_DETALLE_INGRESOS'!AA28</f>
        <v>21748.5</v>
      </c>
      <c r="F156" s="33">
        <f>'5_DETALLE_INGRESOS'!AA29</f>
        <v>6675</v>
      </c>
      <c r="G156" s="33">
        <f>'5_DETALLE_INGRESOS'!AA30</f>
        <v>1488.75</v>
      </c>
      <c r="H156" s="33">
        <f>'5_DETALLE_INGRESOS'!AA31</f>
        <v>2400</v>
      </c>
      <c r="I156" s="33">
        <f>'5_DETALLE_INGRESOS'!AA32</f>
        <v>799.80000000000007</v>
      </c>
      <c r="J156" s="33">
        <f>'5_DETALLE_INGRESOS'!AA33</f>
        <v>523.51199999999994</v>
      </c>
      <c r="K156" s="33">
        <f>'5_DETALLE_INGRESOS'!AA34</f>
        <v>1785.3222257309531</v>
      </c>
      <c r="L156" s="33">
        <f>'5_DETALLE_INGRESOS'!AA35</f>
        <v>4742.6233000000002</v>
      </c>
    </row>
    <row r="157" spans="2:12" ht="16">
      <c r="B157" s="6" t="s">
        <v>1309</v>
      </c>
      <c r="C157" s="33">
        <f>'5_DETALLE_INGRESOS'!AB26</f>
        <v>61597.5</v>
      </c>
      <c r="D157" s="33">
        <f>'5_DETALLE_INGRESOS'!AB27</f>
        <v>5484.75</v>
      </c>
      <c r="E157" s="33">
        <f>'5_DETALLE_INGRESOS'!AB28</f>
        <v>23449</v>
      </c>
      <c r="F157" s="33">
        <f>'5_DETALLE_INGRESOS'!AB29</f>
        <v>7275</v>
      </c>
      <c r="G157" s="33">
        <f>'5_DETALLE_INGRESOS'!AB30</f>
        <v>1612.5</v>
      </c>
      <c r="H157" s="33">
        <f>'5_DETALLE_INGRESOS'!AB31</f>
        <v>2400</v>
      </c>
      <c r="I157" s="33">
        <f>'5_DETALLE_INGRESOS'!AB32</f>
        <v>799.80000000000007</v>
      </c>
      <c r="J157" s="33">
        <f>'5_DETALLE_INGRESOS'!AB33</f>
        <v>567.6</v>
      </c>
      <c r="K157" s="33">
        <f>'5_DETALLE_INGRESOS'!AB34</f>
        <v>1926.6432037894292</v>
      </c>
      <c r="L157" s="33">
        <f>'5_DETALLE_INGRESOS'!AB35</f>
        <v>4742.6233000000002</v>
      </c>
    </row>
    <row r="158" spans="2:12" ht="16">
      <c r="B158" s="6" t="s">
        <v>1310</v>
      </c>
      <c r="C158" s="33">
        <f>'5_DETALLE_INGRESOS'!AC26</f>
        <v>66754.5</v>
      </c>
      <c r="D158" s="33">
        <f>'5_DETALLE_INGRESOS'!AC27</f>
        <v>5935.875</v>
      </c>
      <c r="E158" s="33">
        <f>'5_DETALLE_INGRESOS'!AC28</f>
        <v>25328.5</v>
      </c>
      <c r="F158" s="33">
        <f>'5_DETALLE_INGRESOS'!AC29</f>
        <v>7875</v>
      </c>
      <c r="G158" s="33">
        <f>'5_DETALLE_INGRESOS'!AC30</f>
        <v>1747.5</v>
      </c>
      <c r="H158" s="33">
        <f>'5_DETALLE_INGRESOS'!AC31</f>
        <v>2400</v>
      </c>
      <c r="I158" s="33">
        <f>'5_DETALLE_INGRESOS'!AC32</f>
        <v>799.80000000000007</v>
      </c>
      <c r="J158" s="33">
        <f>'5_DETALLE_INGRESOS'!AC33</f>
        <v>615.11999999999989</v>
      </c>
      <c r="K158" s="33">
        <f>'5_DETALLE_INGRESOS'!AC34</f>
        <v>2079.3346600925838</v>
      </c>
      <c r="L158" s="33">
        <f>'5_DETALLE_INGRESOS'!AC35</f>
        <v>4742.6233000000002</v>
      </c>
    </row>
    <row r="159" spans="2:12" ht="16">
      <c r="B159" s="6" t="s">
        <v>1311</v>
      </c>
      <c r="C159" s="33">
        <f>'5_DETALLE_INGRESOS'!AD26</f>
        <v>72283.95</v>
      </c>
      <c r="D159" s="33">
        <f>'5_DETALLE_INGRESOS'!AD27</f>
        <v>6415.625</v>
      </c>
      <c r="E159" s="33">
        <f>'5_DETALLE_INGRESOS'!AD28</f>
        <v>27297.5</v>
      </c>
      <c r="F159" s="33">
        <f>'5_DETALLE_INGRESOS'!AD29</f>
        <v>8550</v>
      </c>
      <c r="G159" s="33">
        <f>'5_DETALLE_INGRESOS'!AD30</f>
        <v>1893.75</v>
      </c>
      <c r="H159" s="33">
        <f>'5_DETALLE_INGRESOS'!AD31</f>
        <v>2400</v>
      </c>
      <c r="I159" s="33">
        <f>'5_DETALLE_INGRESOS'!AD32</f>
        <v>799.80000000000007</v>
      </c>
      <c r="J159" s="33">
        <f>'5_DETALLE_INGRESOS'!AD33</f>
        <v>666.072</v>
      </c>
      <c r="K159" s="33">
        <f>'5_DETALLE_INGRESOS'!AD34</f>
        <v>2244.4934328999907</v>
      </c>
      <c r="L159" s="33">
        <f>'5_DETALLE_INGRESOS'!AD35</f>
        <v>4742.6233000000002</v>
      </c>
    </row>
    <row r="160" spans="2:12" ht="16">
      <c r="B160" s="6" t="s">
        <v>1312</v>
      </c>
      <c r="C160" s="33">
        <f>'5_DETALLE_INGRESOS'!AE26</f>
        <v>78243.149999999994</v>
      </c>
      <c r="D160" s="33">
        <f>'5_DETALLE_INGRESOS'!AE27</f>
        <v>6932.625</v>
      </c>
      <c r="E160" s="33">
        <f>'5_DETALLE_INGRESOS'!AE28</f>
        <v>29445.5</v>
      </c>
      <c r="F160" s="33">
        <f>'5_DETALLE_INGRESOS'!AE29</f>
        <v>9225</v>
      </c>
      <c r="G160" s="33">
        <f>'5_DETALLE_INGRESOS'!AE30</f>
        <v>2047.5</v>
      </c>
      <c r="H160" s="33">
        <f>'5_DETALLE_INGRESOS'!AE31</f>
        <v>2400</v>
      </c>
      <c r="I160" s="33">
        <f>'5_DETALLE_INGRESOS'!AE32</f>
        <v>799.80000000000007</v>
      </c>
      <c r="J160" s="33">
        <f>'5_DETALLE_INGRESOS'!AE33</f>
        <v>720.98399999999992</v>
      </c>
      <c r="K160" s="33">
        <f>'5_DETALLE_INGRESOS'!AE34</f>
        <v>2422.9441075319901</v>
      </c>
      <c r="L160" s="33">
        <f>'5_DETALLE_INGRESOS'!AE35</f>
        <v>4742.6233000000002</v>
      </c>
    </row>
    <row r="161" spans="2:12" ht="16">
      <c r="B161" s="6" t="s">
        <v>1313</v>
      </c>
      <c r="C161" s="33">
        <f>'5_DETALLE_INGRESOS'!AF26</f>
        <v>84660.75</v>
      </c>
      <c r="D161" s="33">
        <f>'5_DETALLE_INGRESOS'!AF27</f>
        <v>7496.875</v>
      </c>
      <c r="E161" s="33">
        <f>'5_DETALLE_INGRESOS'!AF28</f>
        <v>31772.5</v>
      </c>
      <c r="F161" s="33">
        <f>'5_DETALLE_INGRESOS'!AF29</f>
        <v>9975</v>
      </c>
      <c r="G161" s="33">
        <f>'5_DETALLE_INGRESOS'!AF30</f>
        <v>2216.25</v>
      </c>
      <c r="H161" s="33">
        <f>'5_DETALLE_INGRESOS'!AF31</f>
        <v>2400</v>
      </c>
      <c r="I161" s="33">
        <f>'5_DETALLE_INGRESOS'!AF32</f>
        <v>799.80000000000007</v>
      </c>
      <c r="J161" s="33">
        <f>'5_DETALLE_INGRESOS'!AF33</f>
        <v>780.11999999999989</v>
      </c>
      <c r="K161" s="33">
        <f>'5_DETALLE_INGRESOS'!AF34</f>
        <v>2615.7860361345492</v>
      </c>
      <c r="L161" s="33">
        <f>'5_DETALLE_INGRESOS'!AF35</f>
        <v>4742.6233000000002</v>
      </c>
    </row>
    <row r="162" spans="2:12" ht="16">
      <c r="B162" s="6" t="s">
        <v>1314</v>
      </c>
      <c r="C162" s="33">
        <f>'5_DETALLE_INGRESOS'!AG26</f>
        <v>91565.4</v>
      </c>
      <c r="D162" s="33">
        <f>'5_DETALLE_INGRESOS'!AG27</f>
        <v>8098.375</v>
      </c>
      <c r="E162" s="33">
        <f>'5_DETALLE_INGRESOS'!AG28</f>
        <v>34278.5</v>
      </c>
      <c r="F162" s="33">
        <f>'5_DETALLE_INGRESOS'!AG29</f>
        <v>10800</v>
      </c>
      <c r="G162" s="33">
        <f>'5_DETALLE_INGRESOS'!AG30</f>
        <v>2396.25</v>
      </c>
      <c r="H162" s="33">
        <f>'5_DETALLE_INGRESOS'!AG31</f>
        <v>2400</v>
      </c>
      <c r="I162" s="33">
        <f>'5_DETALLE_INGRESOS'!AG32</f>
        <v>799.80000000000007</v>
      </c>
      <c r="J162" s="33">
        <f>'5_DETALLE_INGRESOS'!AG33</f>
        <v>843.74399999999991</v>
      </c>
      <c r="K162" s="33">
        <f>'5_DETALLE_INGRESOS'!AG34</f>
        <v>2824.2209190253129</v>
      </c>
      <c r="L162" s="33">
        <f>'5_DETALLE_INGRESOS'!AG35</f>
        <v>4742.6233000000002</v>
      </c>
    </row>
    <row r="163" spans="2:12" ht="16">
      <c r="B163" s="6" t="s">
        <v>1315</v>
      </c>
      <c r="C163" s="33">
        <f>'5_DETALLE_INGRESOS'!AH26</f>
        <v>99014.399999999994</v>
      </c>
      <c r="D163" s="33">
        <f>'5_DETALLE_INGRESOS'!AH27</f>
        <v>8747.125</v>
      </c>
      <c r="E163" s="33">
        <f>'5_DETALLE_INGRESOS'!AH28</f>
        <v>36963.5</v>
      </c>
      <c r="F163" s="33">
        <f>'5_DETALLE_INGRESOS'!AH29</f>
        <v>11700</v>
      </c>
      <c r="G163" s="33">
        <f>'5_DETALLE_INGRESOS'!AH30</f>
        <v>2591.25</v>
      </c>
      <c r="H163" s="33">
        <f>'5_DETALLE_INGRESOS'!AH31</f>
        <v>2400</v>
      </c>
      <c r="I163" s="33">
        <f>'5_DETALLE_INGRESOS'!AH32</f>
        <v>799.80000000000007</v>
      </c>
      <c r="J163" s="33">
        <f>'5_DETALLE_INGRESOS'!AH33</f>
        <v>912.38400000000001</v>
      </c>
      <c r="K163" s="33">
        <f>'5_DETALLE_INGRESOS'!AH34</f>
        <v>3049.3809925473379</v>
      </c>
      <c r="L163" s="33">
        <f>'5_DETALLE_INGRESOS'!AH35</f>
        <v>4742.6233000000002</v>
      </c>
    </row>
    <row r="164" spans="2:12" ht="16">
      <c r="B164" s="6" t="s">
        <v>1316</v>
      </c>
      <c r="C164" s="33">
        <f>'5_DETALLE_INGRESOS'!AI26</f>
        <v>107036.4</v>
      </c>
      <c r="D164" s="33">
        <f>'5_DETALLE_INGRESOS'!AI27</f>
        <v>9451.75</v>
      </c>
      <c r="E164" s="33">
        <f>'5_DETALLE_INGRESOS'!AI28</f>
        <v>39917</v>
      </c>
      <c r="F164" s="33">
        <f>'5_DETALLE_INGRESOS'!AI29</f>
        <v>12600</v>
      </c>
      <c r="G164" s="33">
        <f>'5_DETALLE_INGRESOS'!AI30</f>
        <v>2801.25</v>
      </c>
      <c r="H164" s="33">
        <f>'5_DETALLE_INGRESOS'!AI31</f>
        <v>2400</v>
      </c>
      <c r="I164" s="33">
        <f>'5_DETALLE_INGRESOS'!AI32</f>
        <v>799.80000000000007</v>
      </c>
      <c r="J164" s="33">
        <f>'5_DETALLE_INGRESOS'!AI33</f>
        <v>986.30399999999997</v>
      </c>
      <c r="K164" s="33">
        <f>'5_DETALLE_INGRESOS'!AI34</f>
        <v>3292.6978719511253</v>
      </c>
      <c r="L164" s="33">
        <f>'5_DETALLE_INGRESOS'!AI35</f>
        <v>4742.6233000000002</v>
      </c>
    </row>
    <row r="165" spans="2:12" ht="16">
      <c r="B165" s="6" t="s">
        <v>1317</v>
      </c>
      <c r="C165" s="33">
        <f>'5_DETALLE_INGRESOS'!AJ26</f>
        <v>115688.7</v>
      </c>
      <c r="D165" s="33">
        <f>'5_DETALLE_INGRESOS'!AJ27</f>
        <v>10203.625</v>
      </c>
      <c r="E165" s="33">
        <f>'5_DETALLE_INGRESOS'!AJ28</f>
        <v>43049.5</v>
      </c>
      <c r="F165" s="33">
        <f>'5_DETALLE_INGRESOS'!AJ29</f>
        <v>13650</v>
      </c>
      <c r="G165" s="33">
        <f>'5_DETALLE_INGRESOS'!AJ30</f>
        <v>3030</v>
      </c>
      <c r="H165" s="33">
        <f>'5_DETALLE_INGRESOS'!AJ31</f>
        <v>2400</v>
      </c>
      <c r="I165" s="33">
        <f>'5_DETALLE_INGRESOS'!AJ32</f>
        <v>799.80000000000007</v>
      </c>
      <c r="J165" s="33">
        <f>'5_DETALLE_INGRESOS'!AJ33</f>
        <v>1066.0319999999999</v>
      </c>
      <c r="K165" s="33">
        <f>'5_DETALLE_INGRESOS'!AJ34</f>
        <v>3555.5521017072156</v>
      </c>
      <c r="L165" s="33">
        <f>'5_DETALLE_INGRESOS'!AJ35</f>
        <v>4742.6233000000002</v>
      </c>
    </row>
    <row r="166" spans="2:12" ht="16">
      <c r="B166" s="6" t="s">
        <v>1318</v>
      </c>
      <c r="C166" s="33">
        <f>'5_DETALLE_INGRESOS'!AK26</f>
        <v>124999.94999999998</v>
      </c>
      <c r="D166" s="33">
        <f>'5_DETALLE_INGRESOS'!AK27</f>
        <v>11021.375</v>
      </c>
      <c r="E166" s="33">
        <f>'5_DETALLE_INGRESOS'!AK28</f>
        <v>46450.5</v>
      </c>
      <c r="F166" s="33">
        <f>'5_DETALLE_INGRESOS'!AK29</f>
        <v>14700</v>
      </c>
      <c r="G166" s="33">
        <f>'5_DETALLE_INGRESOS'!AK30</f>
        <v>3273.75</v>
      </c>
      <c r="H166" s="33">
        <f>'5_DETALLE_INGRESOS'!AK31</f>
        <v>2400</v>
      </c>
      <c r="I166" s="33">
        <f>'5_DETALLE_INGRESOS'!AK32</f>
        <v>799.80000000000007</v>
      </c>
      <c r="J166" s="33">
        <f>'5_DETALLE_INGRESOS'!AK33</f>
        <v>1151.8319999999999</v>
      </c>
      <c r="K166" s="33">
        <f>'5_DETALLE_INGRESOS'!AK34</f>
        <v>3839.6434698437929</v>
      </c>
      <c r="L166" s="33">
        <f>'5_DETALLE_INGRESOS'!AK35</f>
        <v>4742.6233000000002</v>
      </c>
    </row>
    <row r="167" spans="2:12" ht="16">
      <c r="B167" s="6" t="s">
        <v>1319</v>
      </c>
      <c r="C167" s="33">
        <f>'5_DETALLE_INGRESOS'!AL26</f>
        <v>135056.09999999998</v>
      </c>
      <c r="D167" s="33">
        <f>'5_DETALLE_INGRESOS'!AL27</f>
        <v>11900</v>
      </c>
      <c r="E167" s="33">
        <f>'5_DETALLE_INGRESOS'!AL28</f>
        <v>50120</v>
      </c>
      <c r="F167" s="33">
        <f>'5_DETALLE_INGRESOS'!AL29</f>
        <v>15900</v>
      </c>
      <c r="G167" s="33">
        <f>'5_DETALLE_INGRESOS'!AL30</f>
        <v>3536.25</v>
      </c>
      <c r="H167" s="33">
        <f>'5_DETALLE_INGRESOS'!AL31</f>
        <v>2400</v>
      </c>
      <c r="I167" s="33">
        <f>'5_DETALLE_INGRESOS'!AL32</f>
        <v>799.80000000000007</v>
      </c>
      <c r="J167" s="33">
        <f>'5_DETALLE_INGRESOS'!AL33</f>
        <v>1244.4959999999999</v>
      </c>
      <c r="K167" s="33">
        <f>'5_DETALLE_INGRESOS'!AL34</f>
        <v>4146.4621474312971</v>
      </c>
      <c r="L167" s="33">
        <f>'5_DETALLE_INGRESOS'!AL35</f>
        <v>4742.6233000000002</v>
      </c>
    </row>
    <row r="168" spans="2:12" ht="16">
      <c r="B168" s="6" t="s">
        <v>1277</v>
      </c>
      <c r="C168" s="33">
        <f>'5_DETALLE_INGRESOS'!AM26</f>
        <v>145885.79999999999</v>
      </c>
      <c r="D168" s="33">
        <f>'5_DETALLE_INGRESOS'!AM27</f>
        <v>12849.5</v>
      </c>
      <c r="E168" s="33">
        <f>'5_DETALLE_INGRESOS'!AM28</f>
        <v>54058</v>
      </c>
      <c r="F168" s="33">
        <f>'5_DETALLE_INGRESOS'!AM29</f>
        <v>17175</v>
      </c>
      <c r="G168" s="33">
        <f>'5_DETALLE_INGRESOS'!AM30</f>
        <v>3817.5</v>
      </c>
      <c r="H168" s="33">
        <f>'5_DETALLE_INGRESOS'!AM31</f>
        <v>2400</v>
      </c>
      <c r="I168" s="33">
        <f>'5_DETALLE_INGRESOS'!AM32</f>
        <v>799.80000000000007</v>
      </c>
      <c r="J168" s="33">
        <f>'5_DETALLE_INGRESOS'!AM33</f>
        <v>1344.288</v>
      </c>
      <c r="K168" s="33">
        <f>'5_DETALLE_INGRESOS'!AM34</f>
        <v>4478.0207192258013</v>
      </c>
      <c r="L168" s="33">
        <f>'5_DETALLE_INGRESOS'!AM35</f>
        <v>4742.6233000000002</v>
      </c>
    </row>
    <row r="170" spans="2:12" ht="22" customHeight="1">
      <c r="B170" s="126" t="s">
        <v>1346</v>
      </c>
      <c r="C170" s="112"/>
      <c r="D170" s="112"/>
      <c r="E170" s="112"/>
      <c r="F170" s="112"/>
      <c r="G170" s="113"/>
    </row>
    <row r="171" spans="2:12" ht="20" customHeight="1">
      <c r="B171" s="116" t="s">
        <v>1347</v>
      </c>
      <c r="C171" s="117"/>
      <c r="D171" s="117"/>
      <c r="E171" s="117"/>
      <c r="F171" s="117"/>
      <c r="G171" s="118"/>
    </row>
    <row r="172" spans="2:12" ht="20" customHeight="1">
      <c r="B172" s="119"/>
      <c r="C172" s="120"/>
      <c r="D172" s="120"/>
      <c r="E172" s="120"/>
      <c r="F172" s="120"/>
      <c r="G172" s="121"/>
    </row>
    <row r="173" spans="2:12" ht="20" customHeight="1">
      <c r="B173" s="119"/>
      <c r="C173" s="120"/>
      <c r="D173" s="120"/>
      <c r="E173" s="120"/>
      <c r="F173" s="120"/>
      <c r="G173" s="121"/>
    </row>
    <row r="174" spans="2:12" ht="20" customHeight="1">
      <c r="B174" s="119"/>
      <c r="C174" s="120"/>
      <c r="D174" s="120"/>
      <c r="E174" s="120"/>
      <c r="F174" s="120"/>
      <c r="G174" s="121"/>
    </row>
    <row r="175" spans="2:12" ht="20" customHeight="1">
      <c r="B175" s="119"/>
      <c r="C175" s="120"/>
      <c r="D175" s="120"/>
      <c r="E175" s="120"/>
      <c r="F175" s="120"/>
      <c r="G175" s="121"/>
    </row>
    <row r="176" spans="2:12" ht="20" customHeight="1">
      <c r="B176" s="119"/>
      <c r="C176" s="120"/>
      <c r="D176" s="120"/>
      <c r="E176" s="120"/>
      <c r="F176" s="120"/>
      <c r="G176" s="121"/>
    </row>
    <row r="177" spans="2:7" ht="20" customHeight="1">
      <c r="B177" s="119"/>
      <c r="C177" s="120"/>
      <c r="D177" s="120"/>
      <c r="E177" s="120"/>
      <c r="F177" s="120"/>
      <c r="G177" s="121"/>
    </row>
    <row r="178" spans="2:7" ht="20" customHeight="1">
      <c r="B178" s="122"/>
      <c r="C178" s="123"/>
      <c r="D178" s="123"/>
      <c r="E178" s="123"/>
      <c r="F178" s="123"/>
      <c r="G178" s="124"/>
    </row>
    <row r="180" spans="2:7" ht="16">
      <c r="B180" s="4" t="s">
        <v>1348</v>
      </c>
    </row>
    <row r="182" spans="2:7" ht="16">
      <c r="B182" s="8" t="s">
        <v>1067</v>
      </c>
      <c r="C182" s="8" t="s">
        <v>1129</v>
      </c>
      <c r="D182" s="8" t="s">
        <v>1349</v>
      </c>
    </row>
    <row r="183" spans="2:7" ht="16">
      <c r="B183" s="6" t="s">
        <v>1273</v>
      </c>
      <c r="C183" s="33">
        <f>'9_FLUJO_CAJA'!D37</f>
        <v>160450.49936750002</v>
      </c>
      <c r="D183" s="33">
        <f>'9_FLUJO_CAJA'!D36</f>
        <v>160450.49936750002</v>
      </c>
    </row>
    <row r="184" spans="2:7" ht="16">
      <c r="B184" s="6" t="s">
        <v>1289</v>
      </c>
      <c r="C184" s="33">
        <f>'9_FLUJO_CAJA'!E37</f>
        <v>149647.02174000003</v>
      </c>
      <c r="D184" s="33">
        <f>'9_FLUJO_CAJA'!E36</f>
        <v>-10803.477627499991</v>
      </c>
    </row>
    <row r="185" spans="2:7" ht="16">
      <c r="B185" s="6" t="s">
        <v>1290</v>
      </c>
      <c r="C185" s="33">
        <f>'9_FLUJO_CAJA'!F37</f>
        <v>141181.73324390003</v>
      </c>
      <c r="D185" s="33">
        <f>'9_FLUJO_CAJA'!F36</f>
        <v>-8465.2884960999945</v>
      </c>
    </row>
    <row r="186" spans="2:7" ht="16">
      <c r="B186" s="6" t="s">
        <v>1291</v>
      </c>
      <c r="C186" s="33">
        <f>'9_FLUJO_CAJA'!G37</f>
        <v>137729.81651871203</v>
      </c>
      <c r="D186" s="33">
        <f>'9_FLUJO_CAJA'!G36</f>
        <v>-3451.9167251879944</v>
      </c>
    </row>
    <row r="187" spans="2:7" ht="16">
      <c r="B187" s="6" t="s">
        <v>1292</v>
      </c>
      <c r="C187" s="33">
        <f>'9_FLUJO_CAJA'!H37</f>
        <v>136145.733688109</v>
      </c>
      <c r="D187" s="33">
        <f>'9_FLUJO_CAJA'!H36</f>
        <v>-1584.0828306030353</v>
      </c>
    </row>
    <row r="188" spans="2:7" ht="16">
      <c r="B188" s="6" t="s">
        <v>1274</v>
      </c>
      <c r="C188" s="33">
        <f>'9_FLUJO_CAJA'!I37</f>
        <v>136580.65694665772</v>
      </c>
      <c r="D188" s="33">
        <f>'9_FLUJO_CAJA'!I36</f>
        <v>434.92325854872524</v>
      </c>
    </row>
    <row r="189" spans="2:7" ht="16">
      <c r="B189" s="6" t="s">
        <v>1293</v>
      </c>
      <c r="C189" s="33">
        <f>'9_FLUJO_CAJA'!J37</f>
        <v>139002.50318049034</v>
      </c>
      <c r="D189" s="33">
        <f>'9_FLUJO_CAJA'!J36</f>
        <v>2421.8462338326208</v>
      </c>
    </row>
    <row r="190" spans="2:7" ht="16">
      <c r="B190" s="6" t="s">
        <v>1294</v>
      </c>
      <c r="C190" s="33">
        <f>'9_FLUJO_CAJA'!K37</f>
        <v>143637.24607262955</v>
      </c>
      <c r="D190" s="33">
        <f>'9_FLUJO_CAJA'!K36</f>
        <v>4634.7428921392266</v>
      </c>
    </row>
    <row r="191" spans="2:7" ht="16">
      <c r="B191" s="6" t="s">
        <v>1295</v>
      </c>
      <c r="C191" s="33">
        <f>'9_FLUJO_CAJA'!L37</f>
        <v>150664.71897673991</v>
      </c>
      <c r="D191" s="33">
        <f>'9_FLUJO_CAJA'!L36</f>
        <v>7027.4729041103592</v>
      </c>
    </row>
    <row r="192" spans="2:7" ht="16">
      <c r="B192" s="6" t="s">
        <v>1296</v>
      </c>
      <c r="C192" s="33">
        <f>'9_FLUJO_CAJA'!M37</f>
        <v>158385.53225177911</v>
      </c>
      <c r="D192" s="33">
        <f>'9_FLUJO_CAJA'!M36</f>
        <v>7720.8132750391924</v>
      </c>
    </row>
    <row r="193" spans="2:4" ht="16">
      <c r="B193" s="6" t="s">
        <v>1297</v>
      </c>
      <c r="C193" s="33">
        <f>'9_FLUJO_CAJA'!N37</f>
        <v>170589.87043442143</v>
      </c>
      <c r="D193" s="33">
        <f>'9_FLUJO_CAJA'!N36</f>
        <v>12204.338182642334</v>
      </c>
    </row>
    <row r="194" spans="2:4" ht="16">
      <c r="B194" s="6" t="s">
        <v>1275</v>
      </c>
      <c r="C194" s="33">
        <f>'9_FLUJO_CAJA'!O37</f>
        <v>185648.46191127517</v>
      </c>
      <c r="D194" s="33">
        <f>'9_FLUJO_CAJA'!O36</f>
        <v>15058.591476853719</v>
      </c>
    </row>
    <row r="195" spans="2:4" ht="16">
      <c r="B195" s="6" t="s">
        <v>1298</v>
      </c>
      <c r="C195" s="33">
        <f>'9_FLUJO_CAJA'!P37</f>
        <v>186679.58581387717</v>
      </c>
      <c r="D195" s="33">
        <f>'9_FLUJO_CAJA'!P36</f>
        <v>1031.1239026020039</v>
      </c>
    </row>
    <row r="196" spans="2:4" ht="16">
      <c r="B196" s="6" t="s">
        <v>1299</v>
      </c>
      <c r="C196" s="33">
        <f>'9_FLUJO_CAJA'!Q37</f>
        <v>190799.21837128734</v>
      </c>
      <c r="D196" s="33">
        <f>'9_FLUJO_CAJA'!Q36</f>
        <v>4119.6325574101647</v>
      </c>
    </row>
    <row r="197" spans="2:4" ht="16">
      <c r="B197" s="6" t="s">
        <v>1300</v>
      </c>
      <c r="C197" s="33">
        <f>'9_FLUJO_CAJA'!R37</f>
        <v>198327.57414289031</v>
      </c>
      <c r="D197" s="33">
        <f>'9_FLUJO_CAJA'!R36</f>
        <v>7528.3557716029754</v>
      </c>
    </row>
    <row r="198" spans="2:4" ht="16">
      <c r="B198" s="6" t="s">
        <v>1301</v>
      </c>
      <c r="C198" s="33">
        <f>'9_FLUJO_CAJA'!S37</f>
        <v>209450.59699282155</v>
      </c>
      <c r="D198" s="33">
        <f>'9_FLUJO_CAJA'!S36</f>
        <v>11123.022849931225</v>
      </c>
    </row>
    <row r="199" spans="2:4" ht="16">
      <c r="B199" s="6" t="s">
        <v>1302</v>
      </c>
      <c r="C199" s="33">
        <f>'9_FLUJO_CAJA'!T37</f>
        <v>224286.75425734726</v>
      </c>
      <c r="D199" s="33">
        <f>'9_FLUJO_CAJA'!T36</f>
        <v>14836.157264525704</v>
      </c>
    </row>
    <row r="200" spans="2:4" ht="16">
      <c r="B200" s="6" t="s">
        <v>1303</v>
      </c>
      <c r="C200" s="33">
        <f>'9_FLUJO_CAJA'!U37</f>
        <v>243096.14512263503</v>
      </c>
      <c r="D200" s="33">
        <f>'9_FLUJO_CAJA'!U36</f>
        <v>18809.390865287773</v>
      </c>
    </row>
    <row r="201" spans="2:4" ht="16">
      <c r="B201" s="6" t="s">
        <v>1304</v>
      </c>
      <c r="C201" s="33">
        <f>'9_FLUJO_CAJA'!V37</f>
        <v>263098.43576441251</v>
      </c>
      <c r="D201" s="33">
        <f>'9_FLUJO_CAJA'!V36</f>
        <v>20002.290641777465</v>
      </c>
    </row>
    <row r="202" spans="2:4" ht="16">
      <c r="B202" s="6" t="s">
        <v>1305</v>
      </c>
      <c r="C202" s="33">
        <f>'9_FLUJO_CAJA'!W37</f>
        <v>287662.18736979883</v>
      </c>
      <c r="D202" s="33">
        <f>'9_FLUJO_CAJA'!W36</f>
        <v>24563.751605386315</v>
      </c>
    </row>
    <row r="203" spans="2:4" ht="16">
      <c r="B203" s="6" t="s">
        <v>1306</v>
      </c>
      <c r="C203" s="33">
        <f>'9_FLUJO_CAJA'!X37</f>
        <v>317181.4367568827</v>
      </c>
      <c r="D203" s="33">
        <f>'9_FLUJO_CAJA'!X36</f>
        <v>29519.249387083884</v>
      </c>
    </row>
    <row r="204" spans="2:4" ht="16">
      <c r="B204" s="6" t="s">
        <v>1307</v>
      </c>
      <c r="C204" s="33">
        <f>'9_FLUJO_CAJA'!Y37</f>
        <v>351976.60482119996</v>
      </c>
      <c r="D204" s="33">
        <f>'9_FLUJO_CAJA'!Y36</f>
        <v>34795.168064317266</v>
      </c>
    </row>
    <row r="205" spans="2:4" ht="16">
      <c r="B205" s="6" t="s">
        <v>1308</v>
      </c>
      <c r="C205" s="33">
        <f>'9_FLUJO_CAJA'!Z37</f>
        <v>392373.77351192932</v>
      </c>
      <c r="D205" s="33">
        <f>'9_FLUJO_CAJA'!Z36</f>
        <v>40397.168690729333</v>
      </c>
    </row>
    <row r="206" spans="2:4" ht="16">
      <c r="B206" s="6" t="s">
        <v>1276</v>
      </c>
      <c r="C206" s="33">
        <f>'9_FLUJO_CAJA'!AA37</f>
        <v>438956.63689118368</v>
      </c>
      <c r="D206" s="33">
        <f>'9_FLUJO_CAJA'!AA36</f>
        <v>46582.863379254326</v>
      </c>
    </row>
    <row r="207" spans="2:4" ht="16">
      <c r="B207" s="6" t="s">
        <v>1309</v>
      </c>
      <c r="C207" s="33">
        <f>'9_FLUJO_CAJA'!AB37</f>
        <v>488675.35464904504</v>
      </c>
      <c r="D207" s="33">
        <f>'9_FLUJO_CAJA'!AB36</f>
        <v>49718.717757861348</v>
      </c>
    </row>
    <row r="208" spans="2:4" ht="16">
      <c r="B208" s="6" t="s">
        <v>1310</v>
      </c>
      <c r="C208" s="33">
        <f>'9_FLUJO_CAJA'!AC37</f>
        <v>545578.8504518019</v>
      </c>
      <c r="D208" s="33">
        <f>'9_FLUJO_CAJA'!AC36</f>
        <v>56903.495802756923</v>
      </c>
    </row>
    <row r="209" spans="2:12" ht="16">
      <c r="B209" s="6" t="s">
        <v>1311</v>
      </c>
      <c r="C209" s="33">
        <f>'9_FLUJO_CAJA'!AD37</f>
        <v>610144.27050804603</v>
      </c>
      <c r="D209" s="33">
        <f>'9_FLUJO_CAJA'!AD36</f>
        <v>64565.420056244126</v>
      </c>
    </row>
    <row r="210" spans="2:12" ht="16">
      <c r="B210" s="6" t="s">
        <v>1312</v>
      </c>
      <c r="C210" s="33">
        <f>'9_FLUJO_CAJA'!AE37</f>
        <v>682951.89792205638</v>
      </c>
      <c r="D210" s="33">
        <f>'9_FLUJO_CAJA'!AE36</f>
        <v>72807.627414010334</v>
      </c>
    </row>
    <row r="211" spans="2:12" ht="16">
      <c r="B211" s="6" t="s">
        <v>1313</v>
      </c>
      <c r="C211" s="33">
        <f>'9_FLUJO_CAJA'!AF37</f>
        <v>764689.84631645423</v>
      </c>
      <c r="D211" s="33">
        <f>'9_FLUJO_CAJA'!AF36</f>
        <v>81737.948394397827</v>
      </c>
    </row>
    <row r="212" spans="2:12" ht="16">
      <c r="B212" s="6" t="s">
        <v>1314</v>
      </c>
      <c r="C212" s="33">
        <f>'9_FLUJO_CAJA'!AG37</f>
        <v>856050.56587167061</v>
      </c>
      <c r="D212" s="33">
        <f>'9_FLUJO_CAJA'!AG36</f>
        <v>91360.719555216347</v>
      </c>
    </row>
    <row r="213" spans="2:12" ht="16">
      <c r="B213" s="6" t="s">
        <v>1315</v>
      </c>
      <c r="C213" s="33">
        <f>'9_FLUJO_CAJA'!AH37</f>
        <v>957774.15924857091</v>
      </c>
      <c r="D213" s="33">
        <f>'9_FLUJO_CAJA'!AH36</f>
        <v>101723.59337690032</v>
      </c>
    </row>
    <row r="214" spans="2:12" ht="16">
      <c r="B214" s="6" t="s">
        <v>1316</v>
      </c>
      <c r="C214" s="33">
        <f>'9_FLUJO_CAJA'!AI37</f>
        <v>1070691.5429578898</v>
      </c>
      <c r="D214" s="33">
        <f>'9_FLUJO_CAJA'!AI36</f>
        <v>112917.38370931899</v>
      </c>
    </row>
    <row r="215" spans="2:12" ht="16">
      <c r="B215" s="6" t="s">
        <v>1317</v>
      </c>
      <c r="C215" s="33">
        <f>'9_FLUJO_CAJA'!AJ37</f>
        <v>1195672.0562162211</v>
      </c>
      <c r="D215" s="33">
        <f>'9_FLUJO_CAJA'!AJ36</f>
        <v>124980.51325833121</v>
      </c>
    </row>
    <row r="216" spans="2:12" ht="16">
      <c r="B216" s="6" t="s">
        <v>1318</v>
      </c>
      <c r="C216" s="33">
        <f>'9_FLUJO_CAJA'!AK37</f>
        <v>1333609.0823084854</v>
      </c>
      <c r="D216" s="33">
        <f>'9_FLUJO_CAJA'!AK36</f>
        <v>137937.02609226436</v>
      </c>
    </row>
    <row r="217" spans="2:12" ht="16">
      <c r="B217" s="6" t="s">
        <v>1319</v>
      </c>
      <c r="C217" s="33">
        <f>'9_FLUJO_CAJA'!AL37</f>
        <v>1485592.2021363976</v>
      </c>
      <c r="D217" s="33">
        <f>'9_FLUJO_CAJA'!AL36</f>
        <v>151983.11982791213</v>
      </c>
    </row>
    <row r="218" spans="2:12" ht="16">
      <c r="B218" s="6" t="s">
        <v>1277</v>
      </c>
      <c r="C218" s="33">
        <f>'9_FLUJO_CAJA'!AM37</f>
        <v>1652666.1550218095</v>
      </c>
      <c r="D218" s="33">
        <f>'9_FLUJO_CAJA'!AM36</f>
        <v>167073.9528854118</v>
      </c>
    </row>
    <row r="220" spans="2:12" ht="24" customHeight="1">
      <c r="B220" s="109" t="s">
        <v>1350</v>
      </c>
      <c r="C220" s="110"/>
      <c r="D220" s="110"/>
      <c r="E220" s="110"/>
      <c r="F220" s="110"/>
      <c r="G220" s="110"/>
      <c r="H220" s="110"/>
      <c r="I220" s="110"/>
      <c r="J220" s="110"/>
      <c r="K220" s="110"/>
      <c r="L220" s="110"/>
    </row>
    <row r="221" spans="2:12" ht="19" customHeight="1">
      <c r="B221" s="102" t="s">
        <v>1351</v>
      </c>
      <c r="C221" s="103"/>
      <c r="D221" s="103"/>
      <c r="E221" s="103"/>
      <c r="F221" s="103"/>
      <c r="G221" s="103"/>
      <c r="H221" s="103"/>
      <c r="I221" s="103"/>
      <c r="J221" s="103"/>
      <c r="K221" s="103"/>
      <c r="L221" s="104"/>
    </row>
    <row r="222" spans="2:12" ht="19" customHeight="1">
      <c r="B222" s="105"/>
      <c r="C222" s="103"/>
      <c r="D222" s="103"/>
      <c r="E222" s="103"/>
      <c r="F222" s="103"/>
      <c r="G222" s="103"/>
      <c r="H222" s="103"/>
      <c r="I222" s="103"/>
      <c r="J222" s="103"/>
      <c r="K222" s="103"/>
      <c r="L222" s="104"/>
    </row>
    <row r="223" spans="2:12" ht="19" customHeight="1">
      <c r="B223" s="105"/>
      <c r="C223" s="103"/>
      <c r="D223" s="103"/>
      <c r="E223" s="103"/>
      <c r="F223" s="103"/>
      <c r="G223" s="103"/>
      <c r="H223" s="103"/>
      <c r="I223" s="103"/>
      <c r="J223" s="103"/>
      <c r="K223" s="103"/>
      <c r="L223" s="104"/>
    </row>
    <row r="224" spans="2:12" ht="19" customHeight="1">
      <c r="B224" s="105"/>
      <c r="C224" s="103"/>
      <c r="D224" s="103"/>
      <c r="E224" s="103"/>
      <c r="F224" s="103"/>
      <c r="G224" s="103"/>
      <c r="H224" s="103"/>
      <c r="I224" s="103"/>
      <c r="J224" s="103"/>
      <c r="K224" s="103"/>
      <c r="L224" s="104"/>
    </row>
    <row r="225" spans="2:12" ht="19" customHeight="1">
      <c r="B225" s="105"/>
      <c r="C225" s="103"/>
      <c r="D225" s="103"/>
      <c r="E225" s="103"/>
      <c r="F225" s="103"/>
      <c r="G225" s="103"/>
      <c r="H225" s="103"/>
      <c r="I225" s="103"/>
      <c r="J225" s="103"/>
      <c r="K225" s="103"/>
      <c r="L225" s="104"/>
    </row>
    <row r="226" spans="2:12" ht="19" customHeight="1">
      <c r="B226" s="105"/>
      <c r="C226" s="103"/>
      <c r="D226" s="103"/>
      <c r="E226" s="103"/>
      <c r="F226" s="103"/>
      <c r="G226" s="103"/>
      <c r="H226" s="103"/>
      <c r="I226" s="103"/>
      <c r="J226" s="103"/>
      <c r="K226" s="103"/>
      <c r="L226" s="104"/>
    </row>
    <row r="227" spans="2:12" ht="19" customHeight="1">
      <c r="B227" s="105"/>
      <c r="C227" s="103"/>
      <c r="D227" s="103"/>
      <c r="E227" s="103"/>
      <c r="F227" s="103"/>
      <c r="G227" s="103"/>
      <c r="H227" s="103"/>
      <c r="I227" s="103"/>
      <c r="J227" s="103"/>
      <c r="K227" s="103"/>
      <c r="L227" s="104"/>
    </row>
    <row r="228" spans="2:12" ht="19" customHeight="1">
      <c r="B228" s="106"/>
      <c r="C228" s="107"/>
      <c r="D228" s="107"/>
      <c r="E228" s="107"/>
      <c r="F228" s="107"/>
      <c r="G228" s="107"/>
      <c r="H228" s="107"/>
      <c r="I228" s="107"/>
      <c r="J228" s="107"/>
      <c r="K228" s="107"/>
      <c r="L228" s="108"/>
    </row>
  </sheetData>
  <mergeCells count="5">
    <mergeCell ref="B220:L220"/>
    <mergeCell ref="B171:G178"/>
    <mergeCell ref="B170:G170"/>
    <mergeCell ref="B221:L228"/>
    <mergeCell ref="B4:G4"/>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0_GUIA_INTRO</vt:lpstr>
      <vt:lpstr>1_PANEL_CONTROL</vt:lpstr>
      <vt:lpstr>2_AJUSTES_MACRO</vt:lpstr>
      <vt:lpstr>3_HIPOTESIS_NEGOCIO</vt:lpstr>
      <vt:lpstr>4_PROY_DEMANDA</vt:lpstr>
      <vt:lpstr>5_DETALLE_INGRESOS</vt:lpstr>
      <vt:lpstr>6_COSTES_COGS</vt:lpstr>
      <vt:lpstr>7_EQUIPO_RRHH</vt:lpstr>
      <vt:lpstr>8_COSTES_OPEX</vt:lpstr>
      <vt:lpstr>9_FLUJO_CAJA</vt:lpstr>
      <vt:lpstr>10_PL_PERDIDAS_GANANCIAS</vt:lpstr>
      <vt:lpstr>11_BALANCE_CONSOLIDADO</vt:lpstr>
      <vt:lpstr>12_ANALISIS_ESCENARIOS</vt:lpstr>
      <vt:lpstr>13_CAP_TABLE_FINANCIACION</vt:lpstr>
      <vt:lpstr>14_UNIT_ECONOMICS_CAC_LTV</vt:lpstr>
      <vt:lpstr>15_DASHBOARD_KPI</vt:lpstr>
      <vt:lpstr>16_PLAN_CONTROL_GESTION</vt:lpstr>
      <vt:lpstr>17_ANALISIS_GRAFICO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Ospina</cp:lastModifiedBy>
  <dcterms:created xsi:type="dcterms:W3CDTF">2026-05-31T19:42:06Z</dcterms:created>
  <dcterms:modified xsi:type="dcterms:W3CDTF">2026-05-31T19:42:21Z</dcterms:modified>
</cp:coreProperties>
</file>